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comments/comment1.xml" ContentType="application/vnd.openxmlformats-officedocument.spreadsheetml.comments+xml"/>
  <Override PartName="/xl/worksheets/sheet5.xml" ContentType="application/vnd.openxmlformats-officedocument.spreadsheetml.worksheet+xml"/>
  <Override PartName="/xl/comments/comment2.xml" ContentType="application/vnd.openxmlformats-officedocument.spreadsheetml.comment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omments/comment3.xml" ContentType="application/vnd.openxmlformats-officedocument.spreadsheetml.comments+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comments/comment4.xml" ContentType="application/vnd.openxmlformats-officedocument.spreadsheetml.comments+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rt Here" sheetId="1" state="visible" r:id="rId1"/>
    <sheet name="Dashboard" sheetId="2" state="visible" r:id="rId2"/>
    <sheet name="Inputs" sheetId="3" state="visible" r:id="rId3"/>
    <sheet name="Deal Log" sheetId="4" state="visible" r:id="rId4"/>
    <sheet name="Draw Recovery" sheetId="5" state="visible" r:id="rId5"/>
    <sheet name="Break-Even" sheetId="6" state="visible" r:id="rId6"/>
    <sheet name="Monthly Budget" sheetId="7" state="visible" r:id="rId7"/>
    <sheet name="Cash Flow" sheetId="8" state="visible" r:id="rId8"/>
    <sheet name="Bill Calendar" sheetId="9" state="visible" r:id="rId9"/>
    <sheet name="Allocation Engine" sheetId="10" state="visible" r:id="rId10"/>
    <sheet name="Accounts" sheetId="11" state="visible" r:id="rId11"/>
    <sheet name="Certificate Ladder" sheetId="12" state="visible" r:id="rId12"/>
    <sheet name="Car Loan" sheetId="13" state="visible" r:id="rId13"/>
    <sheet name="Credit Builder" sheetId="14" state="visible" r:id="rId14"/>
    <sheet name="Tax Reserve" sheetId="15" state="visible" r:id="rId15"/>
    <sheet name="Retirement" sheetId="16" state="visible" r:id="rId16"/>
    <sheet name="Goals" sheetId="17" state="visible" r:id="rId17"/>
    <sheet name="Home Purchase" sheetId="18" state="visible" r:id="rId18"/>
    <sheet name="Marketing ROI" sheetId="19" state="visible" r:id="rId19"/>
    <sheet name="Recommendations" sheetId="20" state="visible" r:id="rId20"/>
  </sheets>
  <definedNames/>
  <calcPr calcId="124519" fullCalcOnLoad="1"/>
</workbook>
</file>

<file path=xl/styles.xml><?xml version="1.0" encoding="utf-8"?>
<styleSheet xmlns="http://schemas.openxmlformats.org/spreadsheetml/2006/main">
  <numFmts count="11">
    <numFmt numFmtId="164" formatCode="#,##0;(#,##0);&quot;-&quot;"/>
    <numFmt numFmtId="165" formatCode="yyyy-mm-dd"/>
    <numFmt numFmtId="166" formatCode="mm/dd/yyyy"/>
    <numFmt numFmtId="167" formatCode="$#,##0.00;($#,##0.00);&quot;-&quot;"/>
    <numFmt numFmtId="168" formatCode="0.00%;(0.00%);&quot;-&quot;"/>
    <numFmt numFmtId="169" formatCode="#,##0.0;(#,##0.0);&quot;-&quot;"/>
    <numFmt numFmtId="170" formatCode="0.0%;(0.0%);&quot;-&quot;"/>
    <numFmt numFmtId="171" formatCode="$#,##0;($#,##0);&quot;-&quot;"/>
    <numFmt numFmtId="172" formatCode="mmm yyyy"/>
    <numFmt numFmtId="173" formatCode="0.0&quot;x&quot;;(0.0&quot;x&quot;);&quot;-&quot;"/>
    <numFmt numFmtId="174" formatCode="0.0&quot;x&quot;"/>
  </numFmts>
  <fonts count="24">
    <font>
      <name val="Calibri"/>
      <family val="2"/>
      <color theme="1"/>
      <sz val="11"/>
      <scheme val="minor"/>
    </font>
    <font>
      <name val="Arial"/>
      <b val="1"/>
      <color rgb="00FFFFFF"/>
      <sz val="16"/>
    </font>
    <font>
      <name val="Arial"/>
      <color rgb="00FFFFFF"/>
      <sz val="10"/>
    </font>
    <font>
      <name val="Arial"/>
      <b val="1"/>
      <color rgb="00FFFFFF"/>
      <sz val="11"/>
    </font>
    <font>
      <name val="Arial"/>
      <color rgb="00000000"/>
      <sz val="10"/>
    </font>
    <font>
      <name val="Arial"/>
      <b val="1"/>
      <color rgb="000000FF"/>
      <sz val="10"/>
    </font>
    <font>
      <name val="Arial"/>
      <color rgb="00000000"/>
      <sz val="9"/>
    </font>
    <font>
      <name val="Arial"/>
      <i val="1"/>
      <color rgb="00595959"/>
      <sz val="9"/>
    </font>
    <font>
      <name val="Arial"/>
      <b val="1"/>
      <color rgb="00000000"/>
      <sz val="10"/>
    </font>
    <font>
      <name val="Arial"/>
      <b val="1"/>
      <color rgb="009C0006"/>
      <sz val="10"/>
    </font>
    <font>
      <name val="Arial"/>
      <b val="1"/>
      <color rgb="00FFFFFF"/>
      <sz val="10"/>
    </font>
    <font>
      <name val="Arial"/>
      <color rgb="000000FF"/>
      <sz val="10"/>
    </font>
    <font>
      <name val="Arial"/>
      <color rgb="00008000"/>
      <sz val="10"/>
    </font>
    <font>
      <name val="Arial"/>
      <i val="1"/>
      <color rgb="009C0006"/>
      <sz val="9"/>
    </font>
    <font>
      <name val="Arial"/>
      <b val="1"/>
      <color rgb="009C0006"/>
      <sz val="11"/>
    </font>
    <font>
      <name val="Arial"/>
      <b val="1"/>
      <color rgb="000F2B46"/>
      <sz val="11"/>
    </font>
    <font>
      <name val="Arial"/>
      <b val="1"/>
      <color rgb="00006100"/>
      <sz val="10"/>
    </font>
    <font>
      <name val="Arial"/>
      <b val="1"/>
      <color rgb="000F2B46"/>
      <sz val="10"/>
    </font>
    <font>
      <name val="Arial"/>
      <b val="1"/>
      <color rgb="00FFFFFF"/>
      <sz val="9"/>
    </font>
    <font>
      <name val="Arial"/>
      <color rgb="009C0006"/>
      <sz val="10"/>
    </font>
    <font>
      <name val="Arial"/>
      <b val="1"/>
      <color rgb="00006100"/>
      <sz val="12"/>
    </font>
    <font>
      <name val="Arial"/>
      <b val="1"/>
      <color rgb="00404040"/>
      <sz val="9"/>
    </font>
    <font>
      <name val="Arial"/>
      <b val="1"/>
      <color rgb="000F2B46"/>
      <sz val="12"/>
    </font>
    <font>
      <name val="Arial"/>
      <b val="1"/>
      <color rgb="000F2B46"/>
      <sz val="9"/>
    </font>
  </fonts>
  <fills count="15">
    <fill>
      <patternFill/>
    </fill>
    <fill>
      <patternFill patternType="gray125"/>
    </fill>
    <fill>
      <patternFill patternType="solid">
        <fgColor rgb="000F2B46"/>
      </patternFill>
    </fill>
    <fill>
      <patternFill patternType="solid">
        <fgColor rgb="001E7B4F"/>
      </patternFill>
    </fill>
    <fill>
      <patternFill patternType="solid">
        <fgColor rgb="00FFF2CC"/>
      </patternFill>
    </fill>
    <fill>
      <patternFill patternType="solid">
        <fgColor rgb="00FFFF00"/>
      </patternFill>
    </fill>
    <fill>
      <patternFill patternType="solid">
        <fgColor rgb="00F2F5F7"/>
      </patternFill>
    </fill>
    <fill>
      <patternFill patternType="solid">
        <fgColor rgb="00E3F4EA"/>
      </patternFill>
    </fill>
    <fill>
      <patternFill patternType="solid">
        <fgColor rgb="00FCE4E4"/>
      </patternFill>
    </fill>
    <fill>
      <patternFill patternType="solid">
        <fgColor rgb="00DCE3E8"/>
      </patternFill>
    </fill>
    <fill>
      <patternFill patternType="solid">
        <fgColor rgb="007F6000"/>
      </patternFill>
    </fill>
    <fill>
      <patternFill patternType="solid">
        <fgColor rgb="001F4E79"/>
      </patternFill>
    </fill>
    <fill>
      <patternFill patternType="solid">
        <fgColor rgb="00833C00"/>
      </patternFill>
    </fill>
    <fill>
      <patternFill patternType="solid">
        <fgColor rgb="0031859B"/>
      </patternFill>
    </fill>
    <fill>
      <patternFill patternType="solid">
        <fgColor rgb="00808080"/>
      </patternFill>
    </fill>
  </fills>
  <borders count="7">
    <border>
      <left/>
      <right/>
      <top/>
      <bottom/>
      <diagonal/>
    </border>
    <border>
      <left style="thin">
        <color rgb="00B7C2CC"/>
      </left>
      <right style="thin">
        <color rgb="00B7C2CC"/>
      </right>
      <top style="thin">
        <color rgb="00B7C2CC"/>
      </top>
      <bottom style="thin">
        <color rgb="00B7C2CC"/>
      </bottom>
    </border>
    <border>
      <top style="thin">
        <color rgb="000F2B46"/>
      </top>
      <bottom style="double">
        <color rgb="000F2B46"/>
      </bottom>
    </border>
    <border>
      <left/>
      <right/>
      <top style="thin">
        <color rgb="00B7C2CC"/>
      </top>
      <bottom/>
      <diagonal/>
    </border>
    <border>
      <left/>
      <right style="thin">
        <color rgb="00B7C2CC"/>
      </right>
      <top style="thin">
        <color rgb="00B7C2CC"/>
      </top>
      <bottom/>
      <diagonal/>
    </border>
    <border>
      <left/>
      <right/>
      <top style="thin">
        <color rgb="00B7C2CC"/>
      </top>
      <bottom style="thin">
        <color rgb="00B7C2CC"/>
      </bottom>
      <diagonal/>
    </border>
    <border>
      <left/>
      <right style="thin">
        <color rgb="00B7C2CC"/>
      </right>
      <top style="thin">
        <color rgb="00B7C2CC"/>
      </top>
      <bottom style="thin">
        <color rgb="00B7C2CC"/>
      </bottom>
      <diagonal/>
    </border>
  </borders>
  <cellStyleXfs count="1">
    <xf numFmtId="0" fontId="0" fillId="0" borderId="0"/>
  </cellStyleXfs>
  <cellXfs count="194">
    <xf numFmtId="0" fontId="0" fillId="0" borderId="0" pivotButton="0" quotePrefix="0" xfId="0"/>
    <xf numFmtId="0" fontId="1" fillId="2" borderId="0" applyAlignment="1" pivotButton="0" quotePrefix="0" xfId="0">
      <alignment vertical="center" indent="1"/>
    </xf>
    <xf numFmtId="0" fontId="0" fillId="2" borderId="0" pivotButton="0" quotePrefix="0" xfId="0"/>
    <xf numFmtId="0" fontId="2" fillId="2" borderId="0" applyAlignment="1" pivotButton="0" quotePrefix="0" xfId="0">
      <alignment vertical="center" indent="1"/>
    </xf>
    <xf numFmtId="0" fontId="15" fillId="9" borderId="0" applyAlignment="1" pivotButton="0" quotePrefix="0" xfId="0">
      <alignment vertical="center" indent="1"/>
    </xf>
    <xf numFmtId="0" fontId="0" fillId="9" borderId="0" pivotButton="0" quotePrefix="0" xfId="0"/>
    <xf numFmtId="0" fontId="5" fillId="0" borderId="1" pivotButton="0" quotePrefix="0" xfId="0"/>
    <xf numFmtId="0" fontId="4" fillId="0" borderId="1" applyAlignment="1" pivotButton="0" quotePrefix="0" xfId="0">
      <alignment vertical="top" wrapText="1"/>
    </xf>
    <xf numFmtId="0" fontId="4" fillId="5" borderId="1" pivotButton="0" quotePrefix="0" xfId="0"/>
    <xf numFmtId="0" fontId="8" fillId="0" borderId="1" pivotButton="0" quotePrefix="0" xfId="0"/>
    <xf numFmtId="0" fontId="12" fillId="0" borderId="1" pivotButton="0" quotePrefix="0" xfId="0"/>
    <xf numFmtId="0" fontId="8" fillId="7" borderId="1" pivotButton="0" quotePrefix="0" xfId="0"/>
    <xf numFmtId="0" fontId="8" fillId="8" borderId="1" pivotButton="0" quotePrefix="0" xfId="0"/>
    <xf numFmtId="0" fontId="8" fillId="4" borderId="1" pivotButton="0" quotePrefix="0" xfId="0"/>
    <xf numFmtId="0" fontId="7" fillId="0" borderId="1" pivotButton="0" quotePrefix="0" xfId="0"/>
    <xf numFmtId="0" fontId="15" fillId="0" borderId="0" pivotButton="0" quotePrefix="0" xfId="0"/>
    <xf numFmtId="0" fontId="21" fillId="9" borderId="1" pivotButton="0" quotePrefix="0" xfId="0"/>
    <xf numFmtId="167" fontId="22" fillId="8" borderId="1" applyAlignment="1" pivotButton="0" quotePrefix="0" xfId="0">
      <alignment horizontal="center" vertical="center"/>
    </xf>
    <xf numFmtId="167" fontId="22" fillId="4" borderId="1" applyAlignment="1" pivotButton="0" quotePrefix="0" xfId="0">
      <alignment horizontal="center" vertical="center"/>
    </xf>
    <xf numFmtId="167" fontId="22" fillId="7" borderId="1" applyAlignment="1" pivotButton="0" quotePrefix="0" xfId="0">
      <alignment horizontal="center" vertical="center"/>
    </xf>
    <xf numFmtId="169" fontId="22" fillId="4" borderId="1" applyAlignment="1" pivotButton="0" quotePrefix="0" xfId="0">
      <alignment horizontal="center" vertical="center"/>
    </xf>
    <xf numFmtId="171" fontId="22" fillId="7" borderId="1" applyAlignment="1" pivotButton="0" quotePrefix="0" xfId="0">
      <alignment horizontal="center" vertical="center"/>
    </xf>
    <xf numFmtId="171" fontId="22" fillId="8" borderId="1" applyAlignment="1" pivotButton="0" quotePrefix="0" xfId="0">
      <alignment horizontal="center" vertical="center"/>
    </xf>
    <xf numFmtId="0" fontId="4" fillId="0" borderId="0" applyAlignment="1" pivotButton="0" quotePrefix="0" xfId="0">
      <alignment vertical="top" wrapText="1"/>
    </xf>
    <xf numFmtId="0" fontId="3" fillId="3" borderId="0" pivotButton="0" quotePrefix="0" xfId="0"/>
    <xf numFmtId="0" fontId="0" fillId="3" borderId="0" pivotButton="0" quotePrefix="0" xfId="0"/>
    <xf numFmtId="0" fontId="4" fillId="0" borderId="0" pivotButton="0" quotePrefix="0" xfId="0"/>
    <xf numFmtId="0" fontId="5" fillId="4" borderId="1" applyAlignment="1" pivotButton="0" quotePrefix="0" xfId="0">
      <alignment horizontal="center" vertical="center"/>
    </xf>
    <xf numFmtId="0" fontId="6" fillId="0" borderId="0" applyAlignment="1" pivotButton="0" quotePrefix="0" xfId="0">
      <alignment horizontal="center" vertical="center"/>
    </xf>
    <xf numFmtId="0" fontId="7" fillId="0" borderId="0" applyAlignment="1" pivotButton="0" quotePrefix="0" xfId="0">
      <alignment vertical="top" wrapText="1"/>
    </xf>
    <xf numFmtId="164" fontId="5" fillId="4" borderId="1" applyAlignment="1" pivotButton="0" quotePrefix="0" xfId="0">
      <alignment horizontal="center" vertical="center"/>
    </xf>
    <xf numFmtId="166" fontId="5" fillId="4" borderId="1" applyAlignment="1" pivotButton="0" quotePrefix="0" xfId="0">
      <alignment horizontal="center" vertical="center"/>
    </xf>
    <xf numFmtId="167" fontId="5" fillId="4" borderId="1" applyAlignment="1" pivotButton="0" quotePrefix="0" xfId="0">
      <alignment horizontal="center" vertical="center"/>
    </xf>
    <xf numFmtId="168" fontId="5" fillId="4" borderId="1" applyAlignment="1" pivotButton="0" quotePrefix="0" xfId="0">
      <alignment horizontal="center" vertical="center"/>
    </xf>
    <xf numFmtId="0" fontId="5" fillId="5" borderId="1" applyAlignment="1" pivotButton="0" quotePrefix="0" xfId="0">
      <alignment horizontal="center" vertical="center"/>
    </xf>
    <xf numFmtId="167" fontId="8" fillId="6" borderId="1" applyAlignment="1" pivotButton="0" quotePrefix="0" xfId="0">
      <alignment horizontal="center" vertical="center"/>
    </xf>
    <xf numFmtId="164" fontId="8" fillId="6" borderId="1" applyAlignment="1" pivotButton="0" quotePrefix="0" xfId="0">
      <alignment horizontal="center" vertical="center"/>
    </xf>
    <xf numFmtId="167" fontId="5" fillId="5" borderId="1" applyAlignment="1" pivotButton="0" quotePrefix="0" xfId="0">
      <alignment horizontal="center" vertical="center"/>
    </xf>
    <xf numFmtId="169" fontId="5" fillId="4" borderId="1" applyAlignment="1" pivotButton="0" quotePrefix="0" xfId="0">
      <alignment horizontal="center" vertical="center"/>
    </xf>
    <xf numFmtId="168" fontId="5" fillId="5" borderId="1" applyAlignment="1" pivotButton="0" quotePrefix="0" xfId="0">
      <alignment horizontal="center" vertical="center"/>
    </xf>
    <xf numFmtId="170" fontId="5" fillId="5" borderId="1" applyAlignment="1" pivotButton="0" quotePrefix="0" xfId="0">
      <alignment horizontal="center" vertical="center"/>
    </xf>
    <xf numFmtId="171" fontId="5" fillId="5" borderId="1" applyAlignment="1" pivotButton="0" quotePrefix="0" xfId="0">
      <alignment horizontal="center" vertical="center"/>
    </xf>
    <xf numFmtId="170" fontId="5" fillId="4" borderId="1" applyAlignment="1" pivotButton="0" quotePrefix="0" xfId="0">
      <alignment horizontal="center" vertical="center"/>
    </xf>
    <xf numFmtId="170" fontId="8" fillId="7" borderId="1" applyAlignment="1" pivotButton="0" quotePrefix="0" xfId="0">
      <alignment horizontal="center" vertical="center"/>
    </xf>
    <xf numFmtId="169" fontId="8" fillId="6" borderId="1" applyAlignment="1" pivotButton="0" quotePrefix="0" xfId="0">
      <alignment horizontal="center" vertical="center"/>
    </xf>
    <xf numFmtId="171" fontId="8" fillId="6" borderId="1" applyAlignment="1" pivotButton="0" quotePrefix="0" xfId="0">
      <alignment horizontal="center" vertical="center"/>
    </xf>
    <xf numFmtId="0" fontId="8" fillId="0" borderId="0" pivotButton="0" quotePrefix="0" xfId="0"/>
    <xf numFmtId="0" fontId="7" fillId="0" borderId="0" applyAlignment="1" pivotButton="0" quotePrefix="0" xfId="0">
      <alignment horizontal="right" vertical="center"/>
    </xf>
    <xf numFmtId="164" fontId="8" fillId="7" borderId="1" applyAlignment="1" pivotButton="0" quotePrefix="0" xfId="0">
      <alignment horizontal="center" vertical="center"/>
    </xf>
    <xf numFmtId="171" fontId="8" fillId="7" borderId="1" pivotButton="0" quotePrefix="0" xfId="0"/>
    <xf numFmtId="167" fontId="8" fillId="7" borderId="1" pivotButton="0" quotePrefix="0" xfId="0"/>
    <xf numFmtId="167" fontId="8" fillId="4" borderId="1" pivotButton="0" quotePrefix="0" xfId="0"/>
    <xf numFmtId="0" fontId="9" fillId="8" borderId="0" pivotButton="0" quotePrefix="0" xfId="0"/>
    <xf numFmtId="0" fontId="7" fillId="0" borderId="0" pivotButton="0" quotePrefix="0" xfId="0"/>
    <xf numFmtId="164" fontId="9" fillId="0" borderId="1" applyAlignment="1" pivotButton="0" quotePrefix="0" xfId="0">
      <alignment horizontal="center" vertical="center"/>
    </xf>
    <xf numFmtId="0" fontId="10" fillId="3" borderId="1" applyAlignment="1" pivotButton="0" quotePrefix="0" xfId="0">
      <alignment horizontal="center" vertical="center" wrapText="1"/>
    </xf>
    <xf numFmtId="166" fontId="11" fillId="0" borderId="1" applyAlignment="1" pivotButton="0" quotePrefix="0" xfId="0">
      <alignment horizontal="center" vertical="center"/>
    </xf>
    <xf numFmtId="0" fontId="11" fillId="0" borderId="1" pivotButton="0" quotePrefix="0" xfId="0"/>
    <xf numFmtId="171" fontId="11" fillId="0" borderId="1" pivotButton="0" quotePrefix="0" xfId="0"/>
    <xf numFmtId="168" fontId="11" fillId="0" borderId="1" applyAlignment="1" pivotButton="0" quotePrefix="0" xfId="0">
      <alignment horizontal="center" vertical="center"/>
    </xf>
    <xf numFmtId="168" fontId="12" fillId="0" borderId="1" applyAlignment="1" pivotButton="0" quotePrefix="0" xfId="0">
      <alignment horizontal="center" vertical="center"/>
    </xf>
    <xf numFmtId="167" fontId="4" fillId="0" borderId="1" pivotButton="0" quotePrefix="0" xfId="0"/>
    <xf numFmtId="0" fontId="11" fillId="0" borderId="1" applyAlignment="1" pivotButton="0" quotePrefix="0" xfId="0">
      <alignment horizontal="center" vertical="center"/>
    </xf>
    <xf numFmtId="170" fontId="11" fillId="0" borderId="1" applyAlignment="1" pivotButton="0" quotePrefix="0" xfId="0">
      <alignment horizontal="center" vertical="center"/>
    </xf>
    <xf numFmtId="172" fontId="4" fillId="0" borderId="1" applyAlignment="1" pivotButton="0" quotePrefix="0" xfId="0">
      <alignment horizontal="center" vertical="center"/>
    </xf>
    <xf numFmtId="168" fontId="12" fillId="6" borderId="1" applyAlignment="1" pivotButton="0" quotePrefix="0" xfId="0">
      <alignment horizontal="center" vertical="center"/>
    </xf>
    <xf numFmtId="167" fontId="4" fillId="6" borderId="1" pivotButton="0" quotePrefix="0" xfId="0"/>
    <xf numFmtId="172" fontId="4" fillId="6" borderId="1" applyAlignment="1" pivotButton="0" quotePrefix="0" xfId="0">
      <alignment horizontal="center" vertical="center"/>
    </xf>
    <xf numFmtId="166" fontId="11" fillId="6" borderId="1" pivotButton="0" quotePrefix="0" xfId="0"/>
    <xf numFmtId="0" fontId="11" fillId="6" borderId="1" pivotButton="0" quotePrefix="0" xfId="0"/>
    <xf numFmtId="171" fontId="11" fillId="6" borderId="1" pivotButton="0" quotePrefix="0" xfId="0"/>
    <xf numFmtId="168" fontId="11" fillId="6" borderId="1" pivotButton="0" quotePrefix="0" xfId="0"/>
    <xf numFmtId="170" fontId="11" fillId="6" borderId="1" pivotButton="0" quotePrefix="0" xfId="0"/>
    <xf numFmtId="166" fontId="11" fillId="0" borderId="1" pivotButton="0" quotePrefix="0" xfId="0"/>
    <xf numFmtId="168" fontId="11" fillId="0" borderId="1" pivotButton="0" quotePrefix="0" xfId="0"/>
    <xf numFmtId="170" fontId="11" fillId="0" borderId="1" pivotButton="0" quotePrefix="0" xfId="0"/>
    <xf numFmtId="167" fontId="8" fillId="8" borderId="1" pivotButton="0" quotePrefix="0" xfId="0"/>
    <xf numFmtId="0" fontId="13" fillId="0" borderId="0" pivotButton="0" quotePrefix="0" xfId="0"/>
    <xf numFmtId="166" fontId="8" fillId="4" borderId="1" applyAlignment="1" pivotButton="0" quotePrefix="0" xfId="0">
      <alignment horizontal="center" vertical="center"/>
    </xf>
    <xf numFmtId="164" fontId="4" fillId="0" borderId="1" applyAlignment="1" pivotButton="0" quotePrefix="0" xfId="0">
      <alignment horizontal="center" vertical="center"/>
    </xf>
    <xf numFmtId="166" fontId="4" fillId="0" borderId="1" applyAlignment="1" pivotButton="0" quotePrefix="0" xfId="0">
      <alignment horizontal="center" vertical="center"/>
    </xf>
    <xf numFmtId="167" fontId="12" fillId="0" borderId="1" pivotButton="0" quotePrefix="0" xfId="0"/>
    <xf numFmtId="167" fontId="8" fillId="0" borderId="1" pivotButton="0" quotePrefix="0" xfId="0"/>
    <xf numFmtId="0" fontId="7" fillId="0" borderId="1" applyAlignment="1" pivotButton="0" quotePrefix="0" xfId="0">
      <alignment horizontal="center" vertical="center"/>
    </xf>
    <xf numFmtId="164" fontId="4" fillId="6" borderId="1" applyAlignment="1" pivotButton="0" quotePrefix="0" xfId="0">
      <alignment horizontal="center" vertical="center"/>
    </xf>
    <xf numFmtId="166" fontId="4" fillId="6" borderId="1" applyAlignment="1" pivotButton="0" quotePrefix="0" xfId="0">
      <alignment horizontal="center" vertical="center"/>
    </xf>
    <xf numFmtId="167" fontId="12" fillId="6" borderId="1" pivotButton="0" quotePrefix="0" xfId="0"/>
    <xf numFmtId="167" fontId="8" fillId="6" borderId="1" pivotButton="0" quotePrefix="0" xfId="0"/>
    <xf numFmtId="167" fontId="4" fillId="8" borderId="1" pivotButton="0" quotePrefix="0" xfId="0"/>
    <xf numFmtId="0" fontId="7" fillId="6" borderId="1" applyAlignment="1" pivotButton="0" quotePrefix="0" xfId="0">
      <alignment horizontal="center" vertical="center"/>
    </xf>
    <xf numFmtId="166" fontId="5" fillId="6" borderId="1" applyAlignment="1" pivotButton="0" quotePrefix="0" xfId="0">
      <alignment horizontal="center" vertical="center"/>
    </xf>
    <xf numFmtId="166" fontId="5" fillId="0" borderId="1" applyAlignment="1" pivotButton="0" quotePrefix="0" xfId="0">
      <alignment horizontal="center" vertical="center"/>
    </xf>
    <xf numFmtId="0" fontId="8" fillId="0" borderId="2" pivotButton="0" quotePrefix="0" xfId="0"/>
    <xf numFmtId="167" fontId="8" fillId="0" borderId="2" pivotButton="0" quotePrefix="0" xfId="0"/>
    <xf numFmtId="167" fontId="14" fillId="5" borderId="1" pivotButton="0" quotePrefix="0" xfId="0"/>
    <xf numFmtId="0" fontId="4" fillId="0" borderId="1" pivotButton="0" quotePrefix="0" xfId="0"/>
    <xf numFmtId="0" fontId="7" fillId="0" borderId="1" applyAlignment="1" pivotButton="0" quotePrefix="0" xfId="0">
      <alignment vertical="top" wrapText="1"/>
    </xf>
    <xf numFmtId="0" fontId="4" fillId="6" borderId="1" pivotButton="0" quotePrefix="0" xfId="0"/>
    <xf numFmtId="0" fontId="8" fillId="7" borderId="1" applyAlignment="1" pivotButton="0" quotePrefix="0" xfId="0">
      <alignment horizontal="center" vertical="center"/>
    </xf>
    <xf numFmtId="0" fontId="4" fillId="6" borderId="1" applyAlignment="1" pivotButton="0" quotePrefix="0" xfId="0">
      <alignment horizontal="center" vertical="center"/>
    </xf>
    <xf numFmtId="0" fontId="7" fillId="6" borderId="1" applyAlignment="1" pivotButton="0" quotePrefix="0" xfId="0">
      <alignment vertical="top" wrapText="1"/>
    </xf>
    <xf numFmtId="0" fontId="8" fillId="6" borderId="1" pivotButton="0" quotePrefix="0" xfId="0"/>
    <xf numFmtId="171" fontId="4" fillId="0" borderId="1" pivotButton="0" quotePrefix="0" xfId="0"/>
    <xf numFmtId="169" fontId="8" fillId="7" borderId="1" pivotButton="0" quotePrefix="0" xfId="0"/>
    <xf numFmtId="169" fontId="4" fillId="6" borderId="1" pivotButton="0" quotePrefix="0" xfId="0"/>
    <xf numFmtId="169" fontId="8" fillId="4" borderId="1" pivotButton="0" quotePrefix="0" xfId="0"/>
    <xf numFmtId="171" fontId="4" fillId="6" borderId="1" pivotButton="0" quotePrefix="0" xfId="0"/>
    <xf numFmtId="0" fontId="8" fillId="9" borderId="1" applyAlignment="1" pivotButton="0" quotePrefix="0" xfId="0">
      <alignment vertical="top" wrapText="1"/>
    </xf>
    <xf numFmtId="164" fontId="5" fillId="9" borderId="1" applyAlignment="1" pivotButton="0" quotePrefix="0" xfId="0">
      <alignment horizontal="center" vertical="center"/>
    </xf>
    <xf numFmtId="171" fontId="5" fillId="9" borderId="1" pivotButton="0" quotePrefix="0" xfId="0"/>
    <xf numFmtId="0" fontId="4" fillId="0" borderId="1" applyAlignment="1" pivotButton="0" quotePrefix="0" xfId="0">
      <alignment horizontal="center" vertical="center"/>
    </xf>
    <xf numFmtId="167" fontId="8" fillId="4" borderId="2" pivotButton="0" quotePrefix="0" xfId="0"/>
    <xf numFmtId="0" fontId="12" fillId="0" borderId="1" applyAlignment="1" pivotButton="0" quotePrefix="0" xfId="0">
      <alignment horizontal="center" vertical="center"/>
    </xf>
    <xf numFmtId="167" fontId="4" fillId="7" borderId="1" pivotButton="0" quotePrefix="0" xfId="0"/>
    <xf numFmtId="167" fontId="4" fillId="4" borderId="1" pivotButton="0" quotePrefix="0" xfId="0"/>
    <xf numFmtId="171" fontId="4" fillId="4" borderId="1" pivotButton="0" quotePrefix="0" xfId="0"/>
    <xf numFmtId="169" fontId="4" fillId="4" borderId="1" pivotButton="0" quotePrefix="0" xfId="0"/>
    <xf numFmtId="0" fontId="12" fillId="4" borderId="1" applyAlignment="1" pivotButton="0" quotePrefix="0" xfId="0">
      <alignment horizontal="center" vertical="center"/>
    </xf>
    <xf numFmtId="172" fontId="12" fillId="0" borderId="1" applyAlignment="1" pivotButton="0" quotePrefix="0" xfId="0">
      <alignment horizontal="center" vertical="center"/>
    </xf>
    <xf numFmtId="167" fontId="12" fillId="4" borderId="1" pivotButton="0" quotePrefix="0" xfId="0"/>
    <xf numFmtId="0" fontId="9" fillId="0" borderId="0" pivotButton="0" quotePrefix="0" xfId="0"/>
    <xf numFmtId="0" fontId="19" fillId="0" borderId="0" pivotButton="0" quotePrefix="0" xfId="0"/>
    <xf numFmtId="0" fontId="7" fillId="6" borderId="1" pivotButton="0" quotePrefix="0" xfId="0"/>
    <xf numFmtId="0" fontId="8" fillId="9" borderId="1" pivotButton="0" quotePrefix="0" xfId="0"/>
    <xf numFmtId="167" fontId="5" fillId="4" borderId="1" pivotButton="0" quotePrefix="0" xfId="0"/>
    <xf numFmtId="167" fontId="8" fillId="7" borderId="2" pivotButton="0" quotePrefix="0" xfId="0"/>
    <xf numFmtId="0" fontId="7" fillId="0" borderId="2" pivotButton="0" quotePrefix="0" xfId="0"/>
    <xf numFmtId="0" fontId="17" fillId="0" borderId="0" pivotButton="0" quotePrefix="0" xfId="0"/>
    <xf numFmtId="0" fontId="18" fillId="2" borderId="0" applyAlignment="1" pivotButton="0" quotePrefix="0" xfId="0">
      <alignment horizontal="center"/>
    </xf>
    <xf numFmtId="0" fontId="18" fillId="3" borderId="0" applyAlignment="1" pivotButton="0" quotePrefix="0" xfId="0">
      <alignment horizontal="center"/>
    </xf>
    <xf numFmtId="0" fontId="18" fillId="10" borderId="0" applyAlignment="1" pivotButton="0" quotePrefix="0" xfId="0">
      <alignment horizontal="center"/>
    </xf>
    <xf numFmtId="0" fontId="0" fillId="10" borderId="0" pivotButton="0" quotePrefix="0" xfId="0"/>
    <xf numFmtId="0" fontId="18" fillId="11" borderId="0" applyAlignment="1" pivotButton="0" quotePrefix="0" xfId="0">
      <alignment horizontal="center"/>
    </xf>
    <xf numFmtId="0" fontId="0" fillId="11" borderId="0" pivotButton="0" quotePrefix="0" xfId="0"/>
    <xf numFmtId="0" fontId="18" fillId="12" borderId="0" applyAlignment="1" pivotButton="0" quotePrefix="0" xfId="0">
      <alignment horizontal="center"/>
    </xf>
    <xf numFmtId="0" fontId="0" fillId="12" borderId="0" pivotButton="0" quotePrefix="0" xfId="0"/>
    <xf numFmtId="0" fontId="18" fillId="13" borderId="0" applyAlignment="1" pivotButton="0" quotePrefix="0" xfId="0">
      <alignment horizontal="center"/>
    </xf>
    <xf numFmtId="0" fontId="0" fillId="13" borderId="0" pivotButton="0" quotePrefix="0" xfId="0"/>
    <xf numFmtId="0" fontId="18" fillId="14" borderId="0" applyAlignment="1" pivotButton="0" quotePrefix="0" xfId="0">
      <alignment horizontal="center"/>
    </xf>
    <xf numFmtId="0" fontId="0" fillId="14" borderId="0" pivotButton="0" quotePrefix="0" xfId="0"/>
    <xf numFmtId="172" fontId="12" fillId="6" borderId="1" applyAlignment="1" pivotButton="0" quotePrefix="0" xfId="0">
      <alignment horizontal="center" vertical="center"/>
    </xf>
    <xf numFmtId="166" fontId="12" fillId="0" borderId="1" applyAlignment="1" pivotButton="0" quotePrefix="0" xfId="0">
      <alignment horizontal="center" vertical="center"/>
    </xf>
    <xf numFmtId="167" fontId="8" fillId="5" borderId="1" pivotButton="0" quotePrefix="0" xfId="0"/>
    <xf numFmtId="166" fontId="8" fillId="7" borderId="1" applyAlignment="1" pivotButton="0" quotePrefix="0" xfId="0">
      <alignment horizontal="center" vertical="center"/>
    </xf>
    <xf numFmtId="0" fontId="16" fillId="0" borderId="1" pivotButton="0" quotePrefix="0" xfId="0"/>
    <xf numFmtId="0" fontId="16" fillId="6" borderId="1" pivotButton="0" quotePrefix="0" xfId="0"/>
    <xf numFmtId="164" fontId="4" fillId="0" borderId="1" pivotButton="0" quotePrefix="0" xfId="0"/>
    <xf numFmtId="164" fontId="4" fillId="4" borderId="1" pivotButton="0" quotePrefix="0" xfId="0"/>
    <xf numFmtId="170" fontId="4" fillId="6" borderId="1" pivotButton="0" quotePrefix="0" xfId="0"/>
    <xf numFmtId="170" fontId="4" fillId="4" borderId="1" pivotButton="0" quotePrefix="0" xfId="0"/>
    <xf numFmtId="0" fontId="4" fillId="4" borderId="1" applyAlignment="1" pivotButton="0" quotePrefix="0" xfId="0">
      <alignment horizontal="center" vertical="center"/>
    </xf>
    <xf numFmtId="0" fontId="0" fillId="0" borderId="5" pivotButton="0" quotePrefix="0" xfId="0"/>
    <xf numFmtId="0" fontId="0" fillId="0" borderId="6" pivotButton="0" quotePrefix="0" xfId="0"/>
    <xf numFmtId="0" fontId="4" fillId="6" borderId="1" applyAlignment="1" pivotButton="0" quotePrefix="0" xfId="0">
      <alignment vertical="top" wrapText="1"/>
    </xf>
    <xf numFmtId="0" fontId="8" fillId="5" borderId="1" applyAlignment="1" pivotButton="0" quotePrefix="0" xfId="0">
      <alignment horizontal="center" vertical="center"/>
    </xf>
    <xf numFmtId="170" fontId="8" fillId="4" borderId="1" pivotButton="0" quotePrefix="0" xfId="0"/>
    <xf numFmtId="166" fontId="11" fillId="6" borderId="1" applyAlignment="1" pivotButton="0" quotePrefix="0" xfId="0">
      <alignment horizontal="center" vertical="center"/>
    </xf>
    <xf numFmtId="167" fontId="5" fillId="5" borderId="1" pivotButton="0" quotePrefix="0" xfId="0"/>
    <xf numFmtId="170" fontId="5" fillId="4" borderId="1" pivotButton="0" quotePrefix="0" xfId="0"/>
    <xf numFmtId="164" fontId="5" fillId="4" borderId="1" pivotButton="0" quotePrefix="0" xfId="0"/>
    <xf numFmtId="171" fontId="20" fillId="7" borderId="1" pivotButton="0" quotePrefix="0" xfId="0"/>
    <xf numFmtId="164" fontId="8" fillId="7" borderId="1" pivotButton="0" quotePrefix="0" xfId="0"/>
    <xf numFmtId="171" fontId="8" fillId="4" borderId="1" pivotButton="0" quotePrefix="0" xfId="0"/>
    <xf numFmtId="164" fontId="5" fillId="7" borderId="1" applyAlignment="1" pivotButton="0" quotePrefix="0" xfId="0">
      <alignment horizontal="center" vertical="center"/>
    </xf>
    <xf numFmtId="171" fontId="8" fillId="6" borderId="1" pivotButton="0" quotePrefix="0" xfId="0"/>
    <xf numFmtId="171" fontId="4" fillId="8" borderId="1" pivotButton="0" quotePrefix="0" xfId="0"/>
    <xf numFmtId="171" fontId="8" fillId="0" borderId="1" pivotButton="0" quotePrefix="0" xfId="0"/>
    <xf numFmtId="167" fontId="8" fillId="8" borderId="2" pivotButton="0" quotePrefix="0" xfId="0"/>
    <xf numFmtId="167" fontId="8" fillId="5" borderId="2" pivotButton="0" quotePrefix="0" xfId="0"/>
    <xf numFmtId="0" fontId="13" fillId="0" borderId="0" applyAlignment="1" pivotButton="0" quotePrefix="0" xfId="0">
      <alignment vertical="top" wrapText="1"/>
    </xf>
    <xf numFmtId="0" fontId="14" fillId="8" borderId="0" pivotButton="0" quotePrefix="0" xfId="0"/>
    <xf numFmtId="0" fontId="19" fillId="0" borderId="0" applyAlignment="1" pivotButton="0" quotePrefix="0" xfId="0">
      <alignment vertical="top" wrapText="1"/>
    </xf>
    <xf numFmtId="167" fontId="12" fillId="4" borderId="1" applyAlignment="1" pivotButton="0" quotePrefix="0" xfId="0">
      <alignment horizontal="center" vertical="center"/>
    </xf>
    <xf numFmtId="170" fontId="5" fillId="0" borderId="1" applyAlignment="1" pivotButton="0" quotePrefix="0" xfId="0">
      <alignment horizontal="center" vertical="center"/>
    </xf>
    <xf numFmtId="170" fontId="5" fillId="6" borderId="1" applyAlignment="1" pivotButton="0" quotePrefix="0" xfId="0">
      <alignment horizontal="center" vertical="center"/>
    </xf>
    <xf numFmtId="171" fontId="8" fillId="5" borderId="2" pivotButton="0" quotePrefix="0" xfId="0"/>
    <xf numFmtId="167" fontId="11" fillId="4" borderId="1" pivotButton="0" quotePrefix="0" xfId="0"/>
    <xf numFmtId="164" fontId="11" fillId="0" borderId="1" applyAlignment="1" pivotButton="0" quotePrefix="0" xfId="0">
      <alignment horizontal="center" vertical="center"/>
    </xf>
    <xf numFmtId="173" fontId="8" fillId="7" borderId="1" applyAlignment="1" pivotButton="0" quotePrefix="0" xfId="0">
      <alignment horizontal="center" vertical="center"/>
    </xf>
    <xf numFmtId="164" fontId="11" fillId="6" borderId="1" applyAlignment="1" pivotButton="0" quotePrefix="0" xfId="0">
      <alignment horizontal="center" vertical="center"/>
    </xf>
    <xf numFmtId="173" fontId="8" fillId="6" borderId="1" applyAlignment="1" pivotButton="0" quotePrefix="0" xfId="0">
      <alignment horizontal="center" vertical="center"/>
    </xf>
    <xf numFmtId="164" fontId="8" fillId="0" borderId="2" pivotButton="0" quotePrefix="0" xfId="0"/>
    <xf numFmtId="174" fontId="8" fillId="4" borderId="2" applyAlignment="1" pivotButton="0" quotePrefix="0" xfId="0">
      <alignment horizontal="center" vertical="center"/>
    </xf>
    <xf numFmtId="0" fontId="8" fillId="8" borderId="1" applyAlignment="1" pivotButton="0" quotePrefix="0" xfId="0">
      <alignment horizontal="center" vertical="center"/>
    </xf>
    <xf numFmtId="0" fontId="8" fillId="8" borderId="1" applyAlignment="1" pivotButton="0" quotePrefix="0" xfId="0">
      <alignment vertical="top" wrapText="1"/>
    </xf>
    <xf numFmtId="0" fontId="23" fillId="8" borderId="1" applyAlignment="1" pivotButton="0" quotePrefix="0" xfId="0">
      <alignment vertical="top" wrapText="1"/>
    </xf>
    <xf numFmtId="0" fontId="8" fillId="7" borderId="1" applyAlignment="1" pivotButton="0" quotePrefix="0" xfId="0">
      <alignment vertical="top" wrapText="1"/>
    </xf>
    <xf numFmtId="0" fontId="23" fillId="7" borderId="1" applyAlignment="1" pivotButton="0" quotePrefix="0" xfId="0">
      <alignment vertical="top" wrapText="1"/>
    </xf>
    <xf numFmtId="0" fontId="8" fillId="0" borderId="1" applyAlignment="1" pivotButton="0" quotePrefix="0" xfId="0">
      <alignment horizontal="center" vertical="center"/>
    </xf>
    <xf numFmtId="0" fontId="8" fillId="0" borderId="1" applyAlignment="1" pivotButton="0" quotePrefix="0" xfId="0">
      <alignment vertical="top" wrapText="1"/>
    </xf>
    <xf numFmtId="0" fontId="23" fillId="0" borderId="1" applyAlignment="1" pivotButton="0" quotePrefix="0" xfId="0">
      <alignment vertical="top" wrapText="1"/>
    </xf>
    <xf numFmtId="0" fontId="8" fillId="6" borderId="1" applyAlignment="1" pivotButton="0" quotePrefix="0" xfId="0">
      <alignment horizontal="center" vertical="center"/>
    </xf>
    <xf numFmtId="0" fontId="8" fillId="6" borderId="1" applyAlignment="1" pivotButton="0" quotePrefix="0" xfId="0">
      <alignment vertical="top" wrapText="1"/>
    </xf>
    <xf numFmtId="0" fontId="23" fillId="6" borderId="1" applyAlignment="1" pivotButton="0" quotePrefix="0" xfId="0">
      <alignment vertical="top" wrapText="1"/>
    </xf>
  </cellXfs>
  <cellStyles count="1">
    <cellStyle name="Normal" xfId="0" builtinId="0" hidden="0"/>
  </cellStyles>
  <dxfs count="3">
    <dxf>
      <font>
        <color rgb="009C0006"/>
      </font>
      <fill>
        <patternFill patternType="solid">
          <bgColor rgb="00FFC7CE"/>
        </patternFill>
      </fill>
    </dxf>
    <dxf>
      <font>
        <color rgb="00006100"/>
      </font>
      <fill>
        <patternFill patternType="solid">
          <bgColor rgb="00C6EFCE"/>
        </patternFill>
      </fill>
    </dxf>
    <dxf>
      <font>
        <b val="1"/>
        <color rgb="009C0006"/>
      </font>
      <fill>
        <patternFill patternType="solid">
          <b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styles" Target="styles.xml" Id="rId21" /><Relationship Type="http://schemas.openxmlformats.org/officeDocument/2006/relationships/theme" Target="theme/theme1.xml" Id="rId22" /></Relationships>
</file>

<file path=xl/charts/chart1.xml><?xml version="1.0" encoding="utf-8"?>
<chartSpace xmlns:a="http://schemas.openxmlformats.org/drawingml/2006/main" xmlns="http://schemas.openxmlformats.org/drawingml/2006/chart">
  <style val="2"/>
  <chart>
    <title>
      <tx>
        <rich>
          <a:bodyPr/>
          <a:p>
            <a:pPr>
              <a:defRPr/>
            </a:pPr>
            <a:r>
              <a:t>Cumulative surplus - 36 months</a:t>
            </a:r>
          </a:p>
        </rich>
      </tx>
    </title>
    <plotArea>
      <lineChart>
        <grouping val="standard"/>
        <ser>
          <idx val="0"/>
          <order val="0"/>
          <tx>
            <strRef>
              <f>'Cash Flow'!Q8</f>
            </strRef>
          </tx>
          <spPr>
            <a:ln>
              <a:prstDash val="solid"/>
            </a:ln>
          </spPr>
          <marker>
            <symbol val="none"/>
            <spPr>
              <a:ln>
                <a:prstDash val="solid"/>
              </a:ln>
            </spPr>
          </marker>
          <cat>
            <numRef>
              <f>'Cash Flow'!$A$9:$A$44</f>
            </numRef>
          </cat>
          <val>
            <numRef>
              <f>'Cash Flow'!$Q$9:$Q$44</f>
            </numRef>
          </val>
        </ser>
        <axId val="10"/>
        <axId val="100"/>
      </lineChart>
      <catAx>
        <axId val="10"/>
        <scaling>
          <orientation val="minMax"/>
        </scaling>
        <axPos val="l"/>
        <majorTickMark val="none"/>
        <minorTickMark val="none"/>
        <crossAx val="100"/>
        <lblOffset val="100"/>
      </catAx>
      <valAx>
        <axId val="100"/>
        <scaling>
          <orientation val="minMax"/>
        </scaling>
        <axPos val="l"/>
        <numFmt formatCode="$#,##0" sourceLinked="0"/>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style val="2"/>
  <chart>
    <title>
      <tx>
        <rich>
          <a:bodyPr/>
          <a:p>
            <a:pPr>
              <a:defRPr/>
            </a:pPr>
            <a:r>
              <a:t>Net cash income vs. total outflow</a:t>
            </a:r>
          </a:p>
        </rich>
      </tx>
    </title>
    <plotArea>
      <barChart>
        <barDir val="col"/>
        <grouping val="clustered"/>
        <ser>
          <idx val="0"/>
          <order val="0"/>
          <tx>
            <strRef>
              <f>'Cash Flow'!I8</f>
            </strRef>
          </tx>
          <spPr>
            <a:ln>
              <a:prstDash val="solid"/>
            </a:ln>
          </spPr>
          <cat>
            <numRef>
              <f>'Cash Flow'!$A$9:$A$44</f>
            </numRef>
          </cat>
          <val>
            <numRef>
              <f>'Cash Flow'!$I$9:$I$44</f>
            </numRef>
          </val>
        </ser>
        <ser>
          <idx val="1"/>
          <order val="1"/>
          <tx>
            <strRef>
              <f>'Cash Flow'!O8</f>
            </strRef>
          </tx>
          <spPr>
            <a:ln>
              <a:prstDash val="solid"/>
            </a:ln>
          </spPr>
          <cat>
            <numRef>
              <f>'Cash Flow'!$A$9:$A$44</f>
            </numRef>
          </cat>
          <val>
            <numRef>
              <f>'Cash Flow'!$O$9:$O$44</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numFmt formatCode="$#,##0" sourceLinked="0"/>
        <majorTickMark val="none"/>
        <minorTickMark val="none"/>
        <crossAx val="10"/>
      </valAx>
    </plotArea>
    <legend>
      <legendPos val="r"/>
    </legend>
    <plotVisOnly val="1"/>
    <dispBlanksAs val="gap"/>
  </chart>
</chartSpace>
</file>

<file path=xl/charts/chart3.xml><?xml version="1.0" encoding="utf-8"?>
<chartSpace xmlns:a="http://schemas.openxmlformats.org/drawingml/2006/main" xmlns="http://schemas.openxmlformats.org/drawingml/2006/chart">
  <style val="2"/>
  <chart>
    <title>
      <tx>
        <rich>
          <a:bodyPr/>
          <a:p>
            <a:pPr>
              <a:defRPr/>
            </a:pPr>
            <a:r>
              <a:t>Account balances over time</a:t>
            </a:r>
          </a:p>
        </rich>
      </tx>
    </title>
    <plotArea>
      <lineChart>
        <grouping val="standard"/>
        <ser>
          <idx val="0"/>
          <order val="0"/>
          <tx>
            <strRef>
              <f>'Accounts'!L8</f>
            </strRef>
          </tx>
          <spPr>
            <a:ln>
              <a:prstDash val="solid"/>
            </a:ln>
          </spPr>
          <marker>
            <symbol val="none"/>
            <spPr>
              <a:ln>
                <a:prstDash val="solid"/>
              </a:ln>
            </spPr>
          </marker>
          <cat>
            <numRef>
              <f>'Accounts'!$A$9:$A$44</f>
            </numRef>
          </cat>
          <val>
            <numRef>
              <f>'Accounts'!$L$9:$L$44</f>
            </numRef>
          </val>
        </ser>
        <ser>
          <idx val="1"/>
          <order val="1"/>
          <tx>
            <strRef>
              <f>'Accounts'!P8</f>
            </strRef>
          </tx>
          <spPr>
            <a:ln>
              <a:prstDash val="solid"/>
            </a:ln>
          </spPr>
          <marker>
            <symbol val="none"/>
            <spPr>
              <a:ln>
                <a:prstDash val="solid"/>
              </a:ln>
            </spPr>
          </marker>
          <cat>
            <numRef>
              <f>'Accounts'!$A$9:$A$44</f>
            </numRef>
          </cat>
          <val>
            <numRef>
              <f>'Accounts'!$P$9:$P$44</f>
            </numRef>
          </val>
        </ser>
        <ser>
          <idx val="2"/>
          <order val="2"/>
          <tx>
            <strRef>
              <f>'Accounts'!T8</f>
            </strRef>
          </tx>
          <spPr>
            <a:ln>
              <a:prstDash val="solid"/>
            </a:ln>
          </spPr>
          <marker>
            <symbol val="none"/>
            <spPr>
              <a:ln>
                <a:prstDash val="solid"/>
              </a:ln>
            </spPr>
          </marker>
          <cat>
            <numRef>
              <f>'Accounts'!$A$9:$A$44</f>
            </numRef>
          </cat>
          <val>
            <numRef>
              <f>'Accounts'!$T$9:$T$44</f>
            </numRef>
          </val>
        </ser>
        <ser>
          <idx val="3"/>
          <order val="3"/>
          <tx>
            <strRef>
              <f>'Accounts'!W8</f>
            </strRef>
          </tx>
          <spPr>
            <a:ln>
              <a:prstDash val="solid"/>
            </a:ln>
          </spPr>
          <marker>
            <symbol val="none"/>
            <spPr>
              <a:ln>
                <a:prstDash val="solid"/>
              </a:ln>
            </spPr>
          </marker>
          <cat>
            <numRef>
              <f>'Accounts'!$A$9:$A$44</f>
            </numRef>
          </cat>
          <val>
            <numRef>
              <f>'Accounts'!$W$9:$W$44</f>
            </numRef>
          </val>
        </ser>
        <ser>
          <idx val="4"/>
          <order val="4"/>
          <tx>
            <strRef>
              <f>'Accounts'!Z8</f>
            </strRef>
          </tx>
          <spPr>
            <a:ln>
              <a:prstDash val="solid"/>
            </a:ln>
          </spPr>
          <marker>
            <symbol val="none"/>
            <spPr>
              <a:ln>
                <a:prstDash val="solid"/>
              </a:ln>
            </spPr>
          </marker>
          <cat>
            <numRef>
              <f>'Accounts'!$A$9:$A$44</f>
            </numRef>
          </cat>
          <val>
            <numRef>
              <f>'Accounts'!$Z$9:$Z$44</f>
            </numRef>
          </val>
        </ser>
        <axId val="10"/>
        <axId val="100"/>
      </lineChart>
      <catAx>
        <axId val="10"/>
        <scaling>
          <orientation val="minMax"/>
        </scaling>
        <axPos val="l"/>
        <majorTickMark val="none"/>
        <minorTickMark val="none"/>
        <crossAx val="100"/>
        <lblOffset val="100"/>
      </catAx>
      <valAx>
        <axId val="100"/>
        <scaling>
          <orientation val="minMax"/>
        </scaling>
        <axPos val="l"/>
        <numFmt formatCode="$#,##0" sourceLinked="0"/>
        <majorTickMark val="none"/>
        <minorTickMark val="none"/>
        <crossAx val="10"/>
      </valAx>
    </plotArea>
    <legend>
      <legendPos val="r"/>
    </legend>
    <plotVisOnly val="1"/>
    <dispBlanksAs val="gap"/>
  </chart>
</chartSpace>
</file>

<file path=xl/charts/chart4.xml><?xml version="1.0" encoding="utf-8"?>
<chartSpace xmlns:a="http://schemas.openxmlformats.org/drawingml/2006/main" xmlns="http://schemas.openxmlformats.org/drawingml/2006/chart">
  <style val="2"/>
  <chart>
    <title>
      <tx>
        <rich>
          <a:bodyPr/>
          <a:p>
            <a:pPr>
              <a:defRPr/>
            </a:pPr>
            <a:r>
              <a:t>Advance balance paydown (recoverable case)</a:t>
            </a:r>
          </a:p>
        </rich>
      </tx>
    </title>
    <plotArea>
      <lineChart>
        <grouping val="standard"/>
        <ser>
          <idx val="0"/>
          <order val="0"/>
          <tx>
            <strRef>
              <f>'Cash Flow'!H8</f>
            </strRef>
          </tx>
          <spPr>
            <a:ln>
              <a:prstDash val="solid"/>
            </a:ln>
          </spPr>
          <marker>
            <symbol val="none"/>
            <spPr>
              <a:ln>
                <a:prstDash val="solid"/>
              </a:ln>
            </spPr>
          </marker>
          <cat>
            <numRef>
              <f>'Cash Flow'!$A$9:$A$44</f>
            </numRef>
          </cat>
          <val>
            <numRef>
              <f>'Cash Flow'!$H$9:$H$44</f>
            </numRef>
          </val>
        </ser>
        <axId val="10"/>
        <axId val="100"/>
      </lineChart>
      <catAx>
        <axId val="10"/>
        <scaling>
          <orientation val="minMax"/>
        </scaling>
        <axPos val="l"/>
        <majorTickMark val="none"/>
        <minorTickMark val="none"/>
        <crossAx val="100"/>
        <lblOffset val="100"/>
      </catAx>
      <valAx>
        <axId val="100"/>
        <scaling>
          <orientation val="minMax"/>
        </scaling>
        <axPos val="l"/>
        <numFmt formatCode="$#,##0" sourceLinked="0"/>
        <majorTickMark val="none"/>
        <minorTickMark val="none"/>
        <crossAx val="10"/>
      </valAx>
    </plotArea>
    <legend>
      <legendPos val="r"/>
    </legend>
    <plotVisOnly val="1"/>
    <dispBlanksAs val="gap"/>
  </chart>
</chartSpace>
</file>

<file path=xl/comments/comment1.xml><?xml version="1.0" encoding="utf-8"?>
<comments xmlns="http://schemas.openxmlformats.org/spreadsheetml/2006/main">
  <authors>
    <author>Model notes</author>
  </authors>
  <commentList>
    <comment ref="E7" authorId="0" shapeId="0">
      <text>
        <t>Company fee: 275 bps standard, sometimes 200 or 150 to win the deal. This column changes COMPANY revenue (column H) only - your 75 bps in column F is untouched. It is here so you can show the owner what discounting costs the shop.</t>
      </text>
    </comment>
    <comment ref="F8" authorId="0" shapeId="0">
      <text>
        <t>Column F pulls your 75 bps from Inputs. If a specific deal pays you something different, type the number straight over the formula in that row only.</t>
      </text>
    </comment>
  </commentList>
</comments>
</file>

<file path=xl/comments/comment2.xml><?xml version="1.0" encoding="utf-8"?>
<comments xmlns="http://schemas.openxmlformats.org/spreadsheetml/2006/main">
  <authors>
    <author>Model notes</author>
  </authors>
  <commentList>
    <comment ref="M8" authorId="0" shapeId="0">
      <text>
        <t>RECOVERABLE: you take the draw each period. Commission first repays the outstanding advance; only the excess reaches you. Until the balance clears you live on exactly $1,231.58 a period no matter how much you close.</t>
      </text>
    </comment>
    <comment ref="N8" authorId="0" shapeId="0">
      <text>
        <t>NON-RECOVERABLE / GREATER-OF: the draw is a floor. You receive the larger of the draw or the commission - the draw is never repaid, but it is not additive either. This is the most common non-recoverable structure.</t>
      </text>
    </comment>
    <comment ref="O8" authorId="0" shapeId="0">
      <text>
        <t>STACKED: draw is base pay and commission is paid on top of it. Best case for you and the rarest. If your agreement reads this way, confirm it in writing.</t>
      </text>
    </comment>
  </commentList>
</comments>
</file>

<file path=xl/comments/comment3.xml><?xml version="1.0" encoding="utf-8"?>
<comments xmlns="http://schemas.openxmlformats.org/spreadsheetml/2006/main">
  <authors>
    <author>Model notes</author>
  </authors>
  <commentList>
    <comment ref="D8" authorId="0" shapeId="0">
      <text>
        <t>Rule: if you have logged anything for that month on the Deal Log (Funded at full value, Locked and Pre-App at their probability weight), the model uses it. Otherwise it falls back to the active scenario. So as you log real deals the forecast turns into actuals month by month.</t>
      </text>
    </comment>
    <comment ref="R8" authorId="0" shapeId="0">
      <text>
        <t>Your certificate pulls $1,250 out of savings every time it rolls (every 3 months). That is $416.67/mo of real cash movement. It is not an expense - it is savings changing address - so it is excluded from TOTAL OUT, but it is shown here because it drains the account you would otherwise reach for.</t>
      </text>
    </comment>
  </commentList>
</comments>
</file>

<file path=xl/comments/comment4.xml><?xml version="1.0" encoding="utf-8"?>
<comments xmlns="http://schemas.openxmlformats.org/spreadsheetml/2006/main">
  <authors>
    <author>Model notes</author>
  </authors>
  <commentList>
    <comment ref="J8" authorId="0" shapeId="0">
      <text>
        <t>While the emergency fund is short, EVERY allocatable dollar goes here and the other buckets get nothing. That is deliberate: with commission income and a possibly-recoverable draw, cash on hand is what keeps you from putting a bad month on the credit card.</t>
      </text>
    </comment>
  </commentList>
</comments>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17</row>
      <rowOff>0</rowOff>
    </from>
    <ext cx="6120000" cy="3060000"/>
    <graphicFrame>
      <nvGraphicFramePr>
        <cNvPr id="1" name="Chart 1"/>
        <cNvGraphicFramePr/>
      </nvGraphicFramePr>
      <xfrm/>
      <a:graphic>
        <a:graphicData uri="http://schemas.openxmlformats.org/drawingml/2006/chart">
          <c:chart r:id="rId1"/>
        </a:graphicData>
      </a:graphic>
    </graphicFrame>
    <clientData/>
  </oneCellAnchor>
  <oneCellAnchor>
    <from>
      <col>1</col>
      <colOff>0</colOff>
      <row>35</row>
      <rowOff>0</rowOff>
    </from>
    <ext cx="6120000" cy="3060000"/>
    <graphicFrame>
      <nvGraphicFramePr>
        <cNvPr id="2" name="Chart 2"/>
        <cNvGraphicFramePr/>
      </nvGraphicFramePr>
      <xfrm/>
      <a:graphic>
        <a:graphicData uri="http://schemas.openxmlformats.org/drawingml/2006/chart">
          <c:chart r:id="rId2"/>
        </a:graphicData>
      </a:graphic>
    </graphicFrame>
    <clientData/>
  </oneCellAnchor>
  <oneCellAnchor>
    <from>
      <col>5</col>
      <colOff>0</colOff>
      <row>17</row>
      <rowOff>0</rowOff>
    </from>
    <ext cx="6120000" cy="3060000"/>
    <graphicFrame>
      <nvGraphicFramePr>
        <cNvPr id="3" name="Chart 3"/>
        <cNvGraphicFramePr/>
      </nvGraphicFramePr>
      <xfrm/>
      <a:graphic>
        <a:graphicData uri="http://schemas.openxmlformats.org/drawingml/2006/chart">
          <c:chart r:id="rId3"/>
        </a:graphicData>
      </a:graphic>
    </graphicFrame>
    <clientData/>
  </oneCellAnchor>
  <oneCellAnchor>
    <from>
      <col>5</col>
      <colOff>0</colOff>
      <row>35</row>
      <rowOff>0</rowOff>
    </from>
    <ext cx="6120000" cy="3060000"/>
    <graphicFrame>
      <nvGraphicFramePr>
        <cNvPr id="4" name="Chart 4"/>
        <cNvGraphicFramePr/>
      </nvGraphicFramePr>
      <xfrm/>
      <a:graphic>
        <a:graphicData uri="http://schemas.openxmlformats.org/drawingml/2006/chart">
          <c:chart r:id="rId4"/>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_rels/sheet4.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5.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8.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11.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sheet1.xml><?xml version="1.0" encoding="utf-8"?>
<worksheet xmlns="http://schemas.openxmlformats.org/spreadsheetml/2006/main">
  <sheetPr>
    <tabColor rgb="000F2B46"/>
    <outlinePr summaryBelow="1" summaryRight="1"/>
    <pageSetUpPr fitToPage="1"/>
  </sheetPr>
  <dimension ref="A1:C29"/>
  <sheetViews>
    <sheetView showGridLines="0" workbookViewId="0">
      <selection activeCell="A1" sqref="A1"/>
    </sheetView>
  </sheetViews>
  <sheetFormatPr baseColWidth="8" defaultRowHeight="15"/>
  <cols>
    <col width="4" customWidth="1" min="1" max="1"/>
    <col width="30" customWidth="1" min="2" max="2"/>
    <col width="90" customWidth="1" min="3" max="3"/>
    <col width="4" customWidth="1" min="4" max="4"/>
  </cols>
  <sheetData>
    <row r="1" ht="26" customHeight="1">
      <c r="A1" s="1" t="inlineStr">
        <is>
          <t>START HERE</t>
        </is>
      </c>
      <c r="B1" s="2" t="n"/>
      <c r="C1" s="2" t="n"/>
    </row>
    <row r="2" ht="15" customHeight="1">
      <c r="A2" s="3" t="inlineStr">
        <is>
          <t>Built for Derek Smith, September 2026. Read this page once, then live on 'Dashboard' and 'Deal Log'.</t>
        </is>
      </c>
      <c r="B2" s="2" t="n"/>
      <c r="C2" s="2" t="n"/>
    </row>
    <row r="4" ht="18" customHeight="1">
      <c r="A4" s="4" t="inlineStr">
        <is>
          <t>COLOUR CODE  —  the same convention professional financial models use</t>
        </is>
      </c>
      <c r="B4" s="5" t="n"/>
      <c r="C4" s="5" t="n"/>
    </row>
    <row r="5">
      <c r="B5" s="6" t="inlineStr">
        <is>
          <t>BLUE text</t>
        </is>
      </c>
      <c r="C5" s="7" t="inlineStr">
        <is>
          <t>A hardcoded input. This is yours to change.</t>
        </is>
      </c>
    </row>
    <row r="6">
      <c r="B6" s="8" t="inlineStr">
        <is>
          <t>YELLOW fill</t>
        </is>
      </c>
      <c r="C6" s="7" t="inlineStr">
        <is>
          <t>An assumption you MUST confirm. Either you did not give me the number, or it changes the answer materially.</t>
        </is>
      </c>
    </row>
    <row r="7">
      <c r="B7" s="9" t="inlineStr">
        <is>
          <t>BLACK text</t>
        </is>
      </c>
      <c r="C7" s="7" t="inlineStr">
        <is>
          <t>A formula. Do not type over it.</t>
        </is>
      </c>
    </row>
    <row r="8">
      <c r="B8" s="10" t="inlineStr">
        <is>
          <t>GREEN text</t>
        </is>
      </c>
      <c r="C8" s="7" t="inlineStr">
        <is>
          <t>A link pulling from another sheet.</t>
        </is>
      </c>
    </row>
    <row r="9">
      <c r="B9" s="11" t="inlineStr">
        <is>
          <t>GREEN fill</t>
        </is>
      </c>
      <c r="C9" s="7" t="inlineStr">
        <is>
          <t>A key output.</t>
        </is>
      </c>
    </row>
    <row r="10">
      <c r="B10" s="12" t="inlineStr">
        <is>
          <t>RED fill</t>
        </is>
      </c>
      <c r="C10" s="7" t="inlineStr">
        <is>
          <t>A warning or a number you should not like.</t>
        </is>
      </c>
    </row>
    <row r="12" ht="18" customHeight="1">
      <c r="A12" s="4" t="inlineStr">
        <is>
          <t>HOW TO USE IT</t>
        </is>
      </c>
      <c r="B12" s="5" t="n"/>
      <c r="C12" s="5" t="n"/>
    </row>
    <row r="13" ht="30" customHeight="1">
      <c r="B13" s="13" t="inlineStr">
        <is>
          <t>Once, this week</t>
        </is>
      </c>
      <c r="C13" s="7" t="inlineStr">
        <is>
          <t>Go through 'Inputs' top to bottom and fix every YELLOW cell. Until then, treat the outputs as directional, not precise.</t>
        </is>
      </c>
    </row>
    <row r="14" ht="30" customHeight="1">
      <c r="B14" s="13" t="inlineStr">
        <is>
          <t>Every deal</t>
        </is>
      </c>
      <c r="C14" s="7" t="inlineStr">
        <is>
          <t>Add one row to 'Deal Log'. Date, client, loan amount, the company's bps, status. Your commission calculates itself. DELETE THE THREE EXAMPLE ROWS FIRST.</t>
        </is>
      </c>
    </row>
    <row r="15" ht="30" customHeight="1">
      <c r="B15" s="13" t="inlineStr">
        <is>
          <t>Every commission check</t>
        </is>
      </c>
      <c r="C15" s="7" t="inlineStr">
        <is>
          <t>Open 'Allocation Engine', type the gross amount into the blue cell, and follow the waterfall it gives you.</t>
        </is>
      </c>
    </row>
    <row r="16" ht="30" customHeight="1">
      <c r="B16" s="13" t="inlineStr">
        <is>
          <t>Every month</t>
        </is>
      </c>
      <c r="C16" s="7" t="inlineStr">
        <is>
          <t>Update 'Marketing ROI' with spend, leads and closings. Glance at 'Dashboard'.</t>
        </is>
      </c>
    </row>
    <row r="17" ht="30" customHeight="1">
      <c r="B17" s="13" t="inlineStr">
        <is>
          <t>Every quarter</t>
        </is>
      </c>
      <c r="C17" s="7" t="inlineStr">
        <is>
          <t>Re-read 'Goals'. If the GAP row is negative, something has to give - a date, a target, or your closing volume.</t>
        </is>
      </c>
    </row>
    <row r="18" ht="30" customHeight="1">
      <c r="B18" s="13" t="inlineStr">
        <is>
          <t>The two toggles that change everything</t>
        </is>
      </c>
      <c r="C18" s="7" t="inlineStr">
        <is>
          <t>On 'Inputs': 'Is the draw RECOVERABLE?' and 'Tax status'. Flip them and watch the whole workbook move. That is the point of the model.</t>
        </is>
      </c>
    </row>
    <row r="20" ht="18" customHeight="1">
      <c r="A20" s="4" t="inlineStr">
        <is>
          <t>WHAT I ASSUMED (because it was not in your notes)</t>
        </is>
      </c>
      <c r="B20" s="5" t="n"/>
      <c r="C20" s="5" t="n"/>
    </row>
    <row r="21" ht="28" customHeight="1">
      <c r="B21" s="14" t="inlineStr">
        <is>
          <t>Assumption 1</t>
        </is>
      </c>
      <c r="C21" s="7" t="inlineStr">
        <is>
          <t>Auto insurance $165/mo, phone $60/mo, groceries/dining $400/mo, personal $250/mo, car maintenance $90/mo - all placeholders, all yellow on 'Inputs'.</t>
        </is>
      </c>
    </row>
    <row r="22" ht="28" customHeight="1">
      <c r="B22" s="14" t="inlineStr">
        <is>
          <t>Assumption 2</t>
        </is>
      </c>
      <c r="C22" s="7" t="inlineStr">
        <is>
          <t>Auto loan APR 7.49% - you gave the balance and payment but not the rate. The payoff schedule depends on it.</t>
        </is>
      </c>
    </row>
    <row r="23" ht="28" customHeight="1">
      <c r="B23" s="14" t="inlineStr">
        <is>
          <t>Assumption 3</t>
        </is>
      </c>
      <c r="C23" s="7" t="inlineStr">
        <is>
          <t>HYSA rate 4.00% and credit limit $5,000 - both unknown, both material (one decides the certificate question, the other your utilization).</t>
        </is>
      </c>
    </row>
    <row r="24" ht="28" customHeight="1">
      <c r="B24" s="14" t="inlineStr">
        <is>
          <t>Assumption 4</t>
        </is>
      </c>
      <c r="C24" s="7" t="inlineStr">
        <is>
          <t>Health insurance $0 - assumed you are on a parent's plan. You age off at 26, which is roughly a year away. Budget $350-500/mo from then.</t>
        </is>
      </c>
    </row>
    <row r="25" ht="28" customHeight="1">
      <c r="B25" s="14" t="inlineStr">
        <is>
          <t>Assumption 5</t>
        </is>
      </c>
      <c r="C25" s="7" t="inlineStr">
        <is>
          <t>Gym treated as 24 charges/year (mid-month + month-end), matching how you described it.</t>
        </is>
      </c>
    </row>
    <row r="26" ht="28" customHeight="1">
      <c r="B26" s="14" t="inlineStr">
        <is>
          <t>Assumption 6</t>
        </is>
      </c>
      <c r="C26" s="7" t="inlineStr">
        <is>
          <t>Ring budget $12,000 and target home price $400,000 - pure placeholders.</t>
        </is>
      </c>
    </row>
    <row r="27" ht="28" customHeight="1">
      <c r="B27" s="14" t="inlineStr">
        <is>
          <t>Assumption 7</t>
        </is>
      </c>
      <c r="C27" s="7" t="inlineStr">
        <is>
          <t>Federal 12% / Maine 5.5% effective rates - rough. A CPA should confirm before you rely on the quarterly numbers.</t>
        </is>
      </c>
    </row>
    <row r="29" ht="42" customHeight="1">
      <c r="B29" s="12" t="inlineStr">
        <is>
          <t>Not advice</t>
        </is>
      </c>
      <c r="C29" s="7" t="inlineStr">
        <is>
          <t>This is a planning model built from the figures you gave me, not tax, legal or investment advice. Confirm your comp structure with the owner, your tax status with a CPA, and current loan-program guidelines before acting on the housing section.</t>
        </is>
      </c>
    </row>
  </sheetData>
  <mergeCells count="5">
    <mergeCell ref="A1:C1"/>
    <mergeCell ref="A12:C12"/>
    <mergeCell ref="A4:C4"/>
    <mergeCell ref="A20:C20"/>
    <mergeCell ref="A2:C2"/>
  </mergeCells>
  <pageMargins left="0.75" right="0.75" top="1" bottom="1" header="0.5" footer="0.5"/>
</worksheet>
</file>

<file path=xl/worksheets/sheet2.xml><?xml version="1.0" encoding="utf-8"?>
<worksheet xmlns="http://schemas.openxmlformats.org/spreadsheetml/2006/main">
  <sheetPr>
    <tabColor rgb="000F2B46"/>
    <outlinePr summaryBelow="1" summaryRight="1"/>
    <pageSetUpPr fitToPage="1"/>
  </sheetPr>
  <dimension ref="A1:I16"/>
  <sheetViews>
    <sheetView showGridLines="0" workbookViewId="0">
      <selection activeCell="A1" sqref="A1"/>
    </sheetView>
  </sheetViews>
  <sheetFormatPr baseColWidth="8" defaultRowHeight="15"/>
  <cols>
    <col width="3" customWidth="1" min="1" max="1"/>
    <col width="30" customWidth="1" min="2" max="2"/>
    <col width="17" customWidth="1" min="3" max="3"/>
    <col width="3" customWidth="1" min="4" max="4"/>
    <col width="30" customWidth="1" min="5" max="5"/>
    <col width="17" customWidth="1" min="6" max="6"/>
    <col width="3" customWidth="1" min="7" max="7"/>
    <col width="30" customWidth="1" min="8" max="8"/>
    <col width="17" customWidth="1" min="9" max="9"/>
    <col width="3" customWidth="1" min="10" max="10"/>
  </cols>
  <sheetData>
    <row r="1" ht="26" customHeight="1">
      <c r="A1" s="1" t="inlineStr">
        <is>
          <t>COMMAND CENTER  —  Derek Smith  |  Baxter Mortgage  |  NMLS 2810853</t>
        </is>
      </c>
      <c r="B1" s="2" t="n"/>
      <c r="C1" s="2" t="n"/>
      <c r="D1" s="2" t="n"/>
      <c r="E1" s="2" t="n"/>
      <c r="F1" s="2" t="n"/>
      <c r="G1" s="2" t="n"/>
      <c r="H1" s="2" t="n"/>
      <c r="I1" s="2" t="n"/>
    </row>
    <row r="2" ht="15" customHeight="1">
      <c r="A2" s="3">
        <f>"Model date: "&amp;TEXT(Inputs!C7,"mmmm d, yyyy")&amp;"   |   Comp structure: "&amp;IF(Inputs!C17="Yes","RECOVERABLE draw","NON-RECOVERABLE draw ("&amp;Inputs!C18&amp;")")&amp;"   |   Tax status: "&amp;Inputs!C20&amp;"   |   Scenario: "&amp;Inputs!C98</f>
        <v/>
      </c>
      <c r="B2" s="2" t="n"/>
      <c r="C2" s="2" t="n"/>
      <c r="D2" s="2" t="n"/>
      <c r="E2" s="2" t="n"/>
      <c r="F2" s="2" t="n"/>
      <c r="G2" s="2" t="n"/>
      <c r="H2" s="2" t="n"/>
      <c r="I2" s="2" t="n"/>
    </row>
    <row r="4" ht="18" customHeight="1">
      <c r="B4" s="15" t="inlineStr">
        <is>
          <t>THE FIVE NUMBERS THAT MATTER</t>
        </is>
      </c>
    </row>
    <row r="5">
      <c r="B5" s="16" t="inlineStr">
        <is>
          <t>Cash in checking today</t>
        </is>
      </c>
      <c r="C5" s="17">
        <f>Inputs!C51</f>
        <v/>
      </c>
      <c r="E5" s="16" t="inlineStr">
        <is>
          <t>Monthly cash burn</t>
        </is>
      </c>
      <c r="F5" s="18">
        <f>'Monthly Budget'!C32</f>
        <v/>
      </c>
      <c r="H5" s="16" t="inlineStr">
        <is>
          <t>Emergency fund target</t>
        </is>
      </c>
      <c r="I5" s="18">
        <f>Accounts!$C$5</f>
        <v/>
      </c>
    </row>
    <row r="6">
      <c r="B6" s="16" t="inlineStr">
        <is>
          <t>Bills due in the next 7 days</t>
        </is>
      </c>
      <c r="C6" s="17">
        <f>Inputs!C65+Inputs!C28</f>
        <v/>
      </c>
      <c r="E6" s="16" t="inlineStr">
        <is>
          <t>Draw income / month</t>
        </is>
      </c>
      <c r="F6" s="19">
        <f>Inputs!C23</f>
        <v/>
      </c>
      <c r="H6" s="16" t="inlineStr">
        <is>
          <t>Months of runway you have now</t>
        </is>
      </c>
      <c r="I6" s="20">
        <f>IFERROR((Inputs!C53+Inputs!C51)/'Monthly Budget'!C32,0)</f>
        <v/>
      </c>
    </row>
    <row r="7">
      <c r="B7" s="16" t="inlineStr">
        <is>
          <t>Total saved &amp; invested</t>
        </is>
      </c>
      <c r="C7" s="19">
        <f>Accounts!AC9</f>
        <v/>
      </c>
      <c r="E7" s="16" t="inlineStr">
        <is>
          <t>Gap the draw does NOT cover</t>
        </is>
      </c>
      <c r="F7" s="17">
        <f>'Monthly Budget'!C34</f>
        <v/>
      </c>
      <c r="H7" s="16" t="inlineStr">
        <is>
          <t>Roth at 65 if you start now</t>
        </is>
      </c>
      <c r="I7" s="21">
        <f>Retirement!G6</f>
        <v/>
      </c>
    </row>
    <row r="8">
      <c r="B8" s="16" t="inlineStr">
        <is>
          <t>Net worth (liquid, less car)</t>
        </is>
      </c>
      <c r="C8" s="18">
        <f>Accounts!AE9</f>
        <v/>
      </c>
      <c r="E8" s="16" t="inlineStr">
        <is>
          <t>Loans/mo to break even</t>
        </is>
      </c>
      <c r="F8" s="20">
        <f>'Monthly Budget'!C37</f>
        <v/>
      </c>
      <c r="H8" s="16" t="inlineStr">
        <is>
          <t>Max home price (draw only)</t>
        </is>
      </c>
      <c r="I8" s="22">
        <f>'Home Purchase'!D28</f>
        <v/>
      </c>
    </row>
    <row r="9">
      <c r="B9" s="16" t="inlineStr">
        <is>
          <t>Advance balance owed</t>
        </is>
      </c>
      <c r="C9" s="17">
        <f>'Cash Flow'!$E$4</f>
        <v/>
      </c>
      <c r="E9" s="16" t="inlineStr">
        <is>
          <t>Loans/mo to bank $3,000</t>
        </is>
      </c>
      <c r="F9" s="20">
        <f>Break-Even!E28</f>
        <v/>
      </c>
      <c r="H9" s="16" t="inlineStr">
        <is>
          <t>Annual tax to reserve</t>
        </is>
      </c>
      <c r="I9" s="17">
        <f>'Tax Reserve'!C18</f>
        <v/>
      </c>
    </row>
    <row r="11">
      <c r="B11" s="15" t="inlineStr">
        <is>
          <t>TOP PRIORITIES RIGHT NOW</t>
        </is>
      </c>
    </row>
    <row r="12" ht="15" customHeight="1">
      <c r="B12" s="23" t="inlineStr">
        <is>
          <t>1.  Get the comp agreement in writing: recoverable or not, W-2 or 1099. Everything downstream depends on those two answers.</t>
        </is>
      </c>
    </row>
    <row r="13" ht="15" customHeight="1">
      <c r="B13" s="23" t="inlineStr">
        <is>
          <t>2.  Build the checking cushion to $2,000 before funding anything else. You are at $395.40 with $865.84 due inside a week.</t>
        </is>
      </c>
    </row>
    <row r="14" ht="15" customHeight="1">
      <c r="B14" s="23" t="inlineStr">
        <is>
          <t>3.  Open the Roth IRA and the separate ring/travel savings account. Both are $0 today because neither exists yet.</t>
        </is>
      </c>
    </row>
    <row r="15" ht="15" customHeight="1">
      <c r="B15" s="23" t="inlineStr">
        <is>
          <t>4.  Start a mileage log today. At 12,000 miles a year it is worth roughly $8,400 in deductions if you are 1099 - far more than the fuel costs you.</t>
        </is>
      </c>
    </row>
    <row r="16" ht="15" customHeight="1">
      <c r="B16" s="23" t="inlineStr">
        <is>
          <t>5.  Check your HYSA rate against the certificate's 3.687%. If savings pays more, stop the auto-roll.</t>
        </is>
      </c>
    </row>
  </sheetData>
  <mergeCells count="9">
    <mergeCell ref="B12:I12"/>
    <mergeCell ref="B13:I13"/>
    <mergeCell ref="A2:I2"/>
    <mergeCell ref="B15:I15"/>
    <mergeCell ref="B11:I11"/>
    <mergeCell ref="B16:I16"/>
    <mergeCell ref="A1:I1"/>
    <mergeCell ref="B14:I14"/>
    <mergeCell ref="B4:I4"/>
  </mergeCells>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tabColor rgb="000F2B46"/>
    <outlinePr summaryBelow="1" summaryRight="1"/>
    <pageSetUpPr fitToPage="1"/>
  </sheetPr>
  <dimension ref="A1:E101"/>
  <sheetViews>
    <sheetView showGridLines="0" workbookViewId="0">
      <pane ySplit="3" topLeftCell="A4" activePane="bottomLeft" state="frozen"/>
      <selection pane="bottomLeft" activeCell="A1" sqref="A1"/>
    </sheetView>
  </sheetViews>
  <sheetFormatPr baseColWidth="8" defaultRowHeight="15"/>
  <cols>
    <col width="3" customWidth="1" min="1" max="1"/>
    <col width="46" customWidth="1" min="2" max="2"/>
    <col width="16" customWidth="1" min="3" max="3"/>
    <col width="13" customWidth="1" min="4" max="4"/>
    <col width="62" customWidth="1" min="5" max="5"/>
    <col width="3" customWidth="1" min="6" max="6"/>
  </cols>
  <sheetData>
    <row r="1" ht="26" customHeight="1">
      <c r="A1" s="1" t="inlineStr">
        <is>
          <t>CONTROL PANEL  —  every number in this workbook traces back to this sheet</t>
        </is>
      </c>
      <c r="B1" s="2" t="n"/>
      <c r="C1" s="2" t="n"/>
      <c r="D1" s="2" t="n"/>
      <c r="E1" s="2" t="n"/>
    </row>
    <row r="2" ht="15" customHeight="1">
      <c r="A2" s="3" t="inlineStr">
        <is>
          <t>Edit BLUE cells only.  YELLOW = you must confirm this number.  Everything else is a formula.</t>
        </is>
      </c>
      <c r="B2" s="2" t="n"/>
      <c r="C2" s="2" t="n"/>
      <c r="D2" s="2" t="n"/>
      <c r="E2" s="2" t="n"/>
    </row>
    <row r="4" ht="19" customHeight="1">
      <c r="A4" s="24" t="inlineStr">
        <is>
          <t xml:space="preserve">  1.  WHO / WHEN  (the clock the whole model runs on)</t>
        </is>
      </c>
      <c r="B4" s="25" t="n"/>
      <c r="C4" s="25" t="n"/>
      <c r="D4" s="25" t="n"/>
      <c r="E4" s="25" t="n"/>
    </row>
    <row r="5">
      <c r="B5" s="26" t="inlineStr">
        <is>
          <t>Name</t>
        </is>
      </c>
      <c r="C5" s="27" t="inlineStr">
        <is>
          <t>Derek Smith</t>
        </is>
      </c>
      <c r="D5" s="28" t="inlineStr"/>
      <c r="E5" s="29" t="inlineStr"/>
    </row>
    <row r="6">
      <c r="B6" s="26" t="inlineStr">
        <is>
          <t>Current age</t>
        </is>
      </c>
      <c r="C6" s="30" t="n">
        <v>25</v>
      </c>
      <c r="D6" s="28" t="inlineStr">
        <is>
          <t>years</t>
        </is>
      </c>
      <c r="E6" s="29" t="inlineStr"/>
    </row>
    <row r="7">
      <c r="B7" s="26" t="inlineStr">
        <is>
          <t>MODEL DATE  ("today" for every calculation)</t>
        </is>
      </c>
      <c r="C7" s="31" t="n">
        <v>46275</v>
      </c>
      <c r="D7" s="28" t="inlineStr">
        <is>
          <t>date</t>
        </is>
      </c>
      <c r="E7" s="29" t="inlineStr">
        <is>
          <t>Hardcoded on purpose so results are reproducible. Change it when you refresh the model.</t>
        </is>
      </c>
    </row>
    <row r="8">
      <c r="B8" s="26" t="inlineStr">
        <is>
          <t>Date you started at Baxter</t>
        </is>
      </c>
      <c r="C8" s="31" t="n">
        <v>46112</v>
      </c>
      <c r="D8" s="28" t="inlineStr">
        <is>
          <t>date</t>
        </is>
      </c>
      <c r="E8" s="29" t="inlineStr"/>
    </row>
    <row r="9">
      <c r="B9" s="26" t="inlineStr">
        <is>
          <t>Date of your FIRST draw</t>
        </is>
      </c>
      <c r="C9" s="31" t="n">
        <v>46112</v>
      </c>
      <c r="D9" s="28" t="inlineStr">
        <is>
          <t>date</t>
        </is>
      </c>
      <c r="E9" s="29" t="inlineStr">
        <is>
          <t>Per Derek: first draw landed 3/31/26, the day you started.</t>
        </is>
      </c>
    </row>
    <row r="10">
      <c r="B10" s="26" t="inlineStr">
        <is>
          <t>Draws received to date</t>
        </is>
      </c>
      <c r="C10" s="30" t="n">
        <v>11</v>
      </c>
      <c r="D10" s="28" t="inlineStr">
        <is>
          <t>checks</t>
        </is>
      </c>
      <c r="E10" s="29" t="inlineStr">
        <is>
          <t>Confirmed against your 11 actual pay dates (3/31 through 8/28). Next draw: 9/15/26.</t>
        </is>
      </c>
    </row>
    <row r="11" ht="19" customHeight="1">
      <c r="A11" s="24" t="inlineStr">
        <is>
          <t xml:space="preserve">  2.  COMPENSATION  (the two structures you asked me to model)</t>
        </is>
      </c>
      <c r="B11" s="25" t="n"/>
      <c r="C11" s="25" t="n"/>
      <c r="D11" s="25" t="n"/>
      <c r="E11" s="25" t="n"/>
    </row>
    <row r="12">
      <c r="B12" s="26" t="inlineStr">
        <is>
          <t>Draw per pay period</t>
        </is>
      </c>
      <c r="C12" s="32" t="n">
        <v>1231.58</v>
      </c>
      <c r="D12" s="28" t="inlineStr">
        <is>
          <t>$</t>
        </is>
      </c>
      <c r="E12" s="29" t="inlineStr">
        <is>
          <t>Your bi-weekly draw.</t>
        </is>
      </c>
    </row>
    <row r="13">
      <c r="B13" s="26" t="inlineStr">
        <is>
          <t>Draw pay day #1 of each month</t>
        </is>
      </c>
      <c r="C13" s="30" t="n">
        <v>15</v>
      </c>
      <c r="D13" s="28" t="inlineStr">
        <is>
          <t>day of mo</t>
        </is>
      </c>
      <c r="E13" s="29" t="inlineStr">
        <is>
          <t>Draw #1 is the 15th. Draw #2 is the LAST DAY of the month (handled automatically). Verified against your actual dates: 3/31, 4/15, 4/30, 5/15, 5/29, 6/15, 6/30, 7/16, 7/30, 8/14, 8/28.</t>
        </is>
      </c>
    </row>
    <row r="14">
      <c r="B14" s="26" t="inlineStr">
        <is>
          <t>Shift a weekend payday back to Friday?</t>
        </is>
      </c>
      <c r="C14" s="27" t="inlineStr">
        <is>
          <t>Yes</t>
        </is>
      </c>
      <c r="D14" s="28" t="inlineStr">
        <is>
          <t>Yes/No</t>
        </is>
      </c>
      <c r="E14" s="29" t="inlineStr">
        <is>
          <t>Your 5/29 and 8/14 draws both moved off a weekend. Payroll also drifts a day either way now and then (7/16, 7/30) - noise, not a rule, so your 11 past dates are entered as actuals in column R of 'Draw Recovery'.</t>
        </is>
      </c>
    </row>
    <row r="15">
      <c r="B15" s="26" t="inlineStr">
        <is>
          <t>YOUR commission</t>
        </is>
      </c>
      <c r="C15" s="33" t="n">
        <v>0.0075</v>
      </c>
      <c r="D15" s="28" t="inlineStr">
        <is>
          <t>of loan amt</t>
        </is>
      </c>
      <c r="E15" s="29" t="inlineStr">
        <is>
          <t>75 bps. Fixed to you regardless of what the company charges.</t>
        </is>
      </c>
    </row>
    <row r="16">
      <c r="B16" s="26" t="inlineStr">
        <is>
          <t>Company standard fee</t>
        </is>
      </c>
      <c r="C16" s="33" t="n">
        <v>0.0275</v>
      </c>
      <c r="D16" s="28" t="inlineStr">
        <is>
          <t>of loan amt</t>
        </is>
      </c>
      <c r="E16" s="29" t="inlineStr">
        <is>
          <t>275 bps standard; drops to 200 or 150 to win a deal. Your 75 bps does not change.</t>
        </is>
      </c>
    </row>
    <row r="17">
      <c r="B17" s="26" t="inlineStr">
        <is>
          <t>Is the draw RECOVERABLE?</t>
        </is>
      </c>
      <c r="C17" s="34" t="inlineStr">
        <is>
          <t>Yes</t>
        </is>
      </c>
      <c r="D17" s="28" t="inlineStr">
        <is>
          <t>Yes/No</t>
        </is>
      </c>
      <c r="E17" s="29" t="inlineStr">
        <is>
          <t>*** CONFIRM IN WRITING WITH THE OWNER. *** Recoverable = an advance you repay out of commissions. Non-recoverable = yours to keep. This single word is worth $13,547 today.</t>
        </is>
      </c>
    </row>
    <row r="18">
      <c r="B18" s="26" t="inlineStr">
        <is>
          <t>How commission pays alongside the draw</t>
        </is>
      </c>
      <c r="C18" s="34" t="inlineStr">
        <is>
          <t>Recapture</t>
        </is>
      </c>
      <c r="D18" s="28" t="inlineStr">
        <is>
          <t>mode</t>
        </is>
      </c>
      <c r="E18" s="29" t="inlineStr">
        <is>
          <t>Recapture = commission first repays the draw balance (normal for recoverable). GreaterOf = you get the larger of draw or commission (normal for non-recoverable). Stacked = draw + full commission.</t>
        </is>
      </c>
    </row>
    <row r="19">
      <c r="B19" s="26" t="inlineStr">
        <is>
          <t>How marketing is funded</t>
        </is>
      </c>
      <c r="C19" s="34" t="inlineStr">
        <is>
          <t>Self-funded</t>
        </is>
      </c>
      <c r="D19" s="28" t="inlineStr">
        <is>
          <t>mode</t>
        </is>
      </c>
      <c r="E19" s="29" t="inlineStr">
        <is>
          <t>Self-funded = out of your pocket. Recoverable = owner advances it, you repay from commissions. CompanyPaid = owner eats it (non-recoverable).</t>
        </is>
      </c>
    </row>
    <row r="20">
      <c r="B20" s="26" t="inlineStr">
        <is>
          <t>Tax status</t>
        </is>
      </c>
      <c r="C20" s="34" t="inlineStr">
        <is>
          <t>1099</t>
        </is>
      </c>
      <c r="D20" s="28" t="inlineStr">
        <is>
          <t>W-2 / 1099</t>
        </is>
      </c>
      <c r="E20" s="29" t="inlineStr">
        <is>
          <t>*** CONFIRM. *** 1099 = you owe ~30% and every mile/marketing dollar is deductible. W-2 = taxes withheld, almost nothing deductible. Worth thousands either way.</t>
        </is>
      </c>
    </row>
    <row r="21">
      <c r="B21" s="26" t="inlineStr">
        <is>
          <t>Draws per year</t>
        </is>
      </c>
      <c r="C21" s="30" t="n">
        <v>24</v>
      </c>
      <c r="D21" s="28" t="inlineStr">
        <is>
          <t>checks/yr</t>
        </is>
      </c>
      <c r="E21" s="29" t="inlineStr">
        <is>
          <t>*** CORRECTED - A REAL FINDING. *** 24 draws/yr, not 26. Your own dates prove it: 3/31, 4/15, 4/30, 5/15, 5/29, 6/15, 6/30, 7/16, 7/30, 8/14, 8/28 = mid-month + month-end = SEMI-MONTHLY. True bi-weekly would have paid 12 checks by today, not 11. Annualized: $29,557.92, NOT $32,021.08. Budgeting on 26 checks overstates your floor by $2,463.16/yr.</t>
        </is>
      </c>
    </row>
    <row r="22">
      <c r="B22" s="26" t="inlineStr">
        <is>
          <t>Annualized draw (the floor)</t>
        </is>
      </c>
      <c r="C22" s="35">
        <f>C12*C21</f>
        <v/>
      </c>
      <c r="D22" s="28" t="inlineStr">
        <is>
          <t>$/yr</t>
        </is>
      </c>
      <c r="E22" s="29" t="inlineStr"/>
    </row>
    <row r="23">
      <c r="B23" s="26" t="inlineStr">
        <is>
          <t>Draw per month (average)</t>
        </is>
      </c>
      <c r="C23" s="35">
        <f>C22/12</f>
        <v/>
      </c>
      <c r="D23" s="28" t="inlineStr">
        <is>
          <t>$/mo</t>
        </is>
      </c>
      <c r="E23" s="29" t="inlineStr">
        <is>
          <t>Average. Actual months vary: two months a year carry three checks.</t>
        </is>
      </c>
    </row>
    <row r="24">
      <c r="B24" s="26" t="inlineStr">
        <is>
          <t>Draw dollars received to date</t>
        </is>
      </c>
      <c r="C24" s="35">
        <f>C12*C10</f>
        <v/>
      </c>
      <c r="D24" s="28" t="inlineStr">
        <is>
          <t>$</t>
        </is>
      </c>
      <c r="E24" s="29" t="inlineStr">
        <is>
          <t>This is the number at risk if the draw is recoverable.</t>
        </is>
      </c>
    </row>
    <row r="25">
      <c r="B25" s="26" t="inlineStr">
        <is>
          <t>Draws SCHEDULED by the model date</t>
        </is>
      </c>
      <c r="C25" s="36">
        <f>COUNTIFS('Draw Recovery'!$B$9:$B$116,"&lt;="&amp;C7)</f>
        <v/>
      </c>
      <c r="D25" s="28" t="inlineStr">
        <is>
          <t>checks</t>
        </is>
      </c>
      <c r="E25" s="29" t="inlineStr">
        <is>
          <t>Counted straight off the pay calendar on 'Draw Recovery'.</t>
        </is>
      </c>
    </row>
    <row r="26">
      <c r="B26" s="26" t="inlineStr">
        <is>
          <t xml:space="preserve">  = Variance vs. your count</t>
        </is>
      </c>
      <c r="C26" s="36">
        <f>C25-C10</f>
        <v/>
      </c>
      <c r="D26" s="28" t="inlineStr">
        <is>
          <t>checks</t>
        </is>
      </c>
      <c r="E26" s="29" t="inlineStr">
        <is>
          <t>Reconciles to zero against the 11 actual dates in column R of 'Draw Recovery'. Next draw: 9/15/26.</t>
        </is>
      </c>
    </row>
    <row r="27" ht="19" customHeight="1">
      <c r="A27" s="24" t="inlineStr">
        <is>
          <t xml:space="preserve">  3.  FIXED MONTHLY OBLIGATIONS  (contractual - these hit whether you close a loan or not)</t>
        </is>
      </c>
      <c r="B27" s="25" t="n"/>
      <c r="C27" s="25" t="n"/>
      <c r="D27" s="25" t="n"/>
      <c r="E27" s="25" t="n"/>
    </row>
    <row r="28">
      <c r="B28" s="26" t="inlineStr">
        <is>
          <t>Car payment</t>
        </is>
      </c>
      <c r="C28" s="32" t="n">
        <v>475.69</v>
      </c>
      <c r="D28" s="28" t="inlineStr">
        <is>
          <t>$/mo</t>
        </is>
      </c>
      <c r="E28" s="29" t="inlineStr"/>
    </row>
    <row r="29">
      <c r="B29" s="26" t="inlineStr">
        <is>
          <t xml:space="preserve">  ...due on day of month</t>
        </is>
      </c>
      <c r="C29" s="30" t="n">
        <v>14</v>
      </c>
      <c r="D29" s="28" t="inlineStr">
        <is>
          <t>day</t>
        </is>
      </c>
      <c r="E29" s="29" t="inlineStr"/>
    </row>
    <row r="30">
      <c r="B30" s="26" t="inlineStr">
        <is>
          <t>Gym membership (per charge)</t>
        </is>
      </c>
      <c r="C30" s="32" t="n">
        <v>31.99</v>
      </c>
      <c r="D30" s="28" t="inlineStr">
        <is>
          <t>$/charge</t>
        </is>
      </c>
      <c r="E30" s="29" t="inlineStr"/>
    </row>
    <row r="31">
      <c r="B31" s="26" t="inlineStr">
        <is>
          <t xml:space="preserve">  ...charges per month</t>
        </is>
      </c>
      <c r="C31" s="30" t="n">
        <v>2</v>
      </c>
      <c r="D31" s="28" t="inlineStr">
        <is>
          <t>x/mo</t>
        </is>
      </c>
      <c r="E31" s="29" t="inlineStr">
        <is>
          <t>Semi-monthly (mid-month + last day) = 24 charges/yr = $767.76. Same cadence as your draw - you use 'bi-weekly' to mean twice a month, which is how this model reads it throughout.</t>
        </is>
      </c>
    </row>
    <row r="32">
      <c r="B32" s="26" t="inlineStr">
        <is>
          <t>Amazon Prime</t>
        </is>
      </c>
      <c r="C32" s="32" t="n">
        <v>15</v>
      </c>
      <c r="D32" s="28" t="inlineStr">
        <is>
          <t>$/mo</t>
        </is>
      </c>
      <c r="E32" s="29" t="inlineStr"/>
    </row>
    <row r="33">
      <c r="B33" s="26" t="inlineStr">
        <is>
          <t xml:space="preserve">  ...due on day of month</t>
        </is>
      </c>
      <c r="C33" s="30" t="n">
        <v>1</v>
      </c>
      <c r="D33" s="28" t="inlineStr">
        <is>
          <t>day</t>
        </is>
      </c>
      <c r="E33" s="29" t="inlineStr"/>
    </row>
    <row r="34">
      <c r="B34" s="26" t="inlineStr">
        <is>
          <t>Marketing spend</t>
        </is>
      </c>
      <c r="C34" s="32" t="n">
        <v>1000</v>
      </c>
      <c r="D34" s="28" t="inlineStr">
        <is>
          <t>$/mo</t>
        </is>
      </c>
      <c r="E34" s="29" t="inlineStr">
        <is>
          <t>Your target. Tracked against closed loans on 'Marketing ROI'.</t>
        </is>
      </c>
    </row>
    <row r="35">
      <c r="B35" s="26" t="inlineStr">
        <is>
          <t>Auto insurance</t>
        </is>
      </c>
      <c r="C35" s="37" t="n">
        <v>165</v>
      </c>
      <c r="D35" s="28" t="inlineStr">
        <is>
          <t>$/mo</t>
        </is>
      </c>
      <c r="E35" s="29" t="inlineStr">
        <is>
          <t>YOU DID NOT LIST THIS. Your lender requires full coverage on a $25k loan, so it exists. Maine average for a 25-yr-old male, full coverage. Replace with your actual premium.</t>
        </is>
      </c>
    </row>
    <row r="36">
      <c r="B36" s="26" t="inlineStr">
        <is>
          <t>Phone</t>
        </is>
      </c>
      <c r="C36" s="37" t="n">
        <v>60</v>
      </c>
      <c r="D36" s="28" t="inlineStr">
        <is>
          <t>$/mo</t>
        </is>
      </c>
      <c r="E36" s="29" t="inlineStr">
        <is>
          <t>NOT LISTED. Placeholder - replace with actual (or $0 if on a family plan).</t>
        </is>
      </c>
    </row>
    <row r="37">
      <c r="B37" s="26" t="inlineStr">
        <is>
          <t>Health insurance</t>
        </is>
      </c>
      <c r="C37" s="37" t="n">
        <v>0</v>
      </c>
      <c r="D37" s="28" t="inlineStr">
        <is>
          <t>$/mo</t>
        </is>
      </c>
      <c r="E37" s="29" t="inlineStr">
        <is>
          <t>NOT LISTED. $0 only if you are on a parent's plan - you can stay until age 26, which for you ends within ~1 year. Budget $350-500/mo starting then. THIS IS A CLIFF.</t>
        </is>
      </c>
    </row>
    <row r="38">
      <c r="B38" s="26" t="inlineStr">
        <is>
          <t>Other fixed (subscriptions, etc.)</t>
        </is>
      </c>
      <c r="C38" s="37" t="n">
        <v>0</v>
      </c>
      <c r="D38" s="28" t="inlineStr">
        <is>
          <t>$/mo</t>
        </is>
      </c>
      <c r="E38" s="29" t="inlineStr"/>
    </row>
    <row r="39" ht="19" customHeight="1">
      <c r="A39" s="24" t="inlineStr">
        <is>
          <t xml:space="preserve">  4.  VARIABLE / DRIVER-BASED SPENDING</t>
        </is>
      </c>
      <c r="B39" s="25" t="n"/>
      <c r="C39" s="25" t="n"/>
      <c r="D39" s="25" t="n"/>
      <c r="E39" s="25" t="n"/>
    </row>
    <row r="40">
      <c r="B40" s="26" t="inlineStr">
        <is>
          <t>Business + personal miles driven</t>
        </is>
      </c>
      <c r="C40" s="30" t="n">
        <v>1000</v>
      </c>
      <c r="D40" s="28" t="inlineStr">
        <is>
          <t>mi/mo</t>
        </is>
      </c>
      <c r="E40" s="29" t="inlineStr">
        <is>
          <t>Your estimate. Also drives your mileage tax deduction - log them.</t>
        </is>
      </c>
    </row>
    <row r="41">
      <c r="B41" s="26" t="inlineStr">
        <is>
          <t>Gas price</t>
        </is>
      </c>
      <c r="C41" s="32" t="n">
        <v>4.1</v>
      </c>
      <c r="D41" s="28" t="inlineStr">
        <is>
          <t>$/gal</t>
        </is>
      </c>
      <c r="E41" s="29" t="inlineStr"/>
    </row>
    <row r="42">
      <c r="B42" s="26" t="inlineStr">
        <is>
          <t>Vehicle MPG</t>
        </is>
      </c>
      <c r="C42" s="38" t="n">
        <v>19</v>
      </c>
      <c r="D42" s="28" t="inlineStr">
        <is>
          <t>mpg</t>
        </is>
      </c>
      <c r="E42" s="29" t="inlineStr">
        <is>
          <t>Midpoint of the 18-20 you gave. Sensitivity for 18 and 20 is on 'Sensitivity'.</t>
        </is>
      </c>
    </row>
    <row r="43">
      <c r="B43" s="26" t="inlineStr">
        <is>
          <t xml:space="preserve">  = Fuel cost</t>
        </is>
      </c>
      <c r="C43" s="35">
        <f>C40/C42*C41</f>
        <v/>
      </c>
      <c r="D43" s="28" t="inlineStr">
        <is>
          <t>$/mo</t>
        </is>
      </c>
      <c r="E43" s="29" t="inlineStr"/>
    </row>
    <row r="44">
      <c r="B44" s="26" t="inlineStr">
        <is>
          <t>Aroma Joe's per visit</t>
        </is>
      </c>
      <c r="C44" s="32" t="n">
        <v>6</v>
      </c>
      <c r="D44" s="28" t="inlineStr">
        <is>
          <t>$/visit</t>
        </is>
      </c>
      <c r="E44" s="29" t="inlineStr"/>
    </row>
    <row r="45">
      <c r="B45" s="26" t="inlineStr">
        <is>
          <t xml:space="preserve">  ...visits per week</t>
        </is>
      </c>
      <c r="C45" s="30" t="n">
        <v>4</v>
      </c>
      <c r="D45" s="28" t="inlineStr">
        <is>
          <t>x/wk</t>
        </is>
      </c>
      <c r="E45" s="29" t="inlineStr">
        <is>
          <t>Set your real number. Each daily visit (7/wk) costs $2,190/yr.</t>
        </is>
      </c>
    </row>
    <row r="46">
      <c r="B46" s="26" t="inlineStr">
        <is>
          <t xml:space="preserve">  = Coffee cost</t>
        </is>
      </c>
      <c r="C46" s="35">
        <f>C44*C45*52/12</f>
        <v/>
      </c>
      <c r="D46" s="28" t="inlineStr">
        <is>
          <t>$/mo</t>
        </is>
      </c>
      <c r="E46" s="29" t="inlineStr"/>
    </row>
    <row r="47">
      <c r="B47" s="26" t="inlineStr">
        <is>
          <t>Groceries / eating out</t>
        </is>
      </c>
      <c r="C47" s="37" t="n">
        <v>400</v>
      </c>
      <c r="D47" s="28" t="inlineStr">
        <is>
          <t>$/mo</t>
        </is>
      </c>
      <c r="E47" s="29" t="inlineStr">
        <is>
          <t>NOT LISTED. You live at home so groceries may be covered - but client lunches and road food are real. Set your number.</t>
        </is>
      </c>
    </row>
    <row r="48">
      <c r="B48" s="26" t="inlineStr">
        <is>
          <t>Personal / entertainment / clothes</t>
        </is>
      </c>
      <c r="C48" s="37" t="n">
        <v>250</v>
      </c>
      <c r="D48" s="28" t="inlineStr">
        <is>
          <t>$/mo</t>
        </is>
      </c>
      <c r="E48" s="29" t="inlineStr">
        <is>
          <t>NOT LISTED. Placeholder.</t>
        </is>
      </c>
    </row>
    <row r="49">
      <c r="B49" s="26" t="inlineStr">
        <is>
          <t>Car maintenance + tires reserve</t>
        </is>
      </c>
      <c r="C49" s="37" t="n">
        <v>90</v>
      </c>
      <c r="D49" s="28" t="inlineStr">
        <is>
          <t>$/mo</t>
        </is>
      </c>
      <c r="E49" s="29" t="inlineStr">
        <is>
          <t>NOT LISTED. 12,000 mi/yr of Maine driving = tires, brakes, oil, and winter tires. Set aside monthly so it is never a surprise.</t>
        </is>
      </c>
    </row>
    <row r="50" ht="19" customHeight="1">
      <c r="A50" s="24" t="inlineStr">
        <is>
          <t xml:space="preserve">  5.  ACCOUNTS  (opening balances at the model date)</t>
        </is>
      </c>
      <c r="B50" s="25" t="n"/>
      <c r="C50" s="25" t="n"/>
      <c r="D50" s="25" t="n"/>
      <c r="E50" s="25" t="n"/>
    </row>
    <row r="51">
      <c r="B51" s="26" t="inlineStr">
        <is>
          <t>Checking</t>
        </is>
      </c>
      <c r="C51" s="32" t="n">
        <v>395.4</v>
      </c>
      <c r="D51" s="28" t="inlineStr">
        <is>
          <t>$</t>
        </is>
      </c>
      <c r="E51" s="29" t="inlineStr"/>
    </row>
    <row r="52">
      <c r="B52" s="26" t="inlineStr">
        <is>
          <t xml:space="preserve">  ...minimum cushion to keep in checking</t>
        </is>
      </c>
      <c r="C52" s="32" t="n">
        <v>2000</v>
      </c>
      <c r="D52" s="28" t="inlineStr">
        <is>
          <t>$</t>
        </is>
      </c>
      <c r="E52" s="29" t="inlineStr">
        <is>
          <t>RECOMMENDATION: one month of fixed bills. You are at $395 with $866 of bills due in the next 7 days. This is the single most urgent fix in the model.</t>
        </is>
      </c>
    </row>
    <row r="53">
      <c r="B53" s="26" t="inlineStr">
        <is>
          <t>High-yield savings</t>
        </is>
      </c>
      <c r="C53" s="32" t="n">
        <v>8398.9</v>
      </c>
      <c r="D53" s="28" t="inlineStr">
        <is>
          <t>$</t>
        </is>
      </c>
      <c r="E53" s="29" t="inlineStr"/>
    </row>
    <row r="54">
      <c r="B54" s="26" t="inlineStr">
        <is>
          <t xml:space="preserve">  ...HYSA rate (APY)</t>
        </is>
      </c>
      <c r="C54" s="39" t="n">
        <v>0.04</v>
      </c>
      <c r="D54" s="28" t="inlineStr">
        <is>
          <t>APY</t>
        </is>
      </c>
      <c r="E54" s="29" t="inlineStr">
        <is>
          <t>CONFIRM YOUR ACTUAL RATE. If it is above 3.687% your certificate is losing you money - see 'Certificate Ladder'.</t>
        </is>
      </c>
    </row>
    <row r="55">
      <c r="B55" s="26" t="inlineStr">
        <is>
          <t>Shared certificate</t>
        </is>
      </c>
      <c r="C55" s="32" t="n">
        <v>6522.71</v>
      </c>
      <c r="D55" s="28" t="inlineStr">
        <is>
          <t>$</t>
        </is>
      </c>
      <c r="E55" s="29" t="inlineStr"/>
    </row>
    <row r="56">
      <c r="B56" s="26" t="inlineStr">
        <is>
          <t xml:space="preserve">  ...certificate rate</t>
        </is>
      </c>
      <c r="C56" s="33" t="n">
        <v>0.03687</v>
      </c>
      <c r="D56" s="28" t="inlineStr">
        <is>
          <t>APY</t>
        </is>
      </c>
      <c r="E56" s="29" t="inlineStr"/>
    </row>
    <row r="57">
      <c r="B57" s="26" t="inlineStr">
        <is>
          <t xml:space="preserve">  ...next maturity / roll date</t>
        </is>
      </c>
      <c r="C57" s="31" t="n">
        <v>46323</v>
      </c>
      <c r="D57" s="28" t="inlineStr">
        <is>
          <t>date</t>
        </is>
      </c>
      <c r="E57" s="29" t="inlineStr"/>
    </row>
    <row r="58">
      <c r="B58" s="26" t="inlineStr">
        <is>
          <t xml:space="preserve">  ...term length</t>
        </is>
      </c>
      <c r="C58" s="30" t="n">
        <v>3</v>
      </c>
      <c r="D58" s="28" t="inlineStr">
        <is>
          <t>months</t>
        </is>
      </c>
      <c r="E58" s="29" t="inlineStr">
        <is>
          <t>Rolls every 3 months.</t>
        </is>
      </c>
    </row>
    <row r="59">
      <c r="B59" s="26" t="inlineStr">
        <is>
          <t xml:space="preserve">  ...auto-transfer from savings each roll</t>
        </is>
      </c>
      <c r="C59" s="32" t="n">
        <v>1250</v>
      </c>
      <c r="D59" s="28" t="inlineStr">
        <is>
          <t>$/roll</t>
        </is>
      </c>
      <c r="E59" s="29">
        <f> $416.67/mo pulled out of your HYSA automatically. It is a real cash outflow and IS budgeted on 'Cash Flow 24M'.</f>
        <v/>
      </c>
    </row>
    <row r="60">
      <c r="B60" s="26" t="inlineStr">
        <is>
          <t>Special savings (ring / travel)</t>
        </is>
      </c>
      <c r="C60" s="32" t="n">
        <v>0</v>
      </c>
      <c r="D60" s="28" t="inlineStr">
        <is>
          <t>$</t>
        </is>
      </c>
      <c r="E60" s="29" t="inlineStr">
        <is>
          <t>Account does not exist yet. Open it - see 'Recommendations'.</t>
        </is>
      </c>
    </row>
    <row r="61">
      <c r="B61" s="26" t="inlineStr">
        <is>
          <t>Roth IRA</t>
        </is>
      </c>
      <c r="C61" s="32" t="n">
        <v>0</v>
      </c>
      <c r="D61" s="28" t="inlineStr">
        <is>
          <t>$</t>
        </is>
      </c>
      <c r="E61" s="29" t="inlineStr">
        <is>
          <t>Account does not exist yet. This is the biggest long-term miss in your setup.</t>
        </is>
      </c>
    </row>
    <row r="62" ht="19" customHeight="1">
      <c r="A62" s="24" t="inlineStr">
        <is>
          <t xml:space="preserve">  6.  DEBT</t>
        </is>
      </c>
      <c r="B62" s="25" t="n"/>
      <c r="C62" s="25" t="n"/>
      <c r="D62" s="25" t="n"/>
      <c r="E62" s="25" t="n"/>
    </row>
    <row r="63">
      <c r="B63" s="26" t="inlineStr">
        <is>
          <t>Auto loan balance</t>
        </is>
      </c>
      <c r="C63" s="32" t="n">
        <v>25092.02</v>
      </c>
      <c r="D63" s="28" t="inlineStr">
        <is>
          <t>$</t>
        </is>
      </c>
      <c r="E63" s="29" t="inlineStr"/>
    </row>
    <row r="64">
      <c r="B64" s="26" t="inlineStr">
        <is>
          <t xml:space="preserve">  ...auto loan APR</t>
        </is>
      </c>
      <c r="C64" s="39" t="n">
        <v>0.07489999999999999</v>
      </c>
      <c r="D64" s="28" t="inlineStr">
        <is>
          <t>APR</t>
        </is>
      </c>
      <c r="E64" s="29" t="inlineStr">
        <is>
          <t>NOT PROVIDED. 7.49% is a typical 2025-26 used-car rate. Pull the real rate off your statement - the payoff schedule on 'Car Loan' is only as good as this cell.</t>
        </is>
      </c>
    </row>
    <row r="65">
      <c r="B65" s="26" t="inlineStr">
        <is>
          <t>Credit card balance now</t>
        </is>
      </c>
      <c r="C65" s="32" t="n">
        <v>390.15</v>
      </c>
      <c r="D65" s="28" t="inlineStr">
        <is>
          <t>$</t>
        </is>
      </c>
      <c r="E65" s="29" t="inlineStr"/>
    </row>
    <row r="66">
      <c r="B66" s="26" t="inlineStr">
        <is>
          <t xml:space="preserve">  ...statement due day</t>
        </is>
      </c>
      <c r="C66" s="30" t="n">
        <v>7</v>
      </c>
      <c r="D66" s="28" t="inlineStr">
        <is>
          <t>day</t>
        </is>
      </c>
      <c r="E66" s="29" t="inlineStr"/>
    </row>
    <row r="67">
      <c r="B67" s="26" t="inlineStr">
        <is>
          <t xml:space="preserve">  ...credit limit</t>
        </is>
      </c>
      <c r="C67" s="37" t="n">
        <v>5000</v>
      </c>
      <c r="D67" s="28" t="inlineStr">
        <is>
          <t>$</t>
        </is>
      </c>
      <c r="E67" s="29" t="inlineStr">
        <is>
          <t>NOT PROVIDED. Drives your utilization %, which is 30% of your FICO score. Enter the real limit.</t>
        </is>
      </c>
    </row>
    <row r="68">
      <c r="B68" s="26" t="inlineStr">
        <is>
          <t xml:space="preserve">  ...APR</t>
        </is>
      </c>
      <c r="C68" s="39" t="n">
        <v>0.2699</v>
      </c>
      <c r="D68" s="28" t="inlineStr">
        <is>
          <t>APR</t>
        </is>
      </c>
      <c r="E68" s="29" t="inlineStr">
        <is>
          <t>Only matters if you ever carry a balance. Don't.</t>
        </is>
      </c>
    </row>
    <row r="69">
      <c r="B69" s="26" t="inlineStr">
        <is>
          <t>Total open credit lines</t>
        </is>
      </c>
      <c r="C69" s="30" t="n">
        <v>2</v>
      </c>
      <c r="D69" s="28" t="inlineStr">
        <is>
          <t>lines</t>
        </is>
      </c>
      <c r="E69" s="29" t="inlineStr">
        <is>
          <t>Auto loan + 1 card. Thin. See 'Credit Builder'.</t>
        </is>
      </c>
    </row>
    <row r="70" ht="19" customHeight="1">
      <c r="A70" s="24" t="inlineStr">
        <is>
          <t xml:space="preserve">  7.  TAXES  (only bites if you are 1099 - confirm section 2)</t>
        </is>
      </c>
      <c r="B70" s="25" t="n"/>
      <c r="C70" s="25" t="n"/>
      <c r="D70" s="25" t="n"/>
      <c r="E70" s="25" t="n"/>
    </row>
    <row r="71">
      <c r="B71" s="26" t="inlineStr">
        <is>
          <t>Self-employment tax rate</t>
        </is>
      </c>
      <c r="C71" s="33" t="n">
        <v>0.153</v>
      </c>
      <c r="D71" s="28" t="inlineStr">
        <is>
          <t>of 92.35% of net</t>
        </is>
      </c>
      <c r="E71" s="29" t="inlineStr">
        <is>
          <t>12.4% Social Security + 2.9% Medicare. 1099 only.</t>
        </is>
      </c>
    </row>
    <row r="72">
      <c r="B72" s="26" t="inlineStr">
        <is>
          <t>Federal effective income tax rate</t>
        </is>
      </c>
      <c r="C72" s="39" t="n">
        <v>0.12</v>
      </c>
      <c r="D72" s="28" t="inlineStr">
        <is>
          <t>eff.</t>
        </is>
      </c>
      <c r="E72" s="29" t="inlineStr">
        <is>
          <t>Estimate for a single filer around $80-110k gross after the standard deduction and QBI. Not marginal - effective. Have a CPA confirm.</t>
        </is>
      </c>
    </row>
    <row r="73">
      <c r="B73" s="26" t="inlineStr">
        <is>
          <t>Maine effective income tax rate</t>
        </is>
      </c>
      <c r="C73" s="39" t="n">
        <v>0.055</v>
      </c>
      <c r="D73" s="28" t="inlineStr">
        <is>
          <t>eff.</t>
        </is>
      </c>
      <c r="E73" s="29" t="inlineStr">
        <is>
          <t>Maine brackets run 5.8%/6.75%/7.15%. ~5.5% effective at your income. Confirm with a CPA.</t>
        </is>
      </c>
    </row>
    <row r="74">
      <c r="B74" s="26" t="inlineStr">
        <is>
          <t>% of every commission to park for taxes</t>
        </is>
      </c>
      <c r="C74" s="40" t="n">
        <v>0.3</v>
      </c>
      <c r="D74" s="28" t="inlineStr">
        <is>
          <t>of gross</t>
        </is>
      </c>
      <c r="E74" s="29" t="inlineStr">
        <is>
          <t>RECOMMENDATION: 30% off the top of EVERY commission check into a separate account, on the day it lands, before you look at the number. If W-2, set to 0%.</t>
        </is>
      </c>
    </row>
    <row r="75">
      <c r="B75" s="26" t="inlineStr">
        <is>
          <t>IRS standard mileage rate</t>
        </is>
      </c>
      <c r="C75" s="37" t="n">
        <v>0.7</v>
      </c>
      <c r="D75" s="28" t="inlineStr">
        <is>
          <t>$/mi</t>
        </is>
      </c>
      <c r="E75" s="29" t="inlineStr">
        <is>
          <t>~$0.70/mi for 2025; the IRS re-sets it every January - verify the 2026 figure. 1099 only. See 'Tax Reserve' - this deduction is worth more than your actual gas.</t>
        </is>
      </c>
    </row>
    <row r="76" ht="19" customHeight="1">
      <c r="A76" s="24" t="inlineStr">
        <is>
          <t xml:space="preserve">  8.  GOALS</t>
        </is>
      </c>
      <c r="B76" s="25" t="n"/>
      <c r="C76" s="25" t="n"/>
      <c r="D76" s="25" t="n"/>
      <c r="E76" s="25" t="n"/>
    </row>
    <row r="77">
      <c r="B77" s="26" t="inlineStr">
        <is>
          <t>Emergency fund target</t>
        </is>
      </c>
      <c r="C77" s="30" t="n">
        <v>9</v>
      </c>
      <c r="D77" s="28" t="inlineStr">
        <is>
          <t>months</t>
        </is>
      </c>
      <c r="E77" s="29" t="inlineStr">
        <is>
          <t>RECOMMENDATION: 9 months, not the usual 3-6. Your income is commission-lumpy AND your draw may be clawable. Two risks stacked.</t>
        </is>
      </c>
    </row>
    <row r="78">
      <c r="B78" s="26" t="inlineStr">
        <is>
          <t>Ring + proposal budget</t>
        </is>
      </c>
      <c r="C78" s="37" t="n">
        <v>12000</v>
      </c>
      <c r="D78" s="28" t="inlineStr">
        <is>
          <t>$</t>
        </is>
      </c>
      <c r="E78" s="29" t="inlineStr">
        <is>
          <t>Placeholder - set your real number. Includes ring, photographer, trip.</t>
        </is>
      </c>
    </row>
    <row r="79">
      <c r="B79" s="26" t="inlineStr">
        <is>
          <t>Target proposal date</t>
        </is>
      </c>
      <c r="C79" s="31" t="n">
        <v>46997</v>
      </c>
      <c r="D79" s="28" t="inlineStr">
        <is>
          <t>date</t>
        </is>
      </c>
      <c r="E79" s="29" t="inlineStr">
        <is>
          <t>'In 2 years' from today.</t>
        </is>
      </c>
    </row>
    <row r="80">
      <c r="B80" s="26" t="inlineStr">
        <is>
          <t>Annual travel budget</t>
        </is>
      </c>
      <c r="C80" s="37" t="n">
        <v>3000</v>
      </c>
      <c r="D80" s="28" t="inlineStr">
        <is>
          <t>$/yr</t>
        </is>
      </c>
      <c r="E80" s="29" t="inlineStr"/>
    </row>
    <row r="81">
      <c r="B81" s="26" t="inlineStr">
        <is>
          <t>Target home purchase price</t>
        </is>
      </c>
      <c r="C81" s="41" t="n">
        <v>400000</v>
      </c>
      <c r="D81" s="28" t="inlineStr">
        <is>
          <t>$</t>
        </is>
      </c>
      <c r="E81" s="29" t="inlineStr">
        <is>
          <t>Near the Maine median. Adjust for your market.</t>
        </is>
      </c>
    </row>
    <row r="82">
      <c r="B82" s="26" t="inlineStr">
        <is>
          <t xml:space="preserve">  ...down payment</t>
        </is>
      </c>
      <c r="C82" s="42" t="n">
        <v>0.05</v>
      </c>
      <c r="D82" s="28" t="inlineStr">
        <is>
          <t>%</t>
        </is>
      </c>
      <c r="E82" s="29" t="inlineStr">
        <is>
          <t>5% conventional. FHA 3.5% and 0% VA/USDA modeled on 'Home Purchase'.</t>
        </is>
      </c>
    </row>
    <row r="83">
      <c r="B83" s="26" t="inlineStr">
        <is>
          <t xml:space="preserve">  ...closing costs + prepaids</t>
        </is>
      </c>
      <c r="C83" s="42" t="n">
        <v>0.03</v>
      </c>
      <c r="D83" s="28" t="inlineStr">
        <is>
          <t>% of price</t>
        </is>
      </c>
      <c r="E83" s="29" t="inlineStr"/>
    </row>
    <row r="84">
      <c r="B84" s="26" t="inlineStr">
        <is>
          <t>Target home purchase date</t>
        </is>
      </c>
      <c r="C84" s="31" t="n">
        <v>47178</v>
      </c>
      <c r="D84" s="28" t="inlineStr">
        <is>
          <t>date</t>
        </is>
      </c>
      <c r="E84" s="29" t="inlineStr">
        <is>
          <t>NOT 2 years. See 'Home Purchase': lenders need a 2-year history of variable income, which for you starts ~Mar 2028. Buying and proposing in the same 12 months is the core conflict in this plan.</t>
        </is>
      </c>
    </row>
    <row r="85" ht="19" customHeight="1">
      <c r="A85" s="24" t="inlineStr">
        <is>
          <t xml:space="preserve">  9.  SURPLUS ALLOCATION  (how every leftover dollar gets split - must total 100%)</t>
        </is>
      </c>
      <c r="B85" s="25" t="n"/>
      <c r="C85" s="25" t="n"/>
      <c r="D85" s="25" t="n"/>
      <c r="E85" s="25" t="n"/>
    </row>
    <row r="86">
      <c r="B86" s="26" t="inlineStr">
        <is>
          <t>-&gt; Emergency fund (HYSA)</t>
        </is>
      </c>
      <c r="C86" s="42" t="n">
        <v>0.3</v>
      </c>
      <c r="D86" s="28" t="inlineStr">
        <is>
          <t>%</t>
        </is>
      </c>
      <c r="E86" s="29" t="inlineStr"/>
    </row>
    <row r="87">
      <c r="B87" s="26" t="inlineStr">
        <is>
          <t>-&gt; Roth IRA</t>
        </is>
      </c>
      <c r="C87" s="42" t="n">
        <v>0.15</v>
      </c>
      <c r="D87" s="28" t="inlineStr">
        <is>
          <t>%</t>
        </is>
      </c>
      <c r="E87" s="29" t="inlineStr"/>
    </row>
    <row r="88">
      <c r="B88" s="26" t="inlineStr">
        <is>
          <t>-&gt; Ring / special savings</t>
        </is>
      </c>
      <c r="C88" s="42" t="n">
        <v>0.2</v>
      </c>
      <c r="D88" s="28" t="inlineStr">
        <is>
          <t>%</t>
        </is>
      </c>
      <c r="E88" s="29" t="inlineStr"/>
    </row>
    <row r="89">
      <c r="B89" s="26" t="inlineStr">
        <is>
          <t>-&gt; House down payment</t>
        </is>
      </c>
      <c r="C89" s="42" t="n">
        <v>0.25</v>
      </c>
      <c r="D89" s="28" t="inlineStr">
        <is>
          <t>%</t>
        </is>
      </c>
      <c r="E89" s="29" t="inlineStr"/>
    </row>
    <row r="90">
      <c r="B90" s="26" t="inlineStr">
        <is>
          <t>-&gt; Extra principal on car</t>
        </is>
      </c>
      <c r="C90" s="42" t="n">
        <v>0.05</v>
      </c>
      <c r="D90" s="28" t="inlineStr">
        <is>
          <t>%</t>
        </is>
      </c>
      <c r="E90" s="29" t="inlineStr"/>
    </row>
    <row r="91">
      <c r="B91" s="26" t="inlineStr">
        <is>
          <t>-&gt; Guilt-free spending</t>
        </is>
      </c>
      <c r="C91" s="42" t="n">
        <v>0.05</v>
      </c>
      <c r="D91" s="28" t="inlineStr">
        <is>
          <t>%</t>
        </is>
      </c>
      <c r="E91" s="29" t="inlineStr"/>
    </row>
    <row r="92">
      <c r="B92" s="26" t="inlineStr">
        <is>
          <t>TOTAL  (must equal 100%)</t>
        </is>
      </c>
      <c r="C92" s="43">
        <f>SUM(C86:C91)</f>
        <v/>
      </c>
      <c r="D92" s="28" t="inlineStr">
        <is>
          <t>%</t>
        </is>
      </c>
      <c r="E92" s="29" t="inlineStr">
        <is>
          <t>If this is not 100.0% the Allocation Engine is wrong. The waterfall on 'Allocation Engine' overrides these percentages until the emergency fund is full.</t>
        </is>
      </c>
    </row>
    <row r="93" ht="19" customHeight="1">
      <c r="A93" s="24" t="inlineStr">
        <is>
          <t xml:space="preserve">  10.  FORECAST ASSUMPTIONS  (drives the 24-month projection)</t>
        </is>
      </c>
      <c r="B93" s="25" t="n"/>
      <c r="C93" s="25" t="n"/>
      <c r="D93" s="25" t="n"/>
      <c r="E93" s="25" t="n"/>
    </row>
    <row r="94">
      <c r="B94" s="26" t="inlineStr">
        <is>
          <t>Average loan size</t>
        </is>
      </c>
      <c r="C94" s="41" t="n">
        <v>300000</v>
      </c>
      <c r="D94" s="28" t="inlineStr">
        <is>
          <t>$</t>
        </is>
      </c>
      <c r="E94" s="29" t="inlineStr">
        <is>
          <t>Set from your actual pipeline. At 75 bps a $300k loan pays you $2,250.</t>
        </is>
      </c>
    </row>
    <row r="95">
      <c r="B95" s="26" t="inlineStr">
        <is>
          <t>Loans closed / month - BASE case</t>
        </is>
      </c>
      <c r="C95" s="38" t="n">
        <v>2</v>
      </c>
      <c r="D95" s="28" t="inlineStr">
        <is>
          <t>loans/mo</t>
        </is>
      </c>
      <c r="E95" s="29" t="inlineStr"/>
    </row>
    <row r="96">
      <c r="B96" s="26" t="inlineStr">
        <is>
          <t>Loans closed / month - SLOW case</t>
        </is>
      </c>
      <c r="C96" s="38" t="n">
        <v>0.8</v>
      </c>
      <c r="D96" s="28" t="inlineStr">
        <is>
          <t>loans/mo</t>
        </is>
      </c>
      <c r="E96" s="29" t="inlineStr"/>
    </row>
    <row r="97">
      <c r="B97" s="26" t="inlineStr">
        <is>
          <t>Loans closed / month - STRONG case</t>
        </is>
      </c>
      <c r="C97" s="38" t="n">
        <v>4</v>
      </c>
      <c r="D97" s="28" t="inlineStr">
        <is>
          <t>loans/mo</t>
        </is>
      </c>
      <c r="E97" s="29" t="inlineStr"/>
    </row>
    <row r="98">
      <c r="B98" s="26" t="inlineStr">
        <is>
          <t>ACTIVE SCENARIO for the 24-month forecast</t>
        </is>
      </c>
      <c r="C98" s="27" t="inlineStr">
        <is>
          <t>Base</t>
        </is>
      </c>
      <c r="D98" s="28" t="inlineStr">
        <is>
          <t>case</t>
        </is>
      </c>
      <c r="E98" s="29" t="inlineStr">
        <is>
          <t>Switch this one cell and the entire workbook re-forecasts.</t>
        </is>
      </c>
    </row>
    <row r="99">
      <c r="B99" s="26" t="inlineStr">
        <is>
          <t xml:space="preserve">  = Active units/month</t>
        </is>
      </c>
      <c r="C99" s="44">
        <f>IF(C98="Slow",C96,IF(C98="Strong",C97,C95))</f>
        <v/>
      </c>
      <c r="D99" s="28" t="inlineStr">
        <is>
          <t>loans/mo</t>
        </is>
      </c>
      <c r="E99" s="29" t="inlineStr"/>
    </row>
    <row r="100">
      <c r="B100" s="26" t="inlineStr">
        <is>
          <t xml:space="preserve">  = Active monthly volume</t>
        </is>
      </c>
      <c r="C100" s="45">
        <f>C99*C94</f>
        <v/>
      </c>
      <c r="D100" s="28" t="inlineStr">
        <is>
          <t>$/mo</t>
        </is>
      </c>
      <c r="E100" s="29" t="inlineStr"/>
    </row>
    <row r="101">
      <c r="B101" s="26" t="inlineStr">
        <is>
          <t xml:space="preserve">  = Active monthly commission</t>
        </is>
      </c>
      <c r="C101" s="35">
        <f>C100*C15</f>
        <v/>
      </c>
      <c r="D101" s="28" t="inlineStr">
        <is>
          <t>$/mo</t>
        </is>
      </c>
      <c r="E101" s="29" t="inlineStr"/>
    </row>
  </sheetData>
  <mergeCells count="12">
    <mergeCell ref="A39:E39"/>
    <mergeCell ref="A50:E50"/>
    <mergeCell ref="A4:E4"/>
    <mergeCell ref="A62:E62"/>
    <mergeCell ref="A2:E2"/>
    <mergeCell ref="A76:E76"/>
    <mergeCell ref="A11:E11"/>
    <mergeCell ref="A85:E85"/>
    <mergeCell ref="A1:E1"/>
    <mergeCell ref="A93:E93"/>
    <mergeCell ref="A70:E70"/>
    <mergeCell ref="A27:E27"/>
  </mergeCells>
  <dataValidations count="6">
    <dataValidation sqref="C17" showDropDown="0" showInputMessage="0" showErrorMessage="0" allowBlank="0" type="list">
      <formula1>"Yes,No"</formula1>
    </dataValidation>
    <dataValidation sqref="C14" showDropDown="0" showInputMessage="0" showErrorMessage="0" allowBlank="0" type="list">
      <formula1>"Yes,No"</formula1>
    </dataValidation>
    <dataValidation sqref="C18" showDropDown="0" showInputMessage="0" showErrorMessage="0" allowBlank="0" type="list">
      <formula1>"Recapture,GreaterOf,Stacked"</formula1>
    </dataValidation>
    <dataValidation sqref="C19" showDropDown="0" showInputMessage="0" showErrorMessage="0" allowBlank="0" type="list">
      <formula1>"Self-funded,Recoverable,CompanyPaid"</formula1>
    </dataValidation>
    <dataValidation sqref="C20" showDropDown="0" showInputMessage="0" showErrorMessage="0" allowBlank="0" type="list">
      <formula1>"1099,W-2"</formula1>
    </dataValidation>
    <dataValidation sqref="C98" showDropDown="0" showInputMessage="0" showErrorMessage="0" allowBlank="0" type="list">
      <formula1>"Slow,Base,Strong"</formula1>
    </dataValidation>
  </dataValidations>
  <pageMargins left="0.75" right="0.75" top="1" bottom="1" header="0.5" footer="0.5"/>
</worksheet>
</file>

<file path=xl/worksheets/sheet4.xml><?xml version="1.0" encoding="utf-8"?>
<worksheet xmlns="http://schemas.openxmlformats.org/spreadsheetml/2006/main">
  <sheetPr>
    <tabColor rgb="001E7B4F"/>
    <outlinePr summaryBelow="1" summaryRight="1"/>
    <pageSetUpPr fitToPage="1"/>
  </sheetPr>
  <dimension ref="A1:N257"/>
  <sheetViews>
    <sheetView showGridLines="0" workbookViewId="0">
      <pane ySplit="7" topLeftCell="A8" activePane="bottomLeft" state="frozen"/>
      <selection pane="bottomLeft" activeCell="A1" sqref="A1"/>
    </sheetView>
  </sheetViews>
  <sheetFormatPr baseColWidth="8" defaultRowHeight="15"/>
  <cols>
    <col width="12" customWidth="1" min="1" max="1"/>
    <col width="26" customWidth="1" min="2" max="2"/>
    <col width="18" customWidth="1" min="3" max="3"/>
    <col width="15" customWidth="1" min="4" max="4"/>
    <col width="11" customWidth="1" min="5" max="5"/>
    <col width="11" customWidth="1" min="6" max="6"/>
    <col width="15" customWidth="1" min="7" max="7"/>
    <col width="15" customWidth="1" min="8" max="8"/>
    <col width="13" customWidth="1" min="9" max="9"/>
    <col width="11" customWidth="1" min="10" max="10"/>
    <col width="15" customWidth="1" min="11" max="11"/>
    <col width="12" customWidth="1" min="12" max="12"/>
    <col width="22" customWidth="1" min="13" max="13"/>
    <col width="30" customWidth="1" min="14" max="14"/>
  </cols>
  <sheetData>
    <row r="1" ht="26" customHeight="1">
      <c r="A1" s="1" t="inlineStr">
        <is>
          <t>DEAL LOG  —  log every transaction here.  This sheet feeds the entire workbook.</t>
        </is>
      </c>
      <c r="B1" s="2" t="n"/>
      <c r="C1" s="2" t="n"/>
      <c r="D1" s="2" t="n"/>
      <c r="E1" s="2" t="n"/>
      <c r="F1" s="2" t="n"/>
      <c r="G1" s="2" t="n"/>
      <c r="H1" s="2" t="n"/>
      <c r="I1" s="2" t="n"/>
      <c r="J1" s="2" t="n"/>
      <c r="K1" s="2" t="n"/>
      <c r="L1" s="2" t="n"/>
      <c r="M1" s="2" t="n"/>
      <c r="N1" s="2" t="n"/>
    </row>
    <row r="2" ht="15" customHeight="1">
      <c r="A2" s="3" t="inlineStr">
        <is>
          <t>Enter columns A-F, I, J, M, N (blue).  Green columns calculate themselves.  Your 75 bps is paid on the loan amount regardless of the company's fee.</t>
        </is>
      </c>
      <c r="B2" s="2" t="n"/>
      <c r="C2" s="2" t="n"/>
      <c r="D2" s="2" t="n"/>
      <c r="E2" s="2" t="n"/>
      <c r="F2" s="2" t="n"/>
      <c r="G2" s="2" t="n"/>
      <c r="H2" s="2" t="n"/>
      <c r="I2" s="2" t="n"/>
      <c r="J2" s="2" t="n"/>
      <c r="K2" s="2" t="n"/>
      <c r="L2" s="2" t="n"/>
      <c r="M2" s="2" t="n"/>
      <c r="N2" s="2" t="n"/>
    </row>
    <row r="3">
      <c r="A3" s="46" t="inlineStr">
        <is>
          <t>TOTALS (Funded only):</t>
        </is>
      </c>
      <c r="B3" s="47" t="inlineStr">
        <is>
          <t>Funded count -&gt;</t>
        </is>
      </c>
      <c r="C3" s="48">
        <f>COUNTIFS($I$8:$I$257,"Funded")</f>
        <v/>
      </c>
      <c r="D3" s="49">
        <f>SUMIFS(D8:D257,$I$8:$I$257,"Funded")</f>
        <v/>
      </c>
      <c r="G3" s="50">
        <f>SUMIFS(G8:G257,$I$8:$I$257,"Funded")</f>
        <v/>
      </c>
      <c r="H3" s="50">
        <f>SUMIFS(H8:H257,$I$8:$I$257,"Funded")</f>
        <v/>
      </c>
      <c r="J3" s="47" t="inlineStr">
        <is>
          <t>Weighted pipeline -&gt;</t>
        </is>
      </c>
      <c r="K3" s="51">
        <f>SUMIFS(K8:K257,$I$8:$I$257,"Funded")+SUMIFS(K8:K257,$I$8:$I$257,"Locked")+SUMIFS(K8:K257,$I$8:$I$257,"Pre-App")</f>
        <v/>
      </c>
    </row>
    <row r="5">
      <c r="A5" s="52" t="inlineStr">
        <is>
          <t>!!  ROWS 8-10 ARE EXAMPLES so you can see the model working end-to-end.  DELETE THEM before you trust a single number.  !!</t>
        </is>
      </c>
    </row>
    <row r="6">
      <c r="A6" s="53" t="inlineStr">
        <is>
          <t>Examples still in the file:</t>
        </is>
      </c>
      <c r="D6" s="54">
        <f>COUNTIFS($C$8:$C$257,"EXAMPLE*")</f>
        <v/>
      </c>
    </row>
    <row r="7" ht="30" customHeight="1">
      <c r="A7" s="55" t="inlineStr">
        <is>
          <t>Date Funded</t>
        </is>
      </c>
      <c r="B7" s="55" t="inlineStr">
        <is>
          <t>Client / Deal</t>
        </is>
      </c>
      <c r="C7" s="55" t="inlineStr">
        <is>
          <t>Loan Type</t>
        </is>
      </c>
      <c r="D7" s="55" t="inlineStr">
        <is>
          <t>Loan Amount</t>
        </is>
      </c>
      <c r="E7" s="55" t="inlineStr">
        <is>
          <t>Co. bps</t>
        </is>
      </c>
      <c r="F7" s="55" t="inlineStr">
        <is>
          <t>My bps</t>
        </is>
      </c>
      <c r="G7" s="55" t="inlineStr">
        <is>
          <t>MY COMMISSION</t>
        </is>
      </c>
      <c r="H7" s="55" t="inlineStr">
        <is>
          <t>Company Revenue</t>
        </is>
      </c>
      <c r="I7" s="55" t="inlineStr">
        <is>
          <t>Status</t>
        </is>
      </c>
      <c r="J7" s="55" t="inlineStr">
        <is>
          <t>Prob. %</t>
        </is>
      </c>
      <c r="K7" s="55" t="inlineStr">
        <is>
          <t>Weighted to Me</t>
        </is>
      </c>
      <c r="L7" s="55" t="inlineStr">
        <is>
          <t>Month Key</t>
        </is>
      </c>
      <c r="M7" s="55" t="inlineStr">
        <is>
          <t>Referral Source</t>
        </is>
      </c>
      <c r="N7" s="55" t="inlineStr">
        <is>
          <t>Notes</t>
        </is>
      </c>
    </row>
    <row r="8">
      <c r="A8" s="56" t="n">
        <v>46164</v>
      </c>
      <c r="B8" s="57" t="inlineStr">
        <is>
          <t>Sample - Hartley purchase</t>
        </is>
      </c>
      <c r="C8" s="57" t="inlineStr">
        <is>
          <t>EXAMPLE - Conv 30yr</t>
        </is>
      </c>
      <c r="D8" s="58" t="n">
        <v>312000</v>
      </c>
      <c r="E8" s="59" t="n">
        <v>0.0275</v>
      </c>
      <c r="F8" s="60">
        <f>IF($A8="","",Inputs!$C$15)</f>
        <v/>
      </c>
      <c r="G8" s="50">
        <f>IF($A8="","",$D8*$F8)</f>
        <v/>
      </c>
      <c r="H8" s="61">
        <f>IF($A8="","",$D8*$E8)</f>
        <v/>
      </c>
      <c r="I8" s="62" t="inlineStr">
        <is>
          <t>Funded</t>
        </is>
      </c>
      <c r="J8" s="63" t="n">
        <v>1</v>
      </c>
      <c r="K8" s="61">
        <f>IF($A8="","",$G8*$J8)</f>
        <v/>
      </c>
      <c r="L8" s="64">
        <f>IF($A8="","",EOMONTH($A8,0))</f>
        <v/>
      </c>
      <c r="M8" s="57" t="inlineStr">
        <is>
          <t>Realtor - J. Poulin</t>
        </is>
      </c>
      <c r="N8" s="57" t="inlineStr">
        <is>
          <t>Delete this row</t>
        </is>
      </c>
    </row>
    <row r="9">
      <c r="A9" s="56" t="n">
        <v>46213</v>
      </c>
      <c r="B9" s="57" t="inlineStr">
        <is>
          <t>Sample - Nadeau refi</t>
        </is>
      </c>
      <c r="C9" s="57" t="inlineStr">
        <is>
          <t>EXAMPLE - FHA Streamline</t>
        </is>
      </c>
      <c r="D9" s="58" t="n">
        <v>244500</v>
      </c>
      <c r="E9" s="59" t="n">
        <v>0.02</v>
      </c>
      <c r="F9" s="65">
        <f>IF($A9="","",Inputs!$C$15)</f>
        <v/>
      </c>
      <c r="G9" s="50">
        <f>IF($A9="","",$D9*$F9)</f>
        <v/>
      </c>
      <c r="H9" s="66">
        <f>IF($A9="","",$D9*$E9)</f>
        <v/>
      </c>
      <c r="I9" s="62" t="inlineStr">
        <is>
          <t>Funded</t>
        </is>
      </c>
      <c r="J9" s="63" t="n">
        <v>1</v>
      </c>
      <c r="K9" s="66">
        <f>IF($A9="","",$G9*$J9)</f>
        <v/>
      </c>
      <c r="L9" s="67">
        <f>IF($A9="","",EOMONTH($A9,0))</f>
        <v/>
      </c>
      <c r="M9" s="57" t="inlineStr">
        <is>
          <t>Past client</t>
        </is>
      </c>
      <c r="N9" s="57" t="inlineStr">
        <is>
          <t>Rate cut to 200 bps to win it - your 75 bps did not change</t>
        </is>
      </c>
    </row>
    <row r="10">
      <c r="A10" s="56" t="n">
        <v>46310</v>
      </c>
      <c r="B10" s="57" t="inlineStr">
        <is>
          <t>Sample - Belanger purchase</t>
        </is>
      </c>
      <c r="C10" s="57" t="inlineStr">
        <is>
          <t>EXAMPLE - MaineHousing FHL</t>
        </is>
      </c>
      <c r="D10" s="58" t="n">
        <v>288000</v>
      </c>
      <c r="E10" s="59" t="n">
        <v>0.015</v>
      </c>
      <c r="F10" s="60">
        <f>IF($A10="","",Inputs!$C$15)</f>
        <v/>
      </c>
      <c r="G10" s="50">
        <f>IF($A10="","",$D10*$F10)</f>
        <v/>
      </c>
      <c r="H10" s="61">
        <f>IF($A10="","",$D10*$E10)</f>
        <v/>
      </c>
      <c r="I10" s="62" t="inlineStr">
        <is>
          <t>Locked</t>
        </is>
      </c>
      <c r="J10" s="63" t="n">
        <v>0.85</v>
      </c>
      <c r="K10" s="61">
        <f>IF($A10="","",$G10*$J10)</f>
        <v/>
      </c>
      <c r="L10" s="64">
        <f>IF($A10="","",EOMONTH($A10,0))</f>
        <v/>
      </c>
      <c r="M10" s="57" t="inlineStr">
        <is>
          <t>Realtor - K. Dube</t>
        </is>
      </c>
      <c r="N10" s="57" t="inlineStr">
        <is>
          <t>Delete this row</t>
        </is>
      </c>
    </row>
    <row r="11">
      <c r="A11" s="68" t="n"/>
      <c r="B11" s="69" t="n"/>
      <c r="C11" s="69" t="n"/>
      <c r="D11" s="70" t="n"/>
      <c r="E11" s="71" t="n"/>
      <c r="F11" s="65">
        <f>IF($A11="","",Inputs!$C$15)</f>
        <v/>
      </c>
      <c r="G11" s="50">
        <f>IF($A11="","",$D11*$F11)</f>
        <v/>
      </c>
      <c r="H11" s="66">
        <f>IF($A11="","",$D11*$E11)</f>
        <v/>
      </c>
      <c r="I11" s="69" t="n"/>
      <c r="J11" s="72" t="n"/>
      <c r="K11" s="66">
        <f>IF($A11="","",$G11*$J11)</f>
        <v/>
      </c>
      <c r="L11" s="67">
        <f>IF($A11="","",EOMONTH($A11,0))</f>
        <v/>
      </c>
      <c r="M11" s="69" t="n"/>
      <c r="N11" s="69" t="n"/>
    </row>
    <row r="12">
      <c r="A12" s="73" t="n"/>
      <c r="B12" s="57" t="n"/>
      <c r="C12" s="57" t="n"/>
      <c r="D12" s="58" t="n"/>
      <c r="E12" s="74" t="n"/>
      <c r="F12" s="60">
        <f>IF($A12="","",Inputs!$C$15)</f>
        <v/>
      </c>
      <c r="G12" s="50">
        <f>IF($A12="","",$D12*$F12)</f>
        <v/>
      </c>
      <c r="H12" s="61">
        <f>IF($A12="","",$D12*$E12)</f>
        <v/>
      </c>
      <c r="I12" s="57" t="n"/>
      <c r="J12" s="75" t="n"/>
      <c r="K12" s="61">
        <f>IF($A12="","",$G12*$J12)</f>
        <v/>
      </c>
      <c r="L12" s="64">
        <f>IF($A12="","",EOMONTH($A12,0))</f>
        <v/>
      </c>
      <c r="M12" s="57" t="n"/>
      <c r="N12" s="57" t="n"/>
    </row>
    <row r="13">
      <c r="A13" s="68" t="n"/>
      <c r="B13" s="69" t="n"/>
      <c r="C13" s="69" t="n"/>
      <c r="D13" s="70" t="n"/>
      <c r="E13" s="71" t="n"/>
      <c r="F13" s="65">
        <f>IF($A13="","",Inputs!$C$15)</f>
        <v/>
      </c>
      <c r="G13" s="50">
        <f>IF($A13="","",$D13*$F13)</f>
        <v/>
      </c>
      <c r="H13" s="66">
        <f>IF($A13="","",$D13*$E13)</f>
        <v/>
      </c>
      <c r="I13" s="69" t="n"/>
      <c r="J13" s="72" t="n"/>
      <c r="K13" s="66">
        <f>IF($A13="","",$G13*$J13)</f>
        <v/>
      </c>
      <c r="L13" s="67">
        <f>IF($A13="","",EOMONTH($A13,0))</f>
        <v/>
      </c>
      <c r="M13" s="69" t="n"/>
      <c r="N13" s="69" t="n"/>
    </row>
    <row r="14">
      <c r="A14" s="73" t="n"/>
      <c r="B14" s="57" t="n"/>
      <c r="C14" s="57" t="n"/>
      <c r="D14" s="58" t="n"/>
      <c r="E14" s="74" t="n"/>
      <c r="F14" s="60">
        <f>IF($A14="","",Inputs!$C$15)</f>
        <v/>
      </c>
      <c r="G14" s="50">
        <f>IF($A14="","",$D14*$F14)</f>
        <v/>
      </c>
      <c r="H14" s="61">
        <f>IF($A14="","",$D14*$E14)</f>
        <v/>
      </c>
      <c r="I14" s="57" t="n"/>
      <c r="J14" s="75" t="n"/>
      <c r="K14" s="61">
        <f>IF($A14="","",$G14*$J14)</f>
        <v/>
      </c>
      <c r="L14" s="64">
        <f>IF($A14="","",EOMONTH($A14,0))</f>
        <v/>
      </c>
      <c r="M14" s="57" t="n"/>
      <c r="N14" s="57" t="n"/>
    </row>
    <row r="15">
      <c r="A15" s="68" t="n"/>
      <c r="B15" s="69" t="n"/>
      <c r="C15" s="69" t="n"/>
      <c r="D15" s="70" t="n"/>
      <c r="E15" s="71" t="n"/>
      <c r="F15" s="65">
        <f>IF($A15="","",Inputs!$C$15)</f>
        <v/>
      </c>
      <c r="G15" s="50">
        <f>IF($A15="","",$D15*$F15)</f>
        <v/>
      </c>
      <c r="H15" s="66">
        <f>IF($A15="","",$D15*$E15)</f>
        <v/>
      </c>
      <c r="I15" s="69" t="n"/>
      <c r="J15" s="72" t="n"/>
      <c r="K15" s="66">
        <f>IF($A15="","",$G15*$J15)</f>
        <v/>
      </c>
      <c r="L15" s="67">
        <f>IF($A15="","",EOMONTH($A15,0))</f>
        <v/>
      </c>
      <c r="M15" s="69" t="n"/>
      <c r="N15" s="69" t="n"/>
    </row>
    <row r="16">
      <c r="A16" s="73" t="n"/>
      <c r="B16" s="57" t="n"/>
      <c r="C16" s="57" t="n"/>
      <c r="D16" s="58" t="n"/>
      <c r="E16" s="74" t="n"/>
      <c r="F16" s="60">
        <f>IF($A16="","",Inputs!$C$15)</f>
        <v/>
      </c>
      <c r="G16" s="50">
        <f>IF($A16="","",$D16*$F16)</f>
        <v/>
      </c>
      <c r="H16" s="61">
        <f>IF($A16="","",$D16*$E16)</f>
        <v/>
      </c>
      <c r="I16" s="57" t="n"/>
      <c r="J16" s="75" t="n"/>
      <c r="K16" s="61">
        <f>IF($A16="","",$G16*$J16)</f>
        <v/>
      </c>
      <c r="L16" s="64">
        <f>IF($A16="","",EOMONTH($A16,0))</f>
        <v/>
      </c>
      <c r="M16" s="57" t="n"/>
      <c r="N16" s="57" t="n"/>
    </row>
    <row r="17">
      <c r="A17" s="68" t="n"/>
      <c r="B17" s="69" t="n"/>
      <c r="C17" s="69" t="n"/>
      <c r="D17" s="70" t="n"/>
      <c r="E17" s="71" t="n"/>
      <c r="F17" s="65">
        <f>IF($A17="","",Inputs!$C$15)</f>
        <v/>
      </c>
      <c r="G17" s="50">
        <f>IF($A17="","",$D17*$F17)</f>
        <v/>
      </c>
      <c r="H17" s="66">
        <f>IF($A17="","",$D17*$E17)</f>
        <v/>
      </c>
      <c r="I17" s="69" t="n"/>
      <c r="J17" s="72" t="n"/>
      <c r="K17" s="66">
        <f>IF($A17="","",$G17*$J17)</f>
        <v/>
      </c>
      <c r="L17" s="67">
        <f>IF($A17="","",EOMONTH($A17,0))</f>
        <v/>
      </c>
      <c r="M17" s="69" t="n"/>
      <c r="N17" s="69" t="n"/>
    </row>
    <row r="18">
      <c r="A18" s="73" t="n"/>
      <c r="B18" s="57" t="n"/>
      <c r="C18" s="57" t="n"/>
      <c r="D18" s="58" t="n"/>
      <c r="E18" s="74" t="n"/>
      <c r="F18" s="60">
        <f>IF($A18="","",Inputs!$C$15)</f>
        <v/>
      </c>
      <c r="G18" s="50">
        <f>IF($A18="","",$D18*$F18)</f>
        <v/>
      </c>
      <c r="H18" s="61">
        <f>IF($A18="","",$D18*$E18)</f>
        <v/>
      </c>
      <c r="I18" s="57" t="n"/>
      <c r="J18" s="75" t="n"/>
      <c r="K18" s="61">
        <f>IF($A18="","",$G18*$J18)</f>
        <v/>
      </c>
      <c r="L18" s="64">
        <f>IF($A18="","",EOMONTH($A18,0))</f>
        <v/>
      </c>
      <c r="M18" s="57" t="n"/>
      <c r="N18" s="57" t="n"/>
    </row>
    <row r="19">
      <c r="A19" s="68" t="n"/>
      <c r="B19" s="69" t="n"/>
      <c r="C19" s="69" t="n"/>
      <c r="D19" s="70" t="n"/>
      <c r="E19" s="71" t="n"/>
      <c r="F19" s="65">
        <f>IF($A19="","",Inputs!$C$15)</f>
        <v/>
      </c>
      <c r="G19" s="50">
        <f>IF($A19="","",$D19*$F19)</f>
        <v/>
      </c>
      <c r="H19" s="66">
        <f>IF($A19="","",$D19*$E19)</f>
        <v/>
      </c>
      <c r="I19" s="69" t="n"/>
      <c r="J19" s="72" t="n"/>
      <c r="K19" s="66">
        <f>IF($A19="","",$G19*$J19)</f>
        <v/>
      </c>
      <c r="L19" s="67">
        <f>IF($A19="","",EOMONTH($A19,0))</f>
        <v/>
      </c>
      <c r="M19" s="69" t="n"/>
      <c r="N19" s="69" t="n"/>
    </row>
    <row r="20">
      <c r="A20" s="73" t="n"/>
      <c r="B20" s="57" t="n"/>
      <c r="C20" s="57" t="n"/>
      <c r="D20" s="58" t="n"/>
      <c r="E20" s="74" t="n"/>
      <c r="F20" s="60">
        <f>IF($A20="","",Inputs!$C$15)</f>
        <v/>
      </c>
      <c r="G20" s="50">
        <f>IF($A20="","",$D20*$F20)</f>
        <v/>
      </c>
      <c r="H20" s="61">
        <f>IF($A20="","",$D20*$E20)</f>
        <v/>
      </c>
      <c r="I20" s="57" t="n"/>
      <c r="J20" s="75" t="n"/>
      <c r="K20" s="61">
        <f>IF($A20="","",$G20*$J20)</f>
        <v/>
      </c>
      <c r="L20" s="64">
        <f>IF($A20="","",EOMONTH($A20,0))</f>
        <v/>
      </c>
      <c r="M20" s="57" t="n"/>
      <c r="N20" s="57" t="n"/>
    </row>
    <row r="21">
      <c r="A21" s="68" t="n"/>
      <c r="B21" s="69" t="n"/>
      <c r="C21" s="69" t="n"/>
      <c r="D21" s="70" t="n"/>
      <c r="E21" s="71" t="n"/>
      <c r="F21" s="65">
        <f>IF($A21="","",Inputs!$C$15)</f>
        <v/>
      </c>
      <c r="G21" s="50">
        <f>IF($A21="","",$D21*$F21)</f>
        <v/>
      </c>
      <c r="H21" s="66">
        <f>IF($A21="","",$D21*$E21)</f>
        <v/>
      </c>
      <c r="I21" s="69" t="n"/>
      <c r="J21" s="72" t="n"/>
      <c r="K21" s="66">
        <f>IF($A21="","",$G21*$J21)</f>
        <v/>
      </c>
      <c r="L21" s="67">
        <f>IF($A21="","",EOMONTH($A21,0))</f>
        <v/>
      </c>
      <c r="M21" s="69" t="n"/>
      <c r="N21" s="69" t="n"/>
    </row>
    <row r="22">
      <c r="A22" s="73" t="n"/>
      <c r="B22" s="57" t="n"/>
      <c r="C22" s="57" t="n"/>
      <c r="D22" s="58" t="n"/>
      <c r="E22" s="74" t="n"/>
      <c r="F22" s="60">
        <f>IF($A22="","",Inputs!$C$15)</f>
        <v/>
      </c>
      <c r="G22" s="50">
        <f>IF($A22="","",$D22*$F22)</f>
        <v/>
      </c>
      <c r="H22" s="61">
        <f>IF($A22="","",$D22*$E22)</f>
        <v/>
      </c>
      <c r="I22" s="57" t="n"/>
      <c r="J22" s="75" t="n"/>
      <c r="K22" s="61">
        <f>IF($A22="","",$G22*$J22)</f>
        <v/>
      </c>
      <c r="L22" s="64">
        <f>IF($A22="","",EOMONTH($A22,0))</f>
        <v/>
      </c>
      <c r="M22" s="57" t="n"/>
      <c r="N22" s="57" t="n"/>
    </row>
    <row r="23">
      <c r="A23" s="68" t="n"/>
      <c r="B23" s="69" t="n"/>
      <c r="C23" s="69" t="n"/>
      <c r="D23" s="70" t="n"/>
      <c r="E23" s="71" t="n"/>
      <c r="F23" s="65">
        <f>IF($A23="","",Inputs!$C$15)</f>
        <v/>
      </c>
      <c r="G23" s="50">
        <f>IF($A23="","",$D23*$F23)</f>
        <v/>
      </c>
      <c r="H23" s="66">
        <f>IF($A23="","",$D23*$E23)</f>
        <v/>
      </c>
      <c r="I23" s="69" t="n"/>
      <c r="J23" s="72" t="n"/>
      <c r="K23" s="66">
        <f>IF($A23="","",$G23*$J23)</f>
        <v/>
      </c>
      <c r="L23" s="67">
        <f>IF($A23="","",EOMONTH($A23,0))</f>
        <v/>
      </c>
      <c r="M23" s="69" t="n"/>
      <c r="N23" s="69" t="n"/>
    </row>
    <row r="24">
      <c r="A24" s="73" t="n"/>
      <c r="B24" s="57" t="n"/>
      <c r="C24" s="57" t="n"/>
      <c r="D24" s="58" t="n"/>
      <c r="E24" s="74" t="n"/>
      <c r="F24" s="60">
        <f>IF($A24="","",Inputs!$C$15)</f>
        <v/>
      </c>
      <c r="G24" s="50">
        <f>IF($A24="","",$D24*$F24)</f>
        <v/>
      </c>
      <c r="H24" s="61">
        <f>IF($A24="","",$D24*$E24)</f>
        <v/>
      </c>
      <c r="I24" s="57" t="n"/>
      <c r="J24" s="75" t="n"/>
      <c r="K24" s="61">
        <f>IF($A24="","",$G24*$J24)</f>
        <v/>
      </c>
      <c r="L24" s="64">
        <f>IF($A24="","",EOMONTH($A24,0))</f>
        <v/>
      </c>
      <c r="M24" s="57" t="n"/>
      <c r="N24" s="57" t="n"/>
    </row>
    <row r="25">
      <c r="A25" s="68" t="n"/>
      <c r="B25" s="69" t="n"/>
      <c r="C25" s="69" t="n"/>
      <c r="D25" s="70" t="n"/>
      <c r="E25" s="71" t="n"/>
      <c r="F25" s="65">
        <f>IF($A25="","",Inputs!$C$15)</f>
        <v/>
      </c>
      <c r="G25" s="50">
        <f>IF($A25="","",$D25*$F25)</f>
        <v/>
      </c>
      <c r="H25" s="66">
        <f>IF($A25="","",$D25*$E25)</f>
        <v/>
      </c>
      <c r="I25" s="69" t="n"/>
      <c r="J25" s="72" t="n"/>
      <c r="K25" s="66">
        <f>IF($A25="","",$G25*$J25)</f>
        <v/>
      </c>
      <c r="L25" s="67">
        <f>IF($A25="","",EOMONTH($A25,0))</f>
        <v/>
      </c>
      <c r="M25" s="69" t="n"/>
      <c r="N25" s="69" t="n"/>
    </row>
    <row r="26">
      <c r="A26" s="73" t="n"/>
      <c r="B26" s="57" t="n"/>
      <c r="C26" s="57" t="n"/>
      <c r="D26" s="58" t="n"/>
      <c r="E26" s="74" t="n"/>
      <c r="F26" s="60">
        <f>IF($A26="","",Inputs!$C$15)</f>
        <v/>
      </c>
      <c r="G26" s="50">
        <f>IF($A26="","",$D26*$F26)</f>
        <v/>
      </c>
      <c r="H26" s="61">
        <f>IF($A26="","",$D26*$E26)</f>
        <v/>
      </c>
      <c r="I26" s="57" t="n"/>
      <c r="J26" s="75" t="n"/>
      <c r="K26" s="61">
        <f>IF($A26="","",$G26*$J26)</f>
        <v/>
      </c>
      <c r="L26" s="64">
        <f>IF($A26="","",EOMONTH($A26,0))</f>
        <v/>
      </c>
      <c r="M26" s="57" t="n"/>
      <c r="N26" s="57" t="n"/>
    </row>
    <row r="27">
      <c r="A27" s="68" t="n"/>
      <c r="B27" s="69" t="n"/>
      <c r="C27" s="69" t="n"/>
      <c r="D27" s="70" t="n"/>
      <c r="E27" s="71" t="n"/>
      <c r="F27" s="65">
        <f>IF($A27="","",Inputs!$C$15)</f>
        <v/>
      </c>
      <c r="G27" s="50">
        <f>IF($A27="","",$D27*$F27)</f>
        <v/>
      </c>
      <c r="H27" s="66">
        <f>IF($A27="","",$D27*$E27)</f>
        <v/>
      </c>
      <c r="I27" s="69" t="n"/>
      <c r="J27" s="72" t="n"/>
      <c r="K27" s="66">
        <f>IF($A27="","",$G27*$J27)</f>
        <v/>
      </c>
      <c r="L27" s="67">
        <f>IF($A27="","",EOMONTH($A27,0))</f>
        <v/>
      </c>
      <c r="M27" s="69" t="n"/>
      <c r="N27" s="69" t="n"/>
    </row>
    <row r="28">
      <c r="A28" s="73" t="n"/>
      <c r="B28" s="57" t="n"/>
      <c r="C28" s="57" t="n"/>
      <c r="D28" s="58" t="n"/>
      <c r="E28" s="74" t="n"/>
      <c r="F28" s="60">
        <f>IF($A28="","",Inputs!$C$15)</f>
        <v/>
      </c>
      <c r="G28" s="50">
        <f>IF($A28="","",$D28*$F28)</f>
        <v/>
      </c>
      <c r="H28" s="61">
        <f>IF($A28="","",$D28*$E28)</f>
        <v/>
      </c>
      <c r="I28" s="57" t="n"/>
      <c r="J28" s="75" t="n"/>
      <c r="K28" s="61">
        <f>IF($A28="","",$G28*$J28)</f>
        <v/>
      </c>
      <c r="L28" s="64">
        <f>IF($A28="","",EOMONTH($A28,0))</f>
        <v/>
      </c>
      <c r="M28" s="57" t="n"/>
      <c r="N28" s="57" t="n"/>
    </row>
    <row r="29">
      <c r="A29" s="68" t="n"/>
      <c r="B29" s="69" t="n"/>
      <c r="C29" s="69" t="n"/>
      <c r="D29" s="70" t="n"/>
      <c r="E29" s="71" t="n"/>
      <c r="F29" s="65">
        <f>IF($A29="","",Inputs!$C$15)</f>
        <v/>
      </c>
      <c r="G29" s="50">
        <f>IF($A29="","",$D29*$F29)</f>
        <v/>
      </c>
      <c r="H29" s="66">
        <f>IF($A29="","",$D29*$E29)</f>
        <v/>
      </c>
      <c r="I29" s="69" t="n"/>
      <c r="J29" s="72" t="n"/>
      <c r="K29" s="66">
        <f>IF($A29="","",$G29*$J29)</f>
        <v/>
      </c>
      <c r="L29" s="67">
        <f>IF($A29="","",EOMONTH($A29,0))</f>
        <v/>
      </c>
      <c r="M29" s="69" t="n"/>
      <c r="N29" s="69" t="n"/>
    </row>
    <row r="30">
      <c r="A30" s="73" t="n"/>
      <c r="B30" s="57" t="n"/>
      <c r="C30" s="57" t="n"/>
      <c r="D30" s="58" t="n"/>
      <c r="E30" s="74" t="n"/>
      <c r="F30" s="60">
        <f>IF($A30="","",Inputs!$C$15)</f>
        <v/>
      </c>
      <c r="G30" s="50">
        <f>IF($A30="","",$D30*$F30)</f>
        <v/>
      </c>
      <c r="H30" s="61">
        <f>IF($A30="","",$D30*$E30)</f>
        <v/>
      </c>
      <c r="I30" s="57" t="n"/>
      <c r="J30" s="75" t="n"/>
      <c r="K30" s="61">
        <f>IF($A30="","",$G30*$J30)</f>
        <v/>
      </c>
      <c r="L30" s="64">
        <f>IF($A30="","",EOMONTH($A30,0))</f>
        <v/>
      </c>
      <c r="M30" s="57" t="n"/>
      <c r="N30" s="57" t="n"/>
    </row>
    <row r="31">
      <c r="A31" s="68" t="n"/>
      <c r="B31" s="69" t="n"/>
      <c r="C31" s="69" t="n"/>
      <c r="D31" s="70" t="n"/>
      <c r="E31" s="71" t="n"/>
      <c r="F31" s="65">
        <f>IF($A31="","",Inputs!$C$15)</f>
        <v/>
      </c>
      <c r="G31" s="50">
        <f>IF($A31="","",$D31*$F31)</f>
        <v/>
      </c>
      <c r="H31" s="66">
        <f>IF($A31="","",$D31*$E31)</f>
        <v/>
      </c>
      <c r="I31" s="69" t="n"/>
      <c r="J31" s="72" t="n"/>
      <c r="K31" s="66">
        <f>IF($A31="","",$G31*$J31)</f>
        <v/>
      </c>
      <c r="L31" s="67">
        <f>IF($A31="","",EOMONTH($A31,0))</f>
        <v/>
      </c>
      <c r="M31" s="69" t="n"/>
      <c r="N31" s="69" t="n"/>
    </row>
    <row r="32">
      <c r="A32" s="73" t="n"/>
      <c r="B32" s="57" t="n"/>
      <c r="C32" s="57" t="n"/>
      <c r="D32" s="58" t="n"/>
      <c r="E32" s="74" t="n"/>
      <c r="F32" s="60">
        <f>IF($A32="","",Inputs!$C$15)</f>
        <v/>
      </c>
      <c r="G32" s="50">
        <f>IF($A32="","",$D32*$F32)</f>
        <v/>
      </c>
      <c r="H32" s="61">
        <f>IF($A32="","",$D32*$E32)</f>
        <v/>
      </c>
      <c r="I32" s="57" t="n"/>
      <c r="J32" s="75" t="n"/>
      <c r="K32" s="61">
        <f>IF($A32="","",$G32*$J32)</f>
        <v/>
      </c>
      <c r="L32" s="64">
        <f>IF($A32="","",EOMONTH($A32,0))</f>
        <v/>
      </c>
      <c r="M32" s="57" t="n"/>
      <c r="N32" s="57" t="n"/>
    </row>
    <row r="33">
      <c r="A33" s="68" t="n"/>
      <c r="B33" s="69" t="n"/>
      <c r="C33" s="69" t="n"/>
      <c r="D33" s="70" t="n"/>
      <c r="E33" s="71" t="n"/>
      <c r="F33" s="65">
        <f>IF($A33="","",Inputs!$C$15)</f>
        <v/>
      </c>
      <c r="G33" s="50">
        <f>IF($A33="","",$D33*$F33)</f>
        <v/>
      </c>
      <c r="H33" s="66">
        <f>IF($A33="","",$D33*$E33)</f>
        <v/>
      </c>
      <c r="I33" s="69" t="n"/>
      <c r="J33" s="72" t="n"/>
      <c r="K33" s="66">
        <f>IF($A33="","",$G33*$J33)</f>
        <v/>
      </c>
      <c r="L33" s="67">
        <f>IF($A33="","",EOMONTH($A33,0))</f>
        <v/>
      </c>
      <c r="M33" s="69" t="n"/>
      <c r="N33" s="69" t="n"/>
    </row>
    <row r="34">
      <c r="A34" s="73" t="n"/>
      <c r="B34" s="57" t="n"/>
      <c r="C34" s="57" t="n"/>
      <c r="D34" s="58" t="n"/>
      <c r="E34" s="74" t="n"/>
      <c r="F34" s="60">
        <f>IF($A34="","",Inputs!$C$15)</f>
        <v/>
      </c>
      <c r="G34" s="50">
        <f>IF($A34="","",$D34*$F34)</f>
        <v/>
      </c>
      <c r="H34" s="61">
        <f>IF($A34="","",$D34*$E34)</f>
        <v/>
      </c>
      <c r="I34" s="57" t="n"/>
      <c r="J34" s="75" t="n"/>
      <c r="K34" s="61">
        <f>IF($A34="","",$G34*$J34)</f>
        <v/>
      </c>
      <c r="L34" s="64">
        <f>IF($A34="","",EOMONTH($A34,0))</f>
        <v/>
      </c>
      <c r="M34" s="57" t="n"/>
      <c r="N34" s="57" t="n"/>
    </row>
    <row r="35">
      <c r="A35" s="68" t="n"/>
      <c r="B35" s="69" t="n"/>
      <c r="C35" s="69" t="n"/>
      <c r="D35" s="70" t="n"/>
      <c r="E35" s="71" t="n"/>
      <c r="F35" s="65">
        <f>IF($A35="","",Inputs!$C$15)</f>
        <v/>
      </c>
      <c r="G35" s="50">
        <f>IF($A35="","",$D35*$F35)</f>
        <v/>
      </c>
      <c r="H35" s="66">
        <f>IF($A35="","",$D35*$E35)</f>
        <v/>
      </c>
      <c r="I35" s="69" t="n"/>
      <c r="J35" s="72" t="n"/>
      <c r="K35" s="66">
        <f>IF($A35="","",$G35*$J35)</f>
        <v/>
      </c>
      <c r="L35" s="67">
        <f>IF($A35="","",EOMONTH($A35,0))</f>
        <v/>
      </c>
      <c r="M35" s="69" t="n"/>
      <c r="N35" s="69" t="n"/>
    </row>
    <row r="36">
      <c r="A36" s="73" t="n"/>
      <c r="B36" s="57" t="n"/>
      <c r="C36" s="57" t="n"/>
      <c r="D36" s="58" t="n"/>
      <c r="E36" s="74" t="n"/>
      <c r="F36" s="60">
        <f>IF($A36="","",Inputs!$C$15)</f>
        <v/>
      </c>
      <c r="G36" s="50">
        <f>IF($A36="","",$D36*$F36)</f>
        <v/>
      </c>
      <c r="H36" s="61">
        <f>IF($A36="","",$D36*$E36)</f>
        <v/>
      </c>
      <c r="I36" s="57" t="n"/>
      <c r="J36" s="75" t="n"/>
      <c r="K36" s="61">
        <f>IF($A36="","",$G36*$J36)</f>
        <v/>
      </c>
      <c r="L36" s="64">
        <f>IF($A36="","",EOMONTH($A36,0))</f>
        <v/>
      </c>
      <c r="M36" s="57" t="n"/>
      <c r="N36" s="57" t="n"/>
    </row>
    <row r="37">
      <c r="A37" s="68" t="n"/>
      <c r="B37" s="69" t="n"/>
      <c r="C37" s="69" t="n"/>
      <c r="D37" s="70" t="n"/>
      <c r="E37" s="71" t="n"/>
      <c r="F37" s="65">
        <f>IF($A37="","",Inputs!$C$15)</f>
        <v/>
      </c>
      <c r="G37" s="50">
        <f>IF($A37="","",$D37*$F37)</f>
        <v/>
      </c>
      <c r="H37" s="66">
        <f>IF($A37="","",$D37*$E37)</f>
        <v/>
      </c>
      <c r="I37" s="69" t="n"/>
      <c r="J37" s="72" t="n"/>
      <c r="K37" s="66">
        <f>IF($A37="","",$G37*$J37)</f>
        <v/>
      </c>
      <c r="L37" s="67">
        <f>IF($A37="","",EOMONTH($A37,0))</f>
        <v/>
      </c>
      <c r="M37" s="69" t="n"/>
      <c r="N37" s="69" t="n"/>
    </row>
    <row r="38">
      <c r="A38" s="73" t="n"/>
      <c r="B38" s="57" t="n"/>
      <c r="C38" s="57" t="n"/>
      <c r="D38" s="58" t="n"/>
      <c r="E38" s="74" t="n"/>
      <c r="F38" s="60">
        <f>IF($A38="","",Inputs!$C$15)</f>
        <v/>
      </c>
      <c r="G38" s="50">
        <f>IF($A38="","",$D38*$F38)</f>
        <v/>
      </c>
      <c r="H38" s="61">
        <f>IF($A38="","",$D38*$E38)</f>
        <v/>
      </c>
      <c r="I38" s="57" t="n"/>
      <c r="J38" s="75" t="n"/>
      <c r="K38" s="61">
        <f>IF($A38="","",$G38*$J38)</f>
        <v/>
      </c>
      <c r="L38" s="64">
        <f>IF($A38="","",EOMONTH($A38,0))</f>
        <v/>
      </c>
      <c r="M38" s="57" t="n"/>
      <c r="N38" s="57" t="n"/>
    </row>
    <row r="39">
      <c r="A39" s="68" t="n"/>
      <c r="B39" s="69" t="n"/>
      <c r="C39" s="69" t="n"/>
      <c r="D39" s="70" t="n"/>
      <c r="E39" s="71" t="n"/>
      <c r="F39" s="65">
        <f>IF($A39="","",Inputs!$C$15)</f>
        <v/>
      </c>
      <c r="G39" s="50">
        <f>IF($A39="","",$D39*$F39)</f>
        <v/>
      </c>
      <c r="H39" s="66">
        <f>IF($A39="","",$D39*$E39)</f>
        <v/>
      </c>
      <c r="I39" s="69" t="n"/>
      <c r="J39" s="72" t="n"/>
      <c r="K39" s="66">
        <f>IF($A39="","",$G39*$J39)</f>
        <v/>
      </c>
      <c r="L39" s="67">
        <f>IF($A39="","",EOMONTH($A39,0))</f>
        <v/>
      </c>
      <c r="M39" s="69" t="n"/>
      <c r="N39" s="69" t="n"/>
    </row>
    <row r="40">
      <c r="A40" s="73" t="n"/>
      <c r="B40" s="57" t="n"/>
      <c r="C40" s="57" t="n"/>
      <c r="D40" s="58" t="n"/>
      <c r="E40" s="74" t="n"/>
      <c r="F40" s="60">
        <f>IF($A40="","",Inputs!$C$15)</f>
        <v/>
      </c>
      <c r="G40" s="50">
        <f>IF($A40="","",$D40*$F40)</f>
        <v/>
      </c>
      <c r="H40" s="61">
        <f>IF($A40="","",$D40*$E40)</f>
        <v/>
      </c>
      <c r="I40" s="57" t="n"/>
      <c r="J40" s="75" t="n"/>
      <c r="K40" s="61">
        <f>IF($A40="","",$G40*$J40)</f>
        <v/>
      </c>
      <c r="L40" s="64">
        <f>IF($A40="","",EOMONTH($A40,0))</f>
        <v/>
      </c>
      <c r="M40" s="57" t="n"/>
      <c r="N40" s="57" t="n"/>
    </row>
    <row r="41">
      <c r="A41" s="68" t="n"/>
      <c r="B41" s="69" t="n"/>
      <c r="C41" s="69" t="n"/>
      <c r="D41" s="70" t="n"/>
      <c r="E41" s="71" t="n"/>
      <c r="F41" s="65">
        <f>IF($A41="","",Inputs!$C$15)</f>
        <v/>
      </c>
      <c r="G41" s="50">
        <f>IF($A41="","",$D41*$F41)</f>
        <v/>
      </c>
      <c r="H41" s="66">
        <f>IF($A41="","",$D41*$E41)</f>
        <v/>
      </c>
      <c r="I41" s="69" t="n"/>
      <c r="J41" s="72" t="n"/>
      <c r="K41" s="66">
        <f>IF($A41="","",$G41*$J41)</f>
        <v/>
      </c>
      <c r="L41" s="67">
        <f>IF($A41="","",EOMONTH($A41,0))</f>
        <v/>
      </c>
      <c r="M41" s="69" t="n"/>
      <c r="N41" s="69" t="n"/>
    </row>
    <row r="42">
      <c r="A42" s="73" t="n"/>
      <c r="B42" s="57" t="n"/>
      <c r="C42" s="57" t="n"/>
      <c r="D42" s="58" t="n"/>
      <c r="E42" s="74" t="n"/>
      <c r="F42" s="60">
        <f>IF($A42="","",Inputs!$C$15)</f>
        <v/>
      </c>
      <c r="G42" s="50">
        <f>IF($A42="","",$D42*$F42)</f>
        <v/>
      </c>
      <c r="H42" s="61">
        <f>IF($A42="","",$D42*$E42)</f>
        <v/>
      </c>
      <c r="I42" s="57" t="n"/>
      <c r="J42" s="75" t="n"/>
      <c r="K42" s="61">
        <f>IF($A42="","",$G42*$J42)</f>
        <v/>
      </c>
      <c r="L42" s="64">
        <f>IF($A42="","",EOMONTH($A42,0))</f>
        <v/>
      </c>
      <c r="M42" s="57" t="n"/>
      <c r="N42" s="57" t="n"/>
    </row>
    <row r="43">
      <c r="A43" s="68" t="n"/>
      <c r="B43" s="69" t="n"/>
      <c r="C43" s="69" t="n"/>
      <c r="D43" s="70" t="n"/>
      <c r="E43" s="71" t="n"/>
      <c r="F43" s="65">
        <f>IF($A43="","",Inputs!$C$15)</f>
        <v/>
      </c>
      <c r="G43" s="50">
        <f>IF($A43="","",$D43*$F43)</f>
        <v/>
      </c>
      <c r="H43" s="66">
        <f>IF($A43="","",$D43*$E43)</f>
        <v/>
      </c>
      <c r="I43" s="69" t="n"/>
      <c r="J43" s="72" t="n"/>
      <c r="K43" s="66">
        <f>IF($A43="","",$G43*$J43)</f>
        <v/>
      </c>
      <c r="L43" s="67">
        <f>IF($A43="","",EOMONTH($A43,0))</f>
        <v/>
      </c>
      <c r="M43" s="69" t="n"/>
      <c r="N43" s="69" t="n"/>
    </row>
    <row r="44">
      <c r="A44" s="73" t="n"/>
      <c r="B44" s="57" t="n"/>
      <c r="C44" s="57" t="n"/>
      <c r="D44" s="58" t="n"/>
      <c r="E44" s="74" t="n"/>
      <c r="F44" s="60">
        <f>IF($A44="","",Inputs!$C$15)</f>
        <v/>
      </c>
      <c r="G44" s="50">
        <f>IF($A44="","",$D44*$F44)</f>
        <v/>
      </c>
      <c r="H44" s="61">
        <f>IF($A44="","",$D44*$E44)</f>
        <v/>
      </c>
      <c r="I44" s="57" t="n"/>
      <c r="J44" s="75" t="n"/>
      <c r="K44" s="61">
        <f>IF($A44="","",$G44*$J44)</f>
        <v/>
      </c>
      <c r="L44" s="64">
        <f>IF($A44="","",EOMONTH($A44,0))</f>
        <v/>
      </c>
      <c r="M44" s="57" t="n"/>
      <c r="N44" s="57" t="n"/>
    </row>
    <row r="45">
      <c r="A45" s="68" t="n"/>
      <c r="B45" s="69" t="n"/>
      <c r="C45" s="69" t="n"/>
      <c r="D45" s="70" t="n"/>
      <c r="E45" s="71" t="n"/>
      <c r="F45" s="65">
        <f>IF($A45="","",Inputs!$C$15)</f>
        <v/>
      </c>
      <c r="G45" s="50">
        <f>IF($A45="","",$D45*$F45)</f>
        <v/>
      </c>
      <c r="H45" s="66">
        <f>IF($A45="","",$D45*$E45)</f>
        <v/>
      </c>
      <c r="I45" s="69" t="n"/>
      <c r="J45" s="72" t="n"/>
      <c r="K45" s="66">
        <f>IF($A45="","",$G45*$J45)</f>
        <v/>
      </c>
      <c r="L45" s="67">
        <f>IF($A45="","",EOMONTH($A45,0))</f>
        <v/>
      </c>
      <c r="M45" s="69" t="n"/>
      <c r="N45" s="69" t="n"/>
    </row>
    <row r="46">
      <c r="A46" s="73" t="n"/>
      <c r="B46" s="57" t="n"/>
      <c r="C46" s="57" t="n"/>
      <c r="D46" s="58" t="n"/>
      <c r="E46" s="74" t="n"/>
      <c r="F46" s="60">
        <f>IF($A46="","",Inputs!$C$15)</f>
        <v/>
      </c>
      <c r="G46" s="50">
        <f>IF($A46="","",$D46*$F46)</f>
        <v/>
      </c>
      <c r="H46" s="61">
        <f>IF($A46="","",$D46*$E46)</f>
        <v/>
      </c>
      <c r="I46" s="57" t="n"/>
      <c r="J46" s="75" t="n"/>
      <c r="K46" s="61">
        <f>IF($A46="","",$G46*$J46)</f>
        <v/>
      </c>
      <c r="L46" s="64">
        <f>IF($A46="","",EOMONTH($A46,0))</f>
        <v/>
      </c>
      <c r="M46" s="57" t="n"/>
      <c r="N46" s="57" t="n"/>
    </row>
    <row r="47">
      <c r="A47" s="68" t="n"/>
      <c r="B47" s="69" t="n"/>
      <c r="C47" s="69" t="n"/>
      <c r="D47" s="70" t="n"/>
      <c r="E47" s="71" t="n"/>
      <c r="F47" s="65">
        <f>IF($A47="","",Inputs!$C$15)</f>
        <v/>
      </c>
      <c r="G47" s="50">
        <f>IF($A47="","",$D47*$F47)</f>
        <v/>
      </c>
      <c r="H47" s="66">
        <f>IF($A47="","",$D47*$E47)</f>
        <v/>
      </c>
      <c r="I47" s="69" t="n"/>
      <c r="J47" s="72" t="n"/>
      <c r="K47" s="66">
        <f>IF($A47="","",$G47*$J47)</f>
        <v/>
      </c>
      <c r="L47" s="67">
        <f>IF($A47="","",EOMONTH($A47,0))</f>
        <v/>
      </c>
      <c r="M47" s="69" t="n"/>
      <c r="N47" s="69" t="n"/>
    </row>
    <row r="48">
      <c r="A48" s="73" t="n"/>
      <c r="B48" s="57" t="n"/>
      <c r="C48" s="57" t="n"/>
      <c r="D48" s="58" t="n"/>
      <c r="E48" s="74" t="n"/>
      <c r="F48" s="60">
        <f>IF($A48="","",Inputs!$C$15)</f>
        <v/>
      </c>
      <c r="G48" s="50">
        <f>IF($A48="","",$D48*$F48)</f>
        <v/>
      </c>
      <c r="H48" s="61">
        <f>IF($A48="","",$D48*$E48)</f>
        <v/>
      </c>
      <c r="I48" s="57" t="n"/>
      <c r="J48" s="75" t="n"/>
      <c r="K48" s="61">
        <f>IF($A48="","",$G48*$J48)</f>
        <v/>
      </c>
      <c r="L48" s="64">
        <f>IF($A48="","",EOMONTH($A48,0))</f>
        <v/>
      </c>
      <c r="M48" s="57" t="n"/>
      <c r="N48" s="57" t="n"/>
    </row>
    <row r="49">
      <c r="A49" s="68" t="n"/>
      <c r="B49" s="69" t="n"/>
      <c r="C49" s="69" t="n"/>
      <c r="D49" s="70" t="n"/>
      <c r="E49" s="71" t="n"/>
      <c r="F49" s="65">
        <f>IF($A49="","",Inputs!$C$15)</f>
        <v/>
      </c>
      <c r="G49" s="50">
        <f>IF($A49="","",$D49*$F49)</f>
        <v/>
      </c>
      <c r="H49" s="66">
        <f>IF($A49="","",$D49*$E49)</f>
        <v/>
      </c>
      <c r="I49" s="69" t="n"/>
      <c r="J49" s="72" t="n"/>
      <c r="K49" s="66">
        <f>IF($A49="","",$G49*$J49)</f>
        <v/>
      </c>
      <c r="L49" s="67">
        <f>IF($A49="","",EOMONTH($A49,0))</f>
        <v/>
      </c>
      <c r="M49" s="69" t="n"/>
      <c r="N49" s="69" t="n"/>
    </row>
    <row r="50">
      <c r="A50" s="73" t="n"/>
      <c r="B50" s="57" t="n"/>
      <c r="C50" s="57" t="n"/>
      <c r="D50" s="58" t="n"/>
      <c r="E50" s="74" t="n"/>
      <c r="F50" s="60">
        <f>IF($A50="","",Inputs!$C$15)</f>
        <v/>
      </c>
      <c r="G50" s="50">
        <f>IF($A50="","",$D50*$F50)</f>
        <v/>
      </c>
      <c r="H50" s="61">
        <f>IF($A50="","",$D50*$E50)</f>
        <v/>
      </c>
      <c r="I50" s="57" t="n"/>
      <c r="J50" s="75" t="n"/>
      <c r="K50" s="61">
        <f>IF($A50="","",$G50*$J50)</f>
        <v/>
      </c>
      <c r="L50" s="64">
        <f>IF($A50="","",EOMONTH($A50,0))</f>
        <v/>
      </c>
      <c r="M50" s="57" t="n"/>
      <c r="N50" s="57" t="n"/>
    </row>
    <row r="51">
      <c r="A51" s="68" t="n"/>
      <c r="B51" s="69" t="n"/>
      <c r="C51" s="69" t="n"/>
      <c r="D51" s="70" t="n"/>
      <c r="E51" s="71" t="n"/>
      <c r="F51" s="65">
        <f>IF($A51="","",Inputs!$C$15)</f>
        <v/>
      </c>
      <c r="G51" s="50">
        <f>IF($A51="","",$D51*$F51)</f>
        <v/>
      </c>
      <c r="H51" s="66">
        <f>IF($A51="","",$D51*$E51)</f>
        <v/>
      </c>
      <c r="I51" s="69" t="n"/>
      <c r="J51" s="72" t="n"/>
      <c r="K51" s="66">
        <f>IF($A51="","",$G51*$J51)</f>
        <v/>
      </c>
      <c r="L51" s="67">
        <f>IF($A51="","",EOMONTH($A51,0))</f>
        <v/>
      </c>
      <c r="M51" s="69" t="n"/>
      <c r="N51" s="69" t="n"/>
    </row>
    <row r="52">
      <c r="A52" s="73" t="n"/>
      <c r="B52" s="57" t="n"/>
      <c r="C52" s="57" t="n"/>
      <c r="D52" s="58" t="n"/>
      <c r="E52" s="74" t="n"/>
      <c r="F52" s="60">
        <f>IF($A52="","",Inputs!$C$15)</f>
        <v/>
      </c>
      <c r="G52" s="50">
        <f>IF($A52="","",$D52*$F52)</f>
        <v/>
      </c>
      <c r="H52" s="61">
        <f>IF($A52="","",$D52*$E52)</f>
        <v/>
      </c>
      <c r="I52" s="57" t="n"/>
      <c r="J52" s="75" t="n"/>
      <c r="K52" s="61">
        <f>IF($A52="","",$G52*$J52)</f>
        <v/>
      </c>
      <c r="L52" s="64">
        <f>IF($A52="","",EOMONTH($A52,0))</f>
        <v/>
      </c>
      <c r="M52" s="57" t="n"/>
      <c r="N52" s="57" t="n"/>
    </row>
    <row r="53">
      <c r="A53" s="68" t="n"/>
      <c r="B53" s="69" t="n"/>
      <c r="C53" s="69" t="n"/>
      <c r="D53" s="70" t="n"/>
      <c r="E53" s="71" t="n"/>
      <c r="F53" s="65">
        <f>IF($A53="","",Inputs!$C$15)</f>
        <v/>
      </c>
      <c r="G53" s="50">
        <f>IF($A53="","",$D53*$F53)</f>
        <v/>
      </c>
      <c r="H53" s="66">
        <f>IF($A53="","",$D53*$E53)</f>
        <v/>
      </c>
      <c r="I53" s="69" t="n"/>
      <c r="J53" s="72" t="n"/>
      <c r="K53" s="66">
        <f>IF($A53="","",$G53*$J53)</f>
        <v/>
      </c>
      <c r="L53" s="67">
        <f>IF($A53="","",EOMONTH($A53,0))</f>
        <v/>
      </c>
      <c r="M53" s="69" t="n"/>
      <c r="N53" s="69" t="n"/>
    </row>
    <row r="54">
      <c r="A54" s="73" t="n"/>
      <c r="B54" s="57" t="n"/>
      <c r="C54" s="57" t="n"/>
      <c r="D54" s="58" t="n"/>
      <c r="E54" s="74" t="n"/>
      <c r="F54" s="60">
        <f>IF($A54="","",Inputs!$C$15)</f>
        <v/>
      </c>
      <c r="G54" s="50">
        <f>IF($A54="","",$D54*$F54)</f>
        <v/>
      </c>
      <c r="H54" s="61">
        <f>IF($A54="","",$D54*$E54)</f>
        <v/>
      </c>
      <c r="I54" s="57" t="n"/>
      <c r="J54" s="75" t="n"/>
      <c r="K54" s="61">
        <f>IF($A54="","",$G54*$J54)</f>
        <v/>
      </c>
      <c r="L54" s="64">
        <f>IF($A54="","",EOMONTH($A54,0))</f>
        <v/>
      </c>
      <c r="M54" s="57" t="n"/>
      <c r="N54" s="57" t="n"/>
    </row>
    <row r="55">
      <c r="A55" s="68" t="n"/>
      <c r="B55" s="69" t="n"/>
      <c r="C55" s="69" t="n"/>
      <c r="D55" s="70" t="n"/>
      <c r="E55" s="71" t="n"/>
      <c r="F55" s="65">
        <f>IF($A55="","",Inputs!$C$15)</f>
        <v/>
      </c>
      <c r="G55" s="50">
        <f>IF($A55="","",$D55*$F55)</f>
        <v/>
      </c>
      <c r="H55" s="66">
        <f>IF($A55="","",$D55*$E55)</f>
        <v/>
      </c>
      <c r="I55" s="69" t="n"/>
      <c r="J55" s="72" t="n"/>
      <c r="K55" s="66">
        <f>IF($A55="","",$G55*$J55)</f>
        <v/>
      </c>
      <c r="L55" s="67">
        <f>IF($A55="","",EOMONTH($A55,0))</f>
        <v/>
      </c>
      <c r="M55" s="69" t="n"/>
      <c r="N55" s="69" t="n"/>
    </row>
    <row r="56">
      <c r="A56" s="73" t="n"/>
      <c r="B56" s="57" t="n"/>
      <c r="C56" s="57" t="n"/>
      <c r="D56" s="58" t="n"/>
      <c r="E56" s="74" t="n"/>
      <c r="F56" s="60">
        <f>IF($A56="","",Inputs!$C$15)</f>
        <v/>
      </c>
      <c r="G56" s="50">
        <f>IF($A56="","",$D56*$F56)</f>
        <v/>
      </c>
      <c r="H56" s="61">
        <f>IF($A56="","",$D56*$E56)</f>
        <v/>
      </c>
      <c r="I56" s="57" t="n"/>
      <c r="J56" s="75" t="n"/>
      <c r="K56" s="61">
        <f>IF($A56="","",$G56*$J56)</f>
        <v/>
      </c>
      <c r="L56" s="64">
        <f>IF($A56="","",EOMONTH($A56,0))</f>
        <v/>
      </c>
      <c r="M56" s="57" t="n"/>
      <c r="N56" s="57" t="n"/>
    </row>
    <row r="57">
      <c r="A57" s="68" t="n"/>
      <c r="B57" s="69" t="n"/>
      <c r="C57" s="69" t="n"/>
      <c r="D57" s="70" t="n"/>
      <c r="E57" s="71" t="n"/>
      <c r="F57" s="65">
        <f>IF($A57="","",Inputs!$C$15)</f>
        <v/>
      </c>
      <c r="G57" s="50">
        <f>IF($A57="","",$D57*$F57)</f>
        <v/>
      </c>
      <c r="H57" s="66">
        <f>IF($A57="","",$D57*$E57)</f>
        <v/>
      </c>
      <c r="I57" s="69" t="n"/>
      <c r="J57" s="72" t="n"/>
      <c r="K57" s="66">
        <f>IF($A57="","",$G57*$J57)</f>
        <v/>
      </c>
      <c r="L57" s="67">
        <f>IF($A57="","",EOMONTH($A57,0))</f>
        <v/>
      </c>
      <c r="M57" s="69" t="n"/>
      <c r="N57" s="69" t="n"/>
    </row>
    <row r="58">
      <c r="A58" s="73" t="n"/>
      <c r="B58" s="57" t="n"/>
      <c r="C58" s="57" t="n"/>
      <c r="D58" s="58" t="n"/>
      <c r="E58" s="74" t="n"/>
      <c r="F58" s="60">
        <f>IF($A58="","",Inputs!$C$15)</f>
        <v/>
      </c>
      <c r="G58" s="50">
        <f>IF($A58="","",$D58*$F58)</f>
        <v/>
      </c>
      <c r="H58" s="61">
        <f>IF($A58="","",$D58*$E58)</f>
        <v/>
      </c>
      <c r="I58" s="57" t="n"/>
      <c r="J58" s="75" t="n"/>
      <c r="K58" s="61">
        <f>IF($A58="","",$G58*$J58)</f>
        <v/>
      </c>
      <c r="L58" s="64">
        <f>IF($A58="","",EOMONTH($A58,0))</f>
        <v/>
      </c>
      <c r="M58" s="57" t="n"/>
      <c r="N58" s="57" t="n"/>
    </row>
    <row r="59">
      <c r="A59" s="68" t="n"/>
      <c r="B59" s="69" t="n"/>
      <c r="C59" s="69" t="n"/>
      <c r="D59" s="70" t="n"/>
      <c r="E59" s="71" t="n"/>
      <c r="F59" s="65">
        <f>IF($A59="","",Inputs!$C$15)</f>
        <v/>
      </c>
      <c r="G59" s="50">
        <f>IF($A59="","",$D59*$F59)</f>
        <v/>
      </c>
      <c r="H59" s="66">
        <f>IF($A59="","",$D59*$E59)</f>
        <v/>
      </c>
      <c r="I59" s="69" t="n"/>
      <c r="J59" s="72" t="n"/>
      <c r="K59" s="66">
        <f>IF($A59="","",$G59*$J59)</f>
        <v/>
      </c>
      <c r="L59" s="67">
        <f>IF($A59="","",EOMONTH($A59,0))</f>
        <v/>
      </c>
      <c r="M59" s="69" t="n"/>
      <c r="N59" s="69" t="n"/>
    </row>
    <row r="60">
      <c r="A60" s="73" t="n"/>
      <c r="B60" s="57" t="n"/>
      <c r="C60" s="57" t="n"/>
      <c r="D60" s="58" t="n"/>
      <c r="E60" s="74" t="n"/>
      <c r="F60" s="60">
        <f>IF($A60="","",Inputs!$C$15)</f>
        <v/>
      </c>
      <c r="G60" s="50">
        <f>IF($A60="","",$D60*$F60)</f>
        <v/>
      </c>
      <c r="H60" s="61">
        <f>IF($A60="","",$D60*$E60)</f>
        <v/>
      </c>
      <c r="I60" s="57" t="n"/>
      <c r="J60" s="75" t="n"/>
      <c r="K60" s="61">
        <f>IF($A60="","",$G60*$J60)</f>
        <v/>
      </c>
      <c r="L60" s="64">
        <f>IF($A60="","",EOMONTH($A60,0))</f>
        <v/>
      </c>
      <c r="M60" s="57" t="n"/>
      <c r="N60" s="57" t="n"/>
    </row>
    <row r="61">
      <c r="A61" s="68" t="n"/>
      <c r="B61" s="69" t="n"/>
      <c r="C61" s="69" t="n"/>
      <c r="D61" s="70" t="n"/>
      <c r="E61" s="71" t="n"/>
      <c r="F61" s="65">
        <f>IF($A61="","",Inputs!$C$15)</f>
        <v/>
      </c>
      <c r="G61" s="50">
        <f>IF($A61="","",$D61*$F61)</f>
        <v/>
      </c>
      <c r="H61" s="66">
        <f>IF($A61="","",$D61*$E61)</f>
        <v/>
      </c>
      <c r="I61" s="69" t="n"/>
      <c r="J61" s="72" t="n"/>
      <c r="K61" s="66">
        <f>IF($A61="","",$G61*$J61)</f>
        <v/>
      </c>
      <c r="L61" s="67">
        <f>IF($A61="","",EOMONTH($A61,0))</f>
        <v/>
      </c>
      <c r="M61" s="69" t="n"/>
      <c r="N61" s="69" t="n"/>
    </row>
    <row r="62">
      <c r="A62" s="73" t="n"/>
      <c r="B62" s="57" t="n"/>
      <c r="C62" s="57" t="n"/>
      <c r="D62" s="58" t="n"/>
      <c r="E62" s="74" t="n"/>
      <c r="F62" s="60">
        <f>IF($A62="","",Inputs!$C$15)</f>
        <v/>
      </c>
      <c r="G62" s="50">
        <f>IF($A62="","",$D62*$F62)</f>
        <v/>
      </c>
      <c r="H62" s="61">
        <f>IF($A62="","",$D62*$E62)</f>
        <v/>
      </c>
      <c r="I62" s="57" t="n"/>
      <c r="J62" s="75" t="n"/>
      <c r="K62" s="61">
        <f>IF($A62="","",$G62*$J62)</f>
        <v/>
      </c>
      <c r="L62" s="64">
        <f>IF($A62="","",EOMONTH($A62,0))</f>
        <v/>
      </c>
      <c r="M62" s="57" t="n"/>
      <c r="N62" s="57" t="n"/>
    </row>
    <row r="63">
      <c r="A63" s="68" t="n"/>
      <c r="B63" s="69" t="n"/>
      <c r="C63" s="69" t="n"/>
      <c r="D63" s="70" t="n"/>
      <c r="E63" s="71" t="n"/>
      <c r="F63" s="65">
        <f>IF($A63="","",Inputs!$C$15)</f>
        <v/>
      </c>
      <c r="G63" s="50">
        <f>IF($A63="","",$D63*$F63)</f>
        <v/>
      </c>
      <c r="H63" s="66">
        <f>IF($A63="","",$D63*$E63)</f>
        <v/>
      </c>
      <c r="I63" s="69" t="n"/>
      <c r="J63" s="72" t="n"/>
      <c r="K63" s="66">
        <f>IF($A63="","",$G63*$J63)</f>
        <v/>
      </c>
      <c r="L63" s="67">
        <f>IF($A63="","",EOMONTH($A63,0))</f>
        <v/>
      </c>
      <c r="M63" s="69" t="n"/>
      <c r="N63" s="69" t="n"/>
    </row>
    <row r="64">
      <c r="A64" s="73" t="n"/>
      <c r="B64" s="57" t="n"/>
      <c r="C64" s="57" t="n"/>
      <c r="D64" s="58" t="n"/>
      <c r="E64" s="74" t="n"/>
      <c r="F64" s="60">
        <f>IF($A64="","",Inputs!$C$15)</f>
        <v/>
      </c>
      <c r="G64" s="50">
        <f>IF($A64="","",$D64*$F64)</f>
        <v/>
      </c>
      <c r="H64" s="61">
        <f>IF($A64="","",$D64*$E64)</f>
        <v/>
      </c>
      <c r="I64" s="57" t="n"/>
      <c r="J64" s="75" t="n"/>
      <c r="K64" s="61">
        <f>IF($A64="","",$G64*$J64)</f>
        <v/>
      </c>
      <c r="L64" s="64">
        <f>IF($A64="","",EOMONTH($A64,0))</f>
        <v/>
      </c>
      <c r="M64" s="57" t="n"/>
      <c r="N64" s="57" t="n"/>
    </row>
    <row r="65">
      <c r="A65" s="68" t="n"/>
      <c r="B65" s="69" t="n"/>
      <c r="C65" s="69" t="n"/>
      <c r="D65" s="70" t="n"/>
      <c r="E65" s="71" t="n"/>
      <c r="F65" s="65">
        <f>IF($A65="","",Inputs!$C$15)</f>
        <v/>
      </c>
      <c r="G65" s="50">
        <f>IF($A65="","",$D65*$F65)</f>
        <v/>
      </c>
      <c r="H65" s="66">
        <f>IF($A65="","",$D65*$E65)</f>
        <v/>
      </c>
      <c r="I65" s="69" t="n"/>
      <c r="J65" s="72" t="n"/>
      <c r="K65" s="66">
        <f>IF($A65="","",$G65*$J65)</f>
        <v/>
      </c>
      <c r="L65" s="67">
        <f>IF($A65="","",EOMONTH($A65,0))</f>
        <v/>
      </c>
      <c r="M65" s="69" t="n"/>
      <c r="N65" s="69" t="n"/>
    </row>
    <row r="66">
      <c r="A66" s="73" t="n"/>
      <c r="B66" s="57" t="n"/>
      <c r="C66" s="57" t="n"/>
      <c r="D66" s="58" t="n"/>
      <c r="E66" s="74" t="n"/>
      <c r="F66" s="60">
        <f>IF($A66="","",Inputs!$C$15)</f>
        <v/>
      </c>
      <c r="G66" s="50">
        <f>IF($A66="","",$D66*$F66)</f>
        <v/>
      </c>
      <c r="H66" s="61">
        <f>IF($A66="","",$D66*$E66)</f>
        <v/>
      </c>
      <c r="I66" s="57" t="n"/>
      <c r="J66" s="75" t="n"/>
      <c r="K66" s="61">
        <f>IF($A66="","",$G66*$J66)</f>
        <v/>
      </c>
      <c r="L66" s="64">
        <f>IF($A66="","",EOMONTH($A66,0))</f>
        <v/>
      </c>
      <c r="M66" s="57" t="n"/>
      <c r="N66" s="57" t="n"/>
    </row>
    <row r="67">
      <c r="A67" s="68" t="n"/>
      <c r="B67" s="69" t="n"/>
      <c r="C67" s="69" t="n"/>
      <c r="D67" s="70" t="n"/>
      <c r="E67" s="71" t="n"/>
      <c r="F67" s="65">
        <f>IF($A67="","",Inputs!$C$15)</f>
        <v/>
      </c>
      <c r="G67" s="50">
        <f>IF($A67="","",$D67*$F67)</f>
        <v/>
      </c>
      <c r="H67" s="66">
        <f>IF($A67="","",$D67*$E67)</f>
        <v/>
      </c>
      <c r="I67" s="69" t="n"/>
      <c r="J67" s="72" t="n"/>
      <c r="K67" s="66">
        <f>IF($A67="","",$G67*$J67)</f>
        <v/>
      </c>
      <c r="L67" s="67">
        <f>IF($A67="","",EOMONTH($A67,0))</f>
        <v/>
      </c>
      <c r="M67" s="69" t="n"/>
      <c r="N67" s="69" t="n"/>
    </row>
    <row r="68">
      <c r="A68" s="73" t="n"/>
      <c r="B68" s="57" t="n"/>
      <c r="C68" s="57" t="n"/>
      <c r="D68" s="58" t="n"/>
      <c r="E68" s="74" t="n"/>
      <c r="F68" s="60">
        <f>IF($A68="","",Inputs!$C$15)</f>
        <v/>
      </c>
      <c r="G68" s="50">
        <f>IF($A68="","",$D68*$F68)</f>
        <v/>
      </c>
      <c r="H68" s="61">
        <f>IF($A68="","",$D68*$E68)</f>
        <v/>
      </c>
      <c r="I68" s="57" t="n"/>
      <c r="J68" s="75" t="n"/>
      <c r="K68" s="61">
        <f>IF($A68="","",$G68*$J68)</f>
        <v/>
      </c>
      <c r="L68" s="64">
        <f>IF($A68="","",EOMONTH($A68,0))</f>
        <v/>
      </c>
      <c r="M68" s="57" t="n"/>
      <c r="N68" s="57" t="n"/>
    </row>
    <row r="69">
      <c r="A69" s="68" t="n"/>
      <c r="B69" s="69" t="n"/>
      <c r="C69" s="69" t="n"/>
      <c r="D69" s="70" t="n"/>
      <c r="E69" s="71" t="n"/>
      <c r="F69" s="65">
        <f>IF($A69="","",Inputs!$C$15)</f>
        <v/>
      </c>
      <c r="G69" s="50">
        <f>IF($A69="","",$D69*$F69)</f>
        <v/>
      </c>
      <c r="H69" s="66">
        <f>IF($A69="","",$D69*$E69)</f>
        <v/>
      </c>
      <c r="I69" s="69" t="n"/>
      <c r="J69" s="72" t="n"/>
      <c r="K69" s="66">
        <f>IF($A69="","",$G69*$J69)</f>
        <v/>
      </c>
      <c r="L69" s="67">
        <f>IF($A69="","",EOMONTH($A69,0))</f>
        <v/>
      </c>
      <c r="M69" s="69" t="n"/>
      <c r="N69" s="69" t="n"/>
    </row>
    <row r="70">
      <c r="A70" s="73" t="n"/>
      <c r="B70" s="57" t="n"/>
      <c r="C70" s="57" t="n"/>
      <c r="D70" s="58" t="n"/>
      <c r="E70" s="74" t="n"/>
      <c r="F70" s="60">
        <f>IF($A70="","",Inputs!$C$15)</f>
        <v/>
      </c>
      <c r="G70" s="50">
        <f>IF($A70="","",$D70*$F70)</f>
        <v/>
      </c>
      <c r="H70" s="61">
        <f>IF($A70="","",$D70*$E70)</f>
        <v/>
      </c>
      <c r="I70" s="57" t="n"/>
      <c r="J70" s="75" t="n"/>
      <c r="K70" s="61">
        <f>IF($A70="","",$G70*$J70)</f>
        <v/>
      </c>
      <c r="L70" s="64">
        <f>IF($A70="","",EOMONTH($A70,0))</f>
        <v/>
      </c>
      <c r="M70" s="57" t="n"/>
      <c r="N70" s="57" t="n"/>
    </row>
    <row r="71">
      <c r="A71" s="68" t="n"/>
      <c r="B71" s="69" t="n"/>
      <c r="C71" s="69" t="n"/>
      <c r="D71" s="70" t="n"/>
      <c r="E71" s="71" t="n"/>
      <c r="F71" s="65">
        <f>IF($A71="","",Inputs!$C$15)</f>
        <v/>
      </c>
      <c r="G71" s="50">
        <f>IF($A71="","",$D71*$F71)</f>
        <v/>
      </c>
      <c r="H71" s="66">
        <f>IF($A71="","",$D71*$E71)</f>
        <v/>
      </c>
      <c r="I71" s="69" t="n"/>
      <c r="J71" s="72" t="n"/>
      <c r="K71" s="66">
        <f>IF($A71="","",$G71*$J71)</f>
        <v/>
      </c>
      <c r="L71" s="67">
        <f>IF($A71="","",EOMONTH($A71,0))</f>
        <v/>
      </c>
      <c r="M71" s="69" t="n"/>
      <c r="N71" s="69" t="n"/>
    </row>
    <row r="72">
      <c r="A72" s="73" t="n"/>
      <c r="B72" s="57" t="n"/>
      <c r="C72" s="57" t="n"/>
      <c r="D72" s="58" t="n"/>
      <c r="E72" s="74" t="n"/>
      <c r="F72" s="60">
        <f>IF($A72="","",Inputs!$C$15)</f>
        <v/>
      </c>
      <c r="G72" s="50">
        <f>IF($A72="","",$D72*$F72)</f>
        <v/>
      </c>
      <c r="H72" s="61">
        <f>IF($A72="","",$D72*$E72)</f>
        <v/>
      </c>
      <c r="I72" s="57" t="n"/>
      <c r="J72" s="75" t="n"/>
      <c r="K72" s="61">
        <f>IF($A72="","",$G72*$J72)</f>
        <v/>
      </c>
      <c r="L72" s="64">
        <f>IF($A72="","",EOMONTH($A72,0))</f>
        <v/>
      </c>
      <c r="M72" s="57" t="n"/>
      <c r="N72" s="57" t="n"/>
    </row>
    <row r="73">
      <c r="A73" s="68" t="n"/>
      <c r="B73" s="69" t="n"/>
      <c r="C73" s="69" t="n"/>
      <c r="D73" s="70" t="n"/>
      <c r="E73" s="71" t="n"/>
      <c r="F73" s="65">
        <f>IF($A73="","",Inputs!$C$15)</f>
        <v/>
      </c>
      <c r="G73" s="50">
        <f>IF($A73="","",$D73*$F73)</f>
        <v/>
      </c>
      <c r="H73" s="66">
        <f>IF($A73="","",$D73*$E73)</f>
        <v/>
      </c>
      <c r="I73" s="69" t="n"/>
      <c r="J73" s="72" t="n"/>
      <c r="K73" s="66">
        <f>IF($A73="","",$G73*$J73)</f>
        <v/>
      </c>
      <c r="L73" s="67">
        <f>IF($A73="","",EOMONTH($A73,0))</f>
        <v/>
      </c>
      <c r="M73" s="69" t="n"/>
      <c r="N73" s="69" t="n"/>
    </row>
    <row r="74">
      <c r="A74" s="73" t="n"/>
      <c r="B74" s="57" t="n"/>
      <c r="C74" s="57" t="n"/>
      <c r="D74" s="58" t="n"/>
      <c r="E74" s="74" t="n"/>
      <c r="F74" s="60">
        <f>IF($A74="","",Inputs!$C$15)</f>
        <v/>
      </c>
      <c r="G74" s="50">
        <f>IF($A74="","",$D74*$F74)</f>
        <v/>
      </c>
      <c r="H74" s="61">
        <f>IF($A74="","",$D74*$E74)</f>
        <v/>
      </c>
      <c r="I74" s="57" t="n"/>
      <c r="J74" s="75" t="n"/>
      <c r="K74" s="61">
        <f>IF($A74="","",$G74*$J74)</f>
        <v/>
      </c>
      <c r="L74" s="64">
        <f>IF($A74="","",EOMONTH($A74,0))</f>
        <v/>
      </c>
      <c r="M74" s="57" t="n"/>
      <c r="N74" s="57" t="n"/>
    </row>
    <row r="75">
      <c r="A75" s="68" t="n"/>
      <c r="B75" s="69" t="n"/>
      <c r="C75" s="69" t="n"/>
      <c r="D75" s="70" t="n"/>
      <c r="E75" s="71" t="n"/>
      <c r="F75" s="65">
        <f>IF($A75="","",Inputs!$C$15)</f>
        <v/>
      </c>
      <c r="G75" s="50">
        <f>IF($A75="","",$D75*$F75)</f>
        <v/>
      </c>
      <c r="H75" s="66">
        <f>IF($A75="","",$D75*$E75)</f>
        <v/>
      </c>
      <c r="I75" s="69" t="n"/>
      <c r="J75" s="72" t="n"/>
      <c r="K75" s="66">
        <f>IF($A75="","",$G75*$J75)</f>
        <v/>
      </c>
      <c r="L75" s="67">
        <f>IF($A75="","",EOMONTH($A75,0))</f>
        <v/>
      </c>
      <c r="M75" s="69" t="n"/>
      <c r="N75" s="69" t="n"/>
    </row>
    <row r="76">
      <c r="A76" s="73" t="n"/>
      <c r="B76" s="57" t="n"/>
      <c r="C76" s="57" t="n"/>
      <c r="D76" s="58" t="n"/>
      <c r="E76" s="74" t="n"/>
      <c r="F76" s="60">
        <f>IF($A76="","",Inputs!$C$15)</f>
        <v/>
      </c>
      <c r="G76" s="50">
        <f>IF($A76="","",$D76*$F76)</f>
        <v/>
      </c>
      <c r="H76" s="61">
        <f>IF($A76="","",$D76*$E76)</f>
        <v/>
      </c>
      <c r="I76" s="57" t="n"/>
      <c r="J76" s="75" t="n"/>
      <c r="K76" s="61">
        <f>IF($A76="","",$G76*$J76)</f>
        <v/>
      </c>
      <c r="L76" s="64">
        <f>IF($A76="","",EOMONTH($A76,0))</f>
        <v/>
      </c>
      <c r="M76" s="57" t="n"/>
      <c r="N76" s="57" t="n"/>
    </row>
    <row r="77">
      <c r="A77" s="68" t="n"/>
      <c r="B77" s="69" t="n"/>
      <c r="C77" s="69" t="n"/>
      <c r="D77" s="70" t="n"/>
      <c r="E77" s="71" t="n"/>
      <c r="F77" s="65">
        <f>IF($A77="","",Inputs!$C$15)</f>
        <v/>
      </c>
      <c r="G77" s="50">
        <f>IF($A77="","",$D77*$F77)</f>
        <v/>
      </c>
      <c r="H77" s="66">
        <f>IF($A77="","",$D77*$E77)</f>
        <v/>
      </c>
      <c r="I77" s="69" t="n"/>
      <c r="J77" s="72" t="n"/>
      <c r="K77" s="66">
        <f>IF($A77="","",$G77*$J77)</f>
        <v/>
      </c>
      <c r="L77" s="67">
        <f>IF($A77="","",EOMONTH($A77,0))</f>
        <v/>
      </c>
      <c r="M77" s="69" t="n"/>
      <c r="N77" s="69" t="n"/>
    </row>
    <row r="78">
      <c r="A78" s="73" t="n"/>
      <c r="B78" s="57" t="n"/>
      <c r="C78" s="57" t="n"/>
      <c r="D78" s="58" t="n"/>
      <c r="E78" s="74" t="n"/>
      <c r="F78" s="60">
        <f>IF($A78="","",Inputs!$C$15)</f>
        <v/>
      </c>
      <c r="G78" s="50">
        <f>IF($A78="","",$D78*$F78)</f>
        <v/>
      </c>
      <c r="H78" s="61">
        <f>IF($A78="","",$D78*$E78)</f>
        <v/>
      </c>
      <c r="I78" s="57" t="n"/>
      <c r="J78" s="75" t="n"/>
      <c r="K78" s="61">
        <f>IF($A78="","",$G78*$J78)</f>
        <v/>
      </c>
      <c r="L78" s="64">
        <f>IF($A78="","",EOMONTH($A78,0))</f>
        <v/>
      </c>
      <c r="M78" s="57" t="n"/>
      <c r="N78" s="57" t="n"/>
    </row>
    <row r="79">
      <c r="A79" s="68" t="n"/>
      <c r="B79" s="69" t="n"/>
      <c r="C79" s="69" t="n"/>
      <c r="D79" s="70" t="n"/>
      <c r="E79" s="71" t="n"/>
      <c r="F79" s="65">
        <f>IF($A79="","",Inputs!$C$15)</f>
        <v/>
      </c>
      <c r="G79" s="50">
        <f>IF($A79="","",$D79*$F79)</f>
        <v/>
      </c>
      <c r="H79" s="66">
        <f>IF($A79="","",$D79*$E79)</f>
        <v/>
      </c>
      <c r="I79" s="69" t="n"/>
      <c r="J79" s="72" t="n"/>
      <c r="K79" s="66">
        <f>IF($A79="","",$G79*$J79)</f>
        <v/>
      </c>
      <c r="L79" s="67">
        <f>IF($A79="","",EOMONTH($A79,0))</f>
        <v/>
      </c>
      <c r="M79" s="69" t="n"/>
      <c r="N79" s="69" t="n"/>
    </row>
    <row r="80">
      <c r="A80" s="73" t="n"/>
      <c r="B80" s="57" t="n"/>
      <c r="C80" s="57" t="n"/>
      <c r="D80" s="58" t="n"/>
      <c r="E80" s="74" t="n"/>
      <c r="F80" s="60">
        <f>IF($A80="","",Inputs!$C$15)</f>
        <v/>
      </c>
      <c r="G80" s="50">
        <f>IF($A80="","",$D80*$F80)</f>
        <v/>
      </c>
      <c r="H80" s="61">
        <f>IF($A80="","",$D80*$E80)</f>
        <v/>
      </c>
      <c r="I80" s="57" t="n"/>
      <c r="J80" s="75" t="n"/>
      <c r="K80" s="61">
        <f>IF($A80="","",$G80*$J80)</f>
        <v/>
      </c>
      <c r="L80" s="64">
        <f>IF($A80="","",EOMONTH($A80,0))</f>
        <v/>
      </c>
      <c r="M80" s="57" t="n"/>
      <c r="N80" s="57" t="n"/>
    </row>
    <row r="81">
      <c r="A81" s="68" t="n"/>
      <c r="B81" s="69" t="n"/>
      <c r="C81" s="69" t="n"/>
      <c r="D81" s="70" t="n"/>
      <c r="E81" s="71" t="n"/>
      <c r="F81" s="65">
        <f>IF($A81="","",Inputs!$C$15)</f>
        <v/>
      </c>
      <c r="G81" s="50">
        <f>IF($A81="","",$D81*$F81)</f>
        <v/>
      </c>
      <c r="H81" s="66">
        <f>IF($A81="","",$D81*$E81)</f>
        <v/>
      </c>
      <c r="I81" s="69" t="n"/>
      <c r="J81" s="72" t="n"/>
      <c r="K81" s="66">
        <f>IF($A81="","",$G81*$J81)</f>
        <v/>
      </c>
      <c r="L81" s="67">
        <f>IF($A81="","",EOMONTH($A81,0))</f>
        <v/>
      </c>
      <c r="M81" s="69" t="n"/>
      <c r="N81" s="69" t="n"/>
    </row>
    <row r="82">
      <c r="A82" s="73" t="n"/>
      <c r="B82" s="57" t="n"/>
      <c r="C82" s="57" t="n"/>
      <c r="D82" s="58" t="n"/>
      <c r="E82" s="74" t="n"/>
      <c r="F82" s="60">
        <f>IF($A82="","",Inputs!$C$15)</f>
        <v/>
      </c>
      <c r="G82" s="50">
        <f>IF($A82="","",$D82*$F82)</f>
        <v/>
      </c>
      <c r="H82" s="61">
        <f>IF($A82="","",$D82*$E82)</f>
        <v/>
      </c>
      <c r="I82" s="57" t="n"/>
      <c r="J82" s="75" t="n"/>
      <c r="K82" s="61">
        <f>IF($A82="","",$G82*$J82)</f>
        <v/>
      </c>
      <c r="L82" s="64">
        <f>IF($A82="","",EOMONTH($A82,0))</f>
        <v/>
      </c>
      <c r="M82" s="57" t="n"/>
      <c r="N82" s="57" t="n"/>
    </row>
    <row r="83">
      <c r="A83" s="68" t="n"/>
      <c r="B83" s="69" t="n"/>
      <c r="C83" s="69" t="n"/>
      <c r="D83" s="70" t="n"/>
      <c r="E83" s="71" t="n"/>
      <c r="F83" s="65">
        <f>IF($A83="","",Inputs!$C$15)</f>
        <v/>
      </c>
      <c r="G83" s="50">
        <f>IF($A83="","",$D83*$F83)</f>
        <v/>
      </c>
      <c r="H83" s="66">
        <f>IF($A83="","",$D83*$E83)</f>
        <v/>
      </c>
      <c r="I83" s="69" t="n"/>
      <c r="J83" s="72" t="n"/>
      <c r="K83" s="66">
        <f>IF($A83="","",$G83*$J83)</f>
        <v/>
      </c>
      <c r="L83" s="67">
        <f>IF($A83="","",EOMONTH($A83,0))</f>
        <v/>
      </c>
      <c r="M83" s="69" t="n"/>
      <c r="N83" s="69" t="n"/>
    </row>
    <row r="84">
      <c r="A84" s="73" t="n"/>
      <c r="B84" s="57" t="n"/>
      <c r="C84" s="57" t="n"/>
      <c r="D84" s="58" t="n"/>
      <c r="E84" s="74" t="n"/>
      <c r="F84" s="60">
        <f>IF($A84="","",Inputs!$C$15)</f>
        <v/>
      </c>
      <c r="G84" s="50">
        <f>IF($A84="","",$D84*$F84)</f>
        <v/>
      </c>
      <c r="H84" s="61">
        <f>IF($A84="","",$D84*$E84)</f>
        <v/>
      </c>
      <c r="I84" s="57" t="n"/>
      <c r="J84" s="75" t="n"/>
      <c r="K84" s="61">
        <f>IF($A84="","",$G84*$J84)</f>
        <v/>
      </c>
      <c r="L84" s="64">
        <f>IF($A84="","",EOMONTH($A84,0))</f>
        <v/>
      </c>
      <c r="M84" s="57" t="n"/>
      <c r="N84" s="57" t="n"/>
    </row>
    <row r="85">
      <c r="A85" s="68" t="n"/>
      <c r="B85" s="69" t="n"/>
      <c r="C85" s="69" t="n"/>
      <c r="D85" s="70" t="n"/>
      <c r="E85" s="71" t="n"/>
      <c r="F85" s="65">
        <f>IF($A85="","",Inputs!$C$15)</f>
        <v/>
      </c>
      <c r="G85" s="50">
        <f>IF($A85="","",$D85*$F85)</f>
        <v/>
      </c>
      <c r="H85" s="66">
        <f>IF($A85="","",$D85*$E85)</f>
        <v/>
      </c>
      <c r="I85" s="69" t="n"/>
      <c r="J85" s="72" t="n"/>
      <c r="K85" s="66">
        <f>IF($A85="","",$G85*$J85)</f>
        <v/>
      </c>
      <c r="L85" s="67">
        <f>IF($A85="","",EOMONTH($A85,0))</f>
        <v/>
      </c>
      <c r="M85" s="69" t="n"/>
      <c r="N85" s="69" t="n"/>
    </row>
    <row r="86">
      <c r="A86" s="73" t="n"/>
      <c r="B86" s="57" t="n"/>
      <c r="C86" s="57" t="n"/>
      <c r="D86" s="58" t="n"/>
      <c r="E86" s="74" t="n"/>
      <c r="F86" s="60">
        <f>IF($A86="","",Inputs!$C$15)</f>
        <v/>
      </c>
      <c r="G86" s="50">
        <f>IF($A86="","",$D86*$F86)</f>
        <v/>
      </c>
      <c r="H86" s="61">
        <f>IF($A86="","",$D86*$E86)</f>
        <v/>
      </c>
      <c r="I86" s="57" t="n"/>
      <c r="J86" s="75" t="n"/>
      <c r="K86" s="61">
        <f>IF($A86="","",$G86*$J86)</f>
        <v/>
      </c>
      <c r="L86" s="64">
        <f>IF($A86="","",EOMONTH($A86,0))</f>
        <v/>
      </c>
      <c r="M86" s="57" t="n"/>
      <c r="N86" s="57" t="n"/>
    </row>
    <row r="87">
      <c r="A87" s="68" t="n"/>
      <c r="B87" s="69" t="n"/>
      <c r="C87" s="69" t="n"/>
      <c r="D87" s="70" t="n"/>
      <c r="E87" s="71" t="n"/>
      <c r="F87" s="65">
        <f>IF($A87="","",Inputs!$C$15)</f>
        <v/>
      </c>
      <c r="G87" s="50">
        <f>IF($A87="","",$D87*$F87)</f>
        <v/>
      </c>
      <c r="H87" s="66">
        <f>IF($A87="","",$D87*$E87)</f>
        <v/>
      </c>
      <c r="I87" s="69" t="n"/>
      <c r="J87" s="72" t="n"/>
      <c r="K87" s="66">
        <f>IF($A87="","",$G87*$J87)</f>
        <v/>
      </c>
      <c r="L87" s="67">
        <f>IF($A87="","",EOMONTH($A87,0))</f>
        <v/>
      </c>
      <c r="M87" s="69" t="n"/>
      <c r="N87" s="69" t="n"/>
    </row>
    <row r="88">
      <c r="A88" s="73" t="n"/>
      <c r="B88" s="57" t="n"/>
      <c r="C88" s="57" t="n"/>
      <c r="D88" s="58" t="n"/>
      <c r="E88" s="74" t="n"/>
      <c r="F88" s="60">
        <f>IF($A88="","",Inputs!$C$15)</f>
        <v/>
      </c>
      <c r="G88" s="50">
        <f>IF($A88="","",$D88*$F88)</f>
        <v/>
      </c>
      <c r="H88" s="61">
        <f>IF($A88="","",$D88*$E88)</f>
        <v/>
      </c>
      <c r="I88" s="57" t="n"/>
      <c r="J88" s="75" t="n"/>
      <c r="K88" s="61">
        <f>IF($A88="","",$G88*$J88)</f>
        <v/>
      </c>
      <c r="L88" s="64">
        <f>IF($A88="","",EOMONTH($A88,0))</f>
        <v/>
      </c>
      <c r="M88" s="57" t="n"/>
      <c r="N88" s="57" t="n"/>
    </row>
    <row r="89">
      <c r="A89" s="68" t="n"/>
      <c r="B89" s="69" t="n"/>
      <c r="C89" s="69" t="n"/>
      <c r="D89" s="70" t="n"/>
      <c r="E89" s="71" t="n"/>
      <c r="F89" s="65">
        <f>IF($A89="","",Inputs!$C$15)</f>
        <v/>
      </c>
      <c r="G89" s="50">
        <f>IF($A89="","",$D89*$F89)</f>
        <v/>
      </c>
      <c r="H89" s="66">
        <f>IF($A89="","",$D89*$E89)</f>
        <v/>
      </c>
      <c r="I89" s="69" t="n"/>
      <c r="J89" s="72" t="n"/>
      <c r="K89" s="66">
        <f>IF($A89="","",$G89*$J89)</f>
        <v/>
      </c>
      <c r="L89" s="67">
        <f>IF($A89="","",EOMONTH($A89,0))</f>
        <v/>
      </c>
      <c r="M89" s="69" t="n"/>
      <c r="N89" s="69" t="n"/>
    </row>
    <row r="90">
      <c r="A90" s="73" t="n"/>
      <c r="B90" s="57" t="n"/>
      <c r="C90" s="57" t="n"/>
      <c r="D90" s="58" t="n"/>
      <c r="E90" s="74" t="n"/>
      <c r="F90" s="60">
        <f>IF($A90="","",Inputs!$C$15)</f>
        <v/>
      </c>
      <c r="G90" s="50">
        <f>IF($A90="","",$D90*$F90)</f>
        <v/>
      </c>
      <c r="H90" s="61">
        <f>IF($A90="","",$D90*$E90)</f>
        <v/>
      </c>
      <c r="I90" s="57" t="n"/>
      <c r="J90" s="75" t="n"/>
      <c r="K90" s="61">
        <f>IF($A90="","",$G90*$J90)</f>
        <v/>
      </c>
      <c r="L90" s="64">
        <f>IF($A90="","",EOMONTH($A90,0))</f>
        <v/>
      </c>
      <c r="M90" s="57" t="n"/>
      <c r="N90" s="57" t="n"/>
    </row>
    <row r="91">
      <c r="A91" s="68" t="n"/>
      <c r="B91" s="69" t="n"/>
      <c r="C91" s="69" t="n"/>
      <c r="D91" s="70" t="n"/>
      <c r="E91" s="71" t="n"/>
      <c r="F91" s="65">
        <f>IF($A91="","",Inputs!$C$15)</f>
        <v/>
      </c>
      <c r="G91" s="50">
        <f>IF($A91="","",$D91*$F91)</f>
        <v/>
      </c>
      <c r="H91" s="66">
        <f>IF($A91="","",$D91*$E91)</f>
        <v/>
      </c>
      <c r="I91" s="69" t="n"/>
      <c r="J91" s="72" t="n"/>
      <c r="K91" s="66">
        <f>IF($A91="","",$G91*$J91)</f>
        <v/>
      </c>
      <c r="L91" s="67">
        <f>IF($A91="","",EOMONTH($A91,0))</f>
        <v/>
      </c>
      <c r="M91" s="69" t="n"/>
      <c r="N91" s="69" t="n"/>
    </row>
    <row r="92">
      <c r="A92" s="73" t="n"/>
      <c r="B92" s="57" t="n"/>
      <c r="C92" s="57" t="n"/>
      <c r="D92" s="58" t="n"/>
      <c r="E92" s="74" t="n"/>
      <c r="F92" s="60">
        <f>IF($A92="","",Inputs!$C$15)</f>
        <v/>
      </c>
      <c r="G92" s="50">
        <f>IF($A92="","",$D92*$F92)</f>
        <v/>
      </c>
      <c r="H92" s="61">
        <f>IF($A92="","",$D92*$E92)</f>
        <v/>
      </c>
      <c r="I92" s="57" t="n"/>
      <c r="J92" s="75" t="n"/>
      <c r="K92" s="61">
        <f>IF($A92="","",$G92*$J92)</f>
        <v/>
      </c>
      <c r="L92" s="64">
        <f>IF($A92="","",EOMONTH($A92,0))</f>
        <v/>
      </c>
      <c r="M92" s="57" t="n"/>
      <c r="N92" s="57" t="n"/>
    </row>
    <row r="93">
      <c r="A93" s="68" t="n"/>
      <c r="B93" s="69" t="n"/>
      <c r="C93" s="69" t="n"/>
      <c r="D93" s="70" t="n"/>
      <c r="E93" s="71" t="n"/>
      <c r="F93" s="65">
        <f>IF($A93="","",Inputs!$C$15)</f>
        <v/>
      </c>
      <c r="G93" s="50">
        <f>IF($A93="","",$D93*$F93)</f>
        <v/>
      </c>
      <c r="H93" s="66">
        <f>IF($A93="","",$D93*$E93)</f>
        <v/>
      </c>
      <c r="I93" s="69" t="n"/>
      <c r="J93" s="72" t="n"/>
      <c r="K93" s="66">
        <f>IF($A93="","",$G93*$J93)</f>
        <v/>
      </c>
      <c r="L93" s="67">
        <f>IF($A93="","",EOMONTH($A93,0))</f>
        <v/>
      </c>
      <c r="M93" s="69" t="n"/>
      <c r="N93" s="69" t="n"/>
    </row>
    <row r="94">
      <c r="A94" s="73" t="n"/>
      <c r="B94" s="57" t="n"/>
      <c r="C94" s="57" t="n"/>
      <c r="D94" s="58" t="n"/>
      <c r="E94" s="74" t="n"/>
      <c r="F94" s="60">
        <f>IF($A94="","",Inputs!$C$15)</f>
        <v/>
      </c>
      <c r="G94" s="50">
        <f>IF($A94="","",$D94*$F94)</f>
        <v/>
      </c>
      <c r="H94" s="61">
        <f>IF($A94="","",$D94*$E94)</f>
        <v/>
      </c>
      <c r="I94" s="57" t="n"/>
      <c r="J94" s="75" t="n"/>
      <c r="K94" s="61">
        <f>IF($A94="","",$G94*$J94)</f>
        <v/>
      </c>
      <c r="L94" s="64">
        <f>IF($A94="","",EOMONTH($A94,0))</f>
        <v/>
      </c>
      <c r="M94" s="57" t="n"/>
      <c r="N94" s="57" t="n"/>
    </row>
    <row r="95">
      <c r="A95" s="68" t="n"/>
      <c r="B95" s="69" t="n"/>
      <c r="C95" s="69" t="n"/>
      <c r="D95" s="70" t="n"/>
      <c r="E95" s="71" t="n"/>
      <c r="F95" s="65">
        <f>IF($A95="","",Inputs!$C$15)</f>
        <v/>
      </c>
      <c r="G95" s="50">
        <f>IF($A95="","",$D95*$F95)</f>
        <v/>
      </c>
      <c r="H95" s="66">
        <f>IF($A95="","",$D95*$E95)</f>
        <v/>
      </c>
      <c r="I95" s="69" t="n"/>
      <c r="J95" s="72" t="n"/>
      <c r="K95" s="66">
        <f>IF($A95="","",$G95*$J95)</f>
        <v/>
      </c>
      <c r="L95" s="67">
        <f>IF($A95="","",EOMONTH($A95,0))</f>
        <v/>
      </c>
      <c r="M95" s="69" t="n"/>
      <c r="N95" s="69" t="n"/>
    </row>
    <row r="96">
      <c r="A96" s="73" t="n"/>
      <c r="B96" s="57" t="n"/>
      <c r="C96" s="57" t="n"/>
      <c r="D96" s="58" t="n"/>
      <c r="E96" s="74" t="n"/>
      <c r="F96" s="60">
        <f>IF($A96="","",Inputs!$C$15)</f>
        <v/>
      </c>
      <c r="G96" s="50">
        <f>IF($A96="","",$D96*$F96)</f>
        <v/>
      </c>
      <c r="H96" s="61">
        <f>IF($A96="","",$D96*$E96)</f>
        <v/>
      </c>
      <c r="I96" s="57" t="n"/>
      <c r="J96" s="75" t="n"/>
      <c r="K96" s="61">
        <f>IF($A96="","",$G96*$J96)</f>
        <v/>
      </c>
      <c r="L96" s="64">
        <f>IF($A96="","",EOMONTH($A96,0))</f>
        <v/>
      </c>
      <c r="M96" s="57" t="n"/>
      <c r="N96" s="57" t="n"/>
    </row>
    <row r="97">
      <c r="A97" s="68" t="n"/>
      <c r="B97" s="69" t="n"/>
      <c r="C97" s="69" t="n"/>
      <c r="D97" s="70" t="n"/>
      <c r="E97" s="71" t="n"/>
      <c r="F97" s="65">
        <f>IF($A97="","",Inputs!$C$15)</f>
        <v/>
      </c>
      <c r="G97" s="50">
        <f>IF($A97="","",$D97*$F97)</f>
        <v/>
      </c>
      <c r="H97" s="66">
        <f>IF($A97="","",$D97*$E97)</f>
        <v/>
      </c>
      <c r="I97" s="69" t="n"/>
      <c r="J97" s="72" t="n"/>
      <c r="K97" s="66">
        <f>IF($A97="","",$G97*$J97)</f>
        <v/>
      </c>
      <c r="L97" s="67">
        <f>IF($A97="","",EOMONTH($A97,0))</f>
        <v/>
      </c>
      <c r="M97" s="69" t="n"/>
      <c r="N97" s="69" t="n"/>
    </row>
    <row r="98">
      <c r="A98" s="73" t="n"/>
      <c r="B98" s="57" t="n"/>
      <c r="C98" s="57" t="n"/>
      <c r="D98" s="58" t="n"/>
      <c r="E98" s="74" t="n"/>
      <c r="F98" s="60">
        <f>IF($A98="","",Inputs!$C$15)</f>
        <v/>
      </c>
      <c r="G98" s="50">
        <f>IF($A98="","",$D98*$F98)</f>
        <v/>
      </c>
      <c r="H98" s="61">
        <f>IF($A98="","",$D98*$E98)</f>
        <v/>
      </c>
      <c r="I98" s="57" t="n"/>
      <c r="J98" s="75" t="n"/>
      <c r="K98" s="61">
        <f>IF($A98="","",$G98*$J98)</f>
        <v/>
      </c>
      <c r="L98" s="64">
        <f>IF($A98="","",EOMONTH($A98,0))</f>
        <v/>
      </c>
      <c r="M98" s="57" t="n"/>
      <c r="N98" s="57" t="n"/>
    </row>
    <row r="99">
      <c r="A99" s="68" t="n"/>
      <c r="B99" s="69" t="n"/>
      <c r="C99" s="69" t="n"/>
      <c r="D99" s="70" t="n"/>
      <c r="E99" s="71" t="n"/>
      <c r="F99" s="65">
        <f>IF($A99="","",Inputs!$C$15)</f>
        <v/>
      </c>
      <c r="G99" s="50">
        <f>IF($A99="","",$D99*$F99)</f>
        <v/>
      </c>
      <c r="H99" s="66">
        <f>IF($A99="","",$D99*$E99)</f>
        <v/>
      </c>
      <c r="I99" s="69" t="n"/>
      <c r="J99" s="72" t="n"/>
      <c r="K99" s="66">
        <f>IF($A99="","",$G99*$J99)</f>
        <v/>
      </c>
      <c r="L99" s="67">
        <f>IF($A99="","",EOMONTH($A99,0))</f>
        <v/>
      </c>
      <c r="M99" s="69" t="n"/>
      <c r="N99" s="69" t="n"/>
    </row>
    <row r="100">
      <c r="A100" s="73" t="n"/>
      <c r="B100" s="57" t="n"/>
      <c r="C100" s="57" t="n"/>
      <c r="D100" s="58" t="n"/>
      <c r="E100" s="74" t="n"/>
      <c r="F100" s="60">
        <f>IF($A100="","",Inputs!$C$15)</f>
        <v/>
      </c>
      <c r="G100" s="50">
        <f>IF($A100="","",$D100*$F100)</f>
        <v/>
      </c>
      <c r="H100" s="61">
        <f>IF($A100="","",$D100*$E100)</f>
        <v/>
      </c>
      <c r="I100" s="57" t="n"/>
      <c r="J100" s="75" t="n"/>
      <c r="K100" s="61">
        <f>IF($A100="","",$G100*$J100)</f>
        <v/>
      </c>
      <c r="L100" s="64">
        <f>IF($A100="","",EOMONTH($A100,0))</f>
        <v/>
      </c>
      <c r="M100" s="57" t="n"/>
      <c r="N100" s="57" t="n"/>
    </row>
    <row r="101">
      <c r="A101" s="68" t="n"/>
      <c r="B101" s="69" t="n"/>
      <c r="C101" s="69" t="n"/>
      <c r="D101" s="70" t="n"/>
      <c r="E101" s="71" t="n"/>
      <c r="F101" s="65">
        <f>IF($A101="","",Inputs!$C$15)</f>
        <v/>
      </c>
      <c r="G101" s="50">
        <f>IF($A101="","",$D101*$F101)</f>
        <v/>
      </c>
      <c r="H101" s="66">
        <f>IF($A101="","",$D101*$E101)</f>
        <v/>
      </c>
      <c r="I101" s="69" t="n"/>
      <c r="J101" s="72" t="n"/>
      <c r="K101" s="66">
        <f>IF($A101="","",$G101*$J101)</f>
        <v/>
      </c>
      <c r="L101" s="67">
        <f>IF($A101="","",EOMONTH($A101,0))</f>
        <v/>
      </c>
      <c r="M101" s="69" t="n"/>
      <c r="N101" s="69" t="n"/>
    </row>
    <row r="102">
      <c r="A102" s="73" t="n"/>
      <c r="B102" s="57" t="n"/>
      <c r="C102" s="57" t="n"/>
      <c r="D102" s="58" t="n"/>
      <c r="E102" s="74" t="n"/>
      <c r="F102" s="60">
        <f>IF($A102="","",Inputs!$C$15)</f>
        <v/>
      </c>
      <c r="G102" s="50">
        <f>IF($A102="","",$D102*$F102)</f>
        <v/>
      </c>
      <c r="H102" s="61">
        <f>IF($A102="","",$D102*$E102)</f>
        <v/>
      </c>
      <c r="I102" s="57" t="n"/>
      <c r="J102" s="75" t="n"/>
      <c r="K102" s="61">
        <f>IF($A102="","",$G102*$J102)</f>
        <v/>
      </c>
      <c r="L102" s="64">
        <f>IF($A102="","",EOMONTH($A102,0))</f>
        <v/>
      </c>
      <c r="M102" s="57" t="n"/>
      <c r="N102" s="57" t="n"/>
    </row>
    <row r="103">
      <c r="A103" s="68" t="n"/>
      <c r="B103" s="69" t="n"/>
      <c r="C103" s="69" t="n"/>
      <c r="D103" s="70" t="n"/>
      <c r="E103" s="71" t="n"/>
      <c r="F103" s="65">
        <f>IF($A103="","",Inputs!$C$15)</f>
        <v/>
      </c>
      <c r="G103" s="50">
        <f>IF($A103="","",$D103*$F103)</f>
        <v/>
      </c>
      <c r="H103" s="66">
        <f>IF($A103="","",$D103*$E103)</f>
        <v/>
      </c>
      <c r="I103" s="69" t="n"/>
      <c r="J103" s="72" t="n"/>
      <c r="K103" s="66">
        <f>IF($A103="","",$G103*$J103)</f>
        <v/>
      </c>
      <c r="L103" s="67">
        <f>IF($A103="","",EOMONTH($A103,0))</f>
        <v/>
      </c>
      <c r="M103" s="69" t="n"/>
      <c r="N103" s="69" t="n"/>
    </row>
    <row r="104">
      <c r="A104" s="73" t="n"/>
      <c r="B104" s="57" t="n"/>
      <c r="C104" s="57" t="n"/>
      <c r="D104" s="58" t="n"/>
      <c r="E104" s="74" t="n"/>
      <c r="F104" s="60">
        <f>IF($A104="","",Inputs!$C$15)</f>
        <v/>
      </c>
      <c r="G104" s="50">
        <f>IF($A104="","",$D104*$F104)</f>
        <v/>
      </c>
      <c r="H104" s="61">
        <f>IF($A104="","",$D104*$E104)</f>
        <v/>
      </c>
      <c r="I104" s="57" t="n"/>
      <c r="J104" s="75" t="n"/>
      <c r="K104" s="61">
        <f>IF($A104="","",$G104*$J104)</f>
        <v/>
      </c>
      <c r="L104" s="64">
        <f>IF($A104="","",EOMONTH($A104,0))</f>
        <v/>
      </c>
      <c r="M104" s="57" t="n"/>
      <c r="N104" s="57" t="n"/>
    </row>
    <row r="105">
      <c r="A105" s="68" t="n"/>
      <c r="B105" s="69" t="n"/>
      <c r="C105" s="69" t="n"/>
      <c r="D105" s="70" t="n"/>
      <c r="E105" s="71" t="n"/>
      <c r="F105" s="65">
        <f>IF($A105="","",Inputs!$C$15)</f>
        <v/>
      </c>
      <c r="G105" s="50">
        <f>IF($A105="","",$D105*$F105)</f>
        <v/>
      </c>
      <c r="H105" s="66">
        <f>IF($A105="","",$D105*$E105)</f>
        <v/>
      </c>
      <c r="I105" s="69" t="n"/>
      <c r="J105" s="72" t="n"/>
      <c r="K105" s="66">
        <f>IF($A105="","",$G105*$J105)</f>
        <v/>
      </c>
      <c r="L105" s="67">
        <f>IF($A105="","",EOMONTH($A105,0))</f>
        <v/>
      </c>
      <c r="M105" s="69" t="n"/>
      <c r="N105" s="69" t="n"/>
    </row>
    <row r="106">
      <c r="A106" s="73" t="n"/>
      <c r="B106" s="57" t="n"/>
      <c r="C106" s="57" t="n"/>
      <c r="D106" s="58" t="n"/>
      <c r="E106" s="74" t="n"/>
      <c r="F106" s="60">
        <f>IF($A106="","",Inputs!$C$15)</f>
        <v/>
      </c>
      <c r="G106" s="50">
        <f>IF($A106="","",$D106*$F106)</f>
        <v/>
      </c>
      <c r="H106" s="61">
        <f>IF($A106="","",$D106*$E106)</f>
        <v/>
      </c>
      <c r="I106" s="57" t="n"/>
      <c r="J106" s="75" t="n"/>
      <c r="K106" s="61">
        <f>IF($A106="","",$G106*$J106)</f>
        <v/>
      </c>
      <c r="L106" s="64">
        <f>IF($A106="","",EOMONTH($A106,0))</f>
        <v/>
      </c>
      <c r="M106" s="57" t="n"/>
      <c r="N106" s="57" t="n"/>
    </row>
    <row r="107">
      <c r="A107" s="68" t="n"/>
      <c r="B107" s="69" t="n"/>
      <c r="C107" s="69" t="n"/>
      <c r="D107" s="70" t="n"/>
      <c r="E107" s="71" t="n"/>
      <c r="F107" s="65">
        <f>IF($A107="","",Inputs!$C$15)</f>
        <v/>
      </c>
      <c r="G107" s="50">
        <f>IF($A107="","",$D107*$F107)</f>
        <v/>
      </c>
      <c r="H107" s="66">
        <f>IF($A107="","",$D107*$E107)</f>
        <v/>
      </c>
      <c r="I107" s="69" t="n"/>
      <c r="J107" s="72" t="n"/>
      <c r="K107" s="66">
        <f>IF($A107="","",$G107*$J107)</f>
        <v/>
      </c>
      <c r="L107" s="67">
        <f>IF($A107="","",EOMONTH($A107,0))</f>
        <v/>
      </c>
      <c r="M107" s="69" t="n"/>
      <c r="N107" s="69" t="n"/>
    </row>
    <row r="108">
      <c r="A108" s="73" t="n"/>
      <c r="B108" s="57" t="n"/>
      <c r="C108" s="57" t="n"/>
      <c r="D108" s="58" t="n"/>
      <c r="E108" s="74" t="n"/>
      <c r="F108" s="60">
        <f>IF($A108="","",Inputs!$C$15)</f>
        <v/>
      </c>
      <c r="G108" s="50">
        <f>IF($A108="","",$D108*$F108)</f>
        <v/>
      </c>
      <c r="H108" s="61">
        <f>IF($A108="","",$D108*$E108)</f>
        <v/>
      </c>
      <c r="I108" s="57" t="n"/>
      <c r="J108" s="75" t="n"/>
      <c r="K108" s="61">
        <f>IF($A108="","",$G108*$J108)</f>
        <v/>
      </c>
      <c r="L108" s="64">
        <f>IF($A108="","",EOMONTH($A108,0))</f>
        <v/>
      </c>
      <c r="M108" s="57" t="n"/>
      <c r="N108" s="57" t="n"/>
    </row>
    <row r="109">
      <c r="A109" s="68" t="n"/>
      <c r="B109" s="69" t="n"/>
      <c r="C109" s="69" t="n"/>
      <c r="D109" s="70" t="n"/>
      <c r="E109" s="71" t="n"/>
      <c r="F109" s="65">
        <f>IF($A109="","",Inputs!$C$15)</f>
        <v/>
      </c>
      <c r="G109" s="50">
        <f>IF($A109="","",$D109*$F109)</f>
        <v/>
      </c>
      <c r="H109" s="66">
        <f>IF($A109="","",$D109*$E109)</f>
        <v/>
      </c>
      <c r="I109" s="69" t="n"/>
      <c r="J109" s="72" t="n"/>
      <c r="K109" s="66">
        <f>IF($A109="","",$G109*$J109)</f>
        <v/>
      </c>
      <c r="L109" s="67">
        <f>IF($A109="","",EOMONTH($A109,0))</f>
        <v/>
      </c>
      <c r="M109" s="69" t="n"/>
      <c r="N109" s="69" t="n"/>
    </row>
    <row r="110">
      <c r="A110" s="73" t="n"/>
      <c r="B110" s="57" t="n"/>
      <c r="C110" s="57" t="n"/>
      <c r="D110" s="58" t="n"/>
      <c r="E110" s="74" t="n"/>
      <c r="F110" s="60">
        <f>IF($A110="","",Inputs!$C$15)</f>
        <v/>
      </c>
      <c r="G110" s="50">
        <f>IF($A110="","",$D110*$F110)</f>
        <v/>
      </c>
      <c r="H110" s="61">
        <f>IF($A110="","",$D110*$E110)</f>
        <v/>
      </c>
      <c r="I110" s="57" t="n"/>
      <c r="J110" s="75" t="n"/>
      <c r="K110" s="61">
        <f>IF($A110="","",$G110*$J110)</f>
        <v/>
      </c>
      <c r="L110" s="64">
        <f>IF($A110="","",EOMONTH($A110,0))</f>
        <v/>
      </c>
      <c r="M110" s="57" t="n"/>
      <c r="N110" s="57" t="n"/>
    </row>
    <row r="111">
      <c r="A111" s="68" t="n"/>
      <c r="B111" s="69" t="n"/>
      <c r="C111" s="69" t="n"/>
      <c r="D111" s="70" t="n"/>
      <c r="E111" s="71" t="n"/>
      <c r="F111" s="65">
        <f>IF($A111="","",Inputs!$C$15)</f>
        <v/>
      </c>
      <c r="G111" s="50">
        <f>IF($A111="","",$D111*$F111)</f>
        <v/>
      </c>
      <c r="H111" s="66">
        <f>IF($A111="","",$D111*$E111)</f>
        <v/>
      </c>
      <c r="I111" s="69" t="n"/>
      <c r="J111" s="72" t="n"/>
      <c r="K111" s="66">
        <f>IF($A111="","",$G111*$J111)</f>
        <v/>
      </c>
      <c r="L111" s="67">
        <f>IF($A111="","",EOMONTH($A111,0))</f>
        <v/>
      </c>
      <c r="M111" s="69" t="n"/>
      <c r="N111" s="69" t="n"/>
    </row>
    <row r="112">
      <c r="A112" s="73" t="n"/>
      <c r="B112" s="57" t="n"/>
      <c r="C112" s="57" t="n"/>
      <c r="D112" s="58" t="n"/>
      <c r="E112" s="74" t="n"/>
      <c r="F112" s="60">
        <f>IF($A112="","",Inputs!$C$15)</f>
        <v/>
      </c>
      <c r="G112" s="50">
        <f>IF($A112="","",$D112*$F112)</f>
        <v/>
      </c>
      <c r="H112" s="61">
        <f>IF($A112="","",$D112*$E112)</f>
        <v/>
      </c>
      <c r="I112" s="57" t="n"/>
      <c r="J112" s="75" t="n"/>
      <c r="K112" s="61">
        <f>IF($A112="","",$G112*$J112)</f>
        <v/>
      </c>
      <c r="L112" s="64">
        <f>IF($A112="","",EOMONTH($A112,0))</f>
        <v/>
      </c>
      <c r="M112" s="57" t="n"/>
      <c r="N112" s="57" t="n"/>
    </row>
    <row r="113">
      <c r="A113" s="68" t="n"/>
      <c r="B113" s="69" t="n"/>
      <c r="C113" s="69" t="n"/>
      <c r="D113" s="70" t="n"/>
      <c r="E113" s="71" t="n"/>
      <c r="F113" s="65">
        <f>IF($A113="","",Inputs!$C$15)</f>
        <v/>
      </c>
      <c r="G113" s="50">
        <f>IF($A113="","",$D113*$F113)</f>
        <v/>
      </c>
      <c r="H113" s="66">
        <f>IF($A113="","",$D113*$E113)</f>
        <v/>
      </c>
      <c r="I113" s="69" t="n"/>
      <c r="J113" s="72" t="n"/>
      <c r="K113" s="66">
        <f>IF($A113="","",$G113*$J113)</f>
        <v/>
      </c>
      <c r="L113" s="67">
        <f>IF($A113="","",EOMONTH($A113,0))</f>
        <v/>
      </c>
      <c r="M113" s="69" t="n"/>
      <c r="N113" s="69" t="n"/>
    </row>
    <row r="114">
      <c r="A114" s="73" t="n"/>
      <c r="B114" s="57" t="n"/>
      <c r="C114" s="57" t="n"/>
      <c r="D114" s="58" t="n"/>
      <c r="E114" s="74" t="n"/>
      <c r="F114" s="60">
        <f>IF($A114="","",Inputs!$C$15)</f>
        <v/>
      </c>
      <c r="G114" s="50">
        <f>IF($A114="","",$D114*$F114)</f>
        <v/>
      </c>
      <c r="H114" s="61">
        <f>IF($A114="","",$D114*$E114)</f>
        <v/>
      </c>
      <c r="I114" s="57" t="n"/>
      <c r="J114" s="75" t="n"/>
      <c r="K114" s="61">
        <f>IF($A114="","",$G114*$J114)</f>
        <v/>
      </c>
      <c r="L114" s="64">
        <f>IF($A114="","",EOMONTH($A114,0))</f>
        <v/>
      </c>
      <c r="M114" s="57" t="n"/>
      <c r="N114" s="57" t="n"/>
    </row>
    <row r="115">
      <c r="A115" s="68" t="n"/>
      <c r="B115" s="69" t="n"/>
      <c r="C115" s="69" t="n"/>
      <c r="D115" s="70" t="n"/>
      <c r="E115" s="71" t="n"/>
      <c r="F115" s="65">
        <f>IF($A115="","",Inputs!$C$15)</f>
        <v/>
      </c>
      <c r="G115" s="50">
        <f>IF($A115="","",$D115*$F115)</f>
        <v/>
      </c>
      <c r="H115" s="66">
        <f>IF($A115="","",$D115*$E115)</f>
        <v/>
      </c>
      <c r="I115" s="69" t="n"/>
      <c r="J115" s="72" t="n"/>
      <c r="K115" s="66">
        <f>IF($A115="","",$G115*$J115)</f>
        <v/>
      </c>
      <c r="L115" s="67">
        <f>IF($A115="","",EOMONTH($A115,0))</f>
        <v/>
      </c>
      <c r="M115" s="69" t="n"/>
      <c r="N115" s="69" t="n"/>
    </row>
    <row r="116">
      <c r="A116" s="73" t="n"/>
      <c r="B116" s="57" t="n"/>
      <c r="C116" s="57" t="n"/>
      <c r="D116" s="58" t="n"/>
      <c r="E116" s="74" t="n"/>
      <c r="F116" s="60">
        <f>IF($A116="","",Inputs!$C$15)</f>
        <v/>
      </c>
      <c r="G116" s="50">
        <f>IF($A116="","",$D116*$F116)</f>
        <v/>
      </c>
      <c r="H116" s="61">
        <f>IF($A116="","",$D116*$E116)</f>
        <v/>
      </c>
      <c r="I116" s="57" t="n"/>
      <c r="J116" s="75" t="n"/>
      <c r="K116" s="61">
        <f>IF($A116="","",$G116*$J116)</f>
        <v/>
      </c>
      <c r="L116" s="64">
        <f>IF($A116="","",EOMONTH($A116,0))</f>
        <v/>
      </c>
      <c r="M116" s="57" t="n"/>
      <c r="N116" s="57" t="n"/>
    </row>
    <row r="117">
      <c r="A117" s="68" t="n"/>
      <c r="B117" s="69" t="n"/>
      <c r="C117" s="69" t="n"/>
      <c r="D117" s="70" t="n"/>
      <c r="E117" s="71" t="n"/>
      <c r="F117" s="65">
        <f>IF($A117="","",Inputs!$C$15)</f>
        <v/>
      </c>
      <c r="G117" s="50">
        <f>IF($A117="","",$D117*$F117)</f>
        <v/>
      </c>
      <c r="H117" s="66">
        <f>IF($A117="","",$D117*$E117)</f>
        <v/>
      </c>
      <c r="I117" s="69" t="n"/>
      <c r="J117" s="72" t="n"/>
      <c r="K117" s="66">
        <f>IF($A117="","",$G117*$J117)</f>
        <v/>
      </c>
      <c r="L117" s="67">
        <f>IF($A117="","",EOMONTH($A117,0))</f>
        <v/>
      </c>
      <c r="M117" s="69" t="n"/>
      <c r="N117" s="69" t="n"/>
    </row>
    <row r="118">
      <c r="A118" s="73" t="n"/>
      <c r="B118" s="57" t="n"/>
      <c r="C118" s="57" t="n"/>
      <c r="D118" s="58" t="n"/>
      <c r="E118" s="74" t="n"/>
      <c r="F118" s="60">
        <f>IF($A118="","",Inputs!$C$15)</f>
        <v/>
      </c>
      <c r="G118" s="50">
        <f>IF($A118="","",$D118*$F118)</f>
        <v/>
      </c>
      <c r="H118" s="61">
        <f>IF($A118="","",$D118*$E118)</f>
        <v/>
      </c>
      <c r="I118" s="57" t="n"/>
      <c r="J118" s="75" t="n"/>
      <c r="K118" s="61">
        <f>IF($A118="","",$G118*$J118)</f>
        <v/>
      </c>
      <c r="L118" s="64">
        <f>IF($A118="","",EOMONTH($A118,0))</f>
        <v/>
      </c>
      <c r="M118" s="57" t="n"/>
      <c r="N118" s="57" t="n"/>
    </row>
    <row r="119">
      <c r="A119" s="68" t="n"/>
      <c r="B119" s="69" t="n"/>
      <c r="C119" s="69" t="n"/>
      <c r="D119" s="70" t="n"/>
      <c r="E119" s="71" t="n"/>
      <c r="F119" s="65">
        <f>IF($A119="","",Inputs!$C$15)</f>
        <v/>
      </c>
      <c r="G119" s="50">
        <f>IF($A119="","",$D119*$F119)</f>
        <v/>
      </c>
      <c r="H119" s="66">
        <f>IF($A119="","",$D119*$E119)</f>
        <v/>
      </c>
      <c r="I119" s="69" t="n"/>
      <c r="J119" s="72" t="n"/>
      <c r="K119" s="66">
        <f>IF($A119="","",$G119*$J119)</f>
        <v/>
      </c>
      <c r="L119" s="67">
        <f>IF($A119="","",EOMONTH($A119,0))</f>
        <v/>
      </c>
      <c r="M119" s="69" t="n"/>
      <c r="N119" s="69" t="n"/>
    </row>
    <row r="120">
      <c r="A120" s="73" t="n"/>
      <c r="B120" s="57" t="n"/>
      <c r="C120" s="57" t="n"/>
      <c r="D120" s="58" t="n"/>
      <c r="E120" s="74" t="n"/>
      <c r="F120" s="60">
        <f>IF($A120="","",Inputs!$C$15)</f>
        <v/>
      </c>
      <c r="G120" s="50">
        <f>IF($A120="","",$D120*$F120)</f>
        <v/>
      </c>
      <c r="H120" s="61">
        <f>IF($A120="","",$D120*$E120)</f>
        <v/>
      </c>
      <c r="I120" s="57" t="n"/>
      <c r="J120" s="75" t="n"/>
      <c r="K120" s="61">
        <f>IF($A120="","",$G120*$J120)</f>
        <v/>
      </c>
      <c r="L120" s="64">
        <f>IF($A120="","",EOMONTH($A120,0))</f>
        <v/>
      </c>
      <c r="M120" s="57" t="n"/>
      <c r="N120" s="57" t="n"/>
    </row>
    <row r="121">
      <c r="A121" s="68" t="n"/>
      <c r="B121" s="69" t="n"/>
      <c r="C121" s="69" t="n"/>
      <c r="D121" s="70" t="n"/>
      <c r="E121" s="71" t="n"/>
      <c r="F121" s="65">
        <f>IF($A121="","",Inputs!$C$15)</f>
        <v/>
      </c>
      <c r="G121" s="50">
        <f>IF($A121="","",$D121*$F121)</f>
        <v/>
      </c>
      <c r="H121" s="66">
        <f>IF($A121="","",$D121*$E121)</f>
        <v/>
      </c>
      <c r="I121" s="69" t="n"/>
      <c r="J121" s="72" t="n"/>
      <c r="K121" s="66">
        <f>IF($A121="","",$G121*$J121)</f>
        <v/>
      </c>
      <c r="L121" s="67">
        <f>IF($A121="","",EOMONTH($A121,0))</f>
        <v/>
      </c>
      <c r="M121" s="69" t="n"/>
      <c r="N121" s="69" t="n"/>
    </row>
    <row r="122">
      <c r="A122" s="73" t="n"/>
      <c r="B122" s="57" t="n"/>
      <c r="C122" s="57" t="n"/>
      <c r="D122" s="58" t="n"/>
      <c r="E122" s="74" t="n"/>
      <c r="F122" s="60">
        <f>IF($A122="","",Inputs!$C$15)</f>
        <v/>
      </c>
      <c r="G122" s="50">
        <f>IF($A122="","",$D122*$F122)</f>
        <v/>
      </c>
      <c r="H122" s="61">
        <f>IF($A122="","",$D122*$E122)</f>
        <v/>
      </c>
      <c r="I122" s="57" t="n"/>
      <c r="J122" s="75" t="n"/>
      <c r="K122" s="61">
        <f>IF($A122="","",$G122*$J122)</f>
        <v/>
      </c>
      <c r="L122" s="64">
        <f>IF($A122="","",EOMONTH($A122,0))</f>
        <v/>
      </c>
      <c r="M122" s="57" t="n"/>
      <c r="N122" s="57" t="n"/>
    </row>
    <row r="123">
      <c r="A123" s="68" t="n"/>
      <c r="B123" s="69" t="n"/>
      <c r="C123" s="69" t="n"/>
      <c r="D123" s="70" t="n"/>
      <c r="E123" s="71" t="n"/>
      <c r="F123" s="65">
        <f>IF($A123="","",Inputs!$C$15)</f>
        <v/>
      </c>
      <c r="G123" s="50">
        <f>IF($A123="","",$D123*$F123)</f>
        <v/>
      </c>
      <c r="H123" s="66">
        <f>IF($A123="","",$D123*$E123)</f>
        <v/>
      </c>
      <c r="I123" s="69" t="n"/>
      <c r="J123" s="72" t="n"/>
      <c r="K123" s="66">
        <f>IF($A123="","",$G123*$J123)</f>
        <v/>
      </c>
      <c r="L123" s="67">
        <f>IF($A123="","",EOMONTH($A123,0))</f>
        <v/>
      </c>
      <c r="M123" s="69" t="n"/>
      <c r="N123" s="69" t="n"/>
    </row>
    <row r="124">
      <c r="A124" s="73" t="n"/>
      <c r="B124" s="57" t="n"/>
      <c r="C124" s="57" t="n"/>
      <c r="D124" s="58" t="n"/>
      <c r="E124" s="74" t="n"/>
      <c r="F124" s="60">
        <f>IF($A124="","",Inputs!$C$15)</f>
        <v/>
      </c>
      <c r="G124" s="50">
        <f>IF($A124="","",$D124*$F124)</f>
        <v/>
      </c>
      <c r="H124" s="61">
        <f>IF($A124="","",$D124*$E124)</f>
        <v/>
      </c>
      <c r="I124" s="57" t="n"/>
      <c r="J124" s="75" t="n"/>
      <c r="K124" s="61">
        <f>IF($A124="","",$G124*$J124)</f>
        <v/>
      </c>
      <c r="L124" s="64">
        <f>IF($A124="","",EOMONTH($A124,0))</f>
        <v/>
      </c>
      <c r="M124" s="57" t="n"/>
      <c r="N124" s="57" t="n"/>
    </row>
    <row r="125">
      <c r="A125" s="68" t="n"/>
      <c r="B125" s="69" t="n"/>
      <c r="C125" s="69" t="n"/>
      <c r="D125" s="70" t="n"/>
      <c r="E125" s="71" t="n"/>
      <c r="F125" s="65">
        <f>IF($A125="","",Inputs!$C$15)</f>
        <v/>
      </c>
      <c r="G125" s="50">
        <f>IF($A125="","",$D125*$F125)</f>
        <v/>
      </c>
      <c r="H125" s="66">
        <f>IF($A125="","",$D125*$E125)</f>
        <v/>
      </c>
      <c r="I125" s="69" t="n"/>
      <c r="J125" s="72" t="n"/>
      <c r="K125" s="66">
        <f>IF($A125="","",$G125*$J125)</f>
        <v/>
      </c>
      <c r="L125" s="67">
        <f>IF($A125="","",EOMONTH($A125,0))</f>
        <v/>
      </c>
      <c r="M125" s="69" t="n"/>
      <c r="N125" s="69" t="n"/>
    </row>
    <row r="126">
      <c r="A126" s="73" t="n"/>
      <c r="B126" s="57" t="n"/>
      <c r="C126" s="57" t="n"/>
      <c r="D126" s="58" t="n"/>
      <c r="E126" s="74" t="n"/>
      <c r="F126" s="60">
        <f>IF($A126="","",Inputs!$C$15)</f>
        <v/>
      </c>
      <c r="G126" s="50">
        <f>IF($A126="","",$D126*$F126)</f>
        <v/>
      </c>
      <c r="H126" s="61">
        <f>IF($A126="","",$D126*$E126)</f>
        <v/>
      </c>
      <c r="I126" s="57" t="n"/>
      <c r="J126" s="75" t="n"/>
      <c r="K126" s="61">
        <f>IF($A126="","",$G126*$J126)</f>
        <v/>
      </c>
      <c r="L126" s="64">
        <f>IF($A126="","",EOMONTH($A126,0))</f>
        <v/>
      </c>
      <c r="M126" s="57" t="n"/>
      <c r="N126" s="57" t="n"/>
    </row>
    <row r="127">
      <c r="A127" s="68" t="n"/>
      <c r="B127" s="69" t="n"/>
      <c r="C127" s="69" t="n"/>
      <c r="D127" s="70" t="n"/>
      <c r="E127" s="71" t="n"/>
      <c r="F127" s="65">
        <f>IF($A127="","",Inputs!$C$15)</f>
        <v/>
      </c>
      <c r="G127" s="50">
        <f>IF($A127="","",$D127*$F127)</f>
        <v/>
      </c>
      <c r="H127" s="66">
        <f>IF($A127="","",$D127*$E127)</f>
        <v/>
      </c>
      <c r="I127" s="69" t="n"/>
      <c r="J127" s="72" t="n"/>
      <c r="K127" s="66">
        <f>IF($A127="","",$G127*$J127)</f>
        <v/>
      </c>
      <c r="L127" s="67">
        <f>IF($A127="","",EOMONTH($A127,0))</f>
        <v/>
      </c>
      <c r="M127" s="69" t="n"/>
      <c r="N127" s="69" t="n"/>
    </row>
    <row r="128">
      <c r="A128" s="73" t="n"/>
      <c r="B128" s="57" t="n"/>
      <c r="C128" s="57" t="n"/>
      <c r="D128" s="58" t="n"/>
      <c r="E128" s="74" t="n"/>
      <c r="F128" s="60">
        <f>IF($A128="","",Inputs!$C$15)</f>
        <v/>
      </c>
      <c r="G128" s="50">
        <f>IF($A128="","",$D128*$F128)</f>
        <v/>
      </c>
      <c r="H128" s="61">
        <f>IF($A128="","",$D128*$E128)</f>
        <v/>
      </c>
      <c r="I128" s="57" t="n"/>
      <c r="J128" s="75" t="n"/>
      <c r="K128" s="61">
        <f>IF($A128="","",$G128*$J128)</f>
        <v/>
      </c>
      <c r="L128" s="64">
        <f>IF($A128="","",EOMONTH($A128,0))</f>
        <v/>
      </c>
      <c r="M128" s="57" t="n"/>
      <c r="N128" s="57" t="n"/>
    </row>
    <row r="129">
      <c r="A129" s="68" t="n"/>
      <c r="B129" s="69" t="n"/>
      <c r="C129" s="69" t="n"/>
      <c r="D129" s="70" t="n"/>
      <c r="E129" s="71" t="n"/>
      <c r="F129" s="65">
        <f>IF($A129="","",Inputs!$C$15)</f>
        <v/>
      </c>
      <c r="G129" s="50">
        <f>IF($A129="","",$D129*$F129)</f>
        <v/>
      </c>
      <c r="H129" s="66">
        <f>IF($A129="","",$D129*$E129)</f>
        <v/>
      </c>
      <c r="I129" s="69" t="n"/>
      <c r="J129" s="72" t="n"/>
      <c r="K129" s="66">
        <f>IF($A129="","",$G129*$J129)</f>
        <v/>
      </c>
      <c r="L129" s="67">
        <f>IF($A129="","",EOMONTH($A129,0))</f>
        <v/>
      </c>
      <c r="M129" s="69" t="n"/>
      <c r="N129" s="69" t="n"/>
    </row>
    <row r="130">
      <c r="A130" s="73" t="n"/>
      <c r="B130" s="57" t="n"/>
      <c r="C130" s="57" t="n"/>
      <c r="D130" s="58" t="n"/>
      <c r="E130" s="74" t="n"/>
      <c r="F130" s="60">
        <f>IF($A130="","",Inputs!$C$15)</f>
        <v/>
      </c>
      <c r="G130" s="50">
        <f>IF($A130="","",$D130*$F130)</f>
        <v/>
      </c>
      <c r="H130" s="61">
        <f>IF($A130="","",$D130*$E130)</f>
        <v/>
      </c>
      <c r="I130" s="57" t="n"/>
      <c r="J130" s="75" t="n"/>
      <c r="K130" s="61">
        <f>IF($A130="","",$G130*$J130)</f>
        <v/>
      </c>
      <c r="L130" s="64">
        <f>IF($A130="","",EOMONTH($A130,0))</f>
        <v/>
      </c>
      <c r="M130" s="57" t="n"/>
      <c r="N130" s="57" t="n"/>
    </row>
    <row r="131">
      <c r="A131" s="68" t="n"/>
      <c r="B131" s="69" t="n"/>
      <c r="C131" s="69" t="n"/>
      <c r="D131" s="70" t="n"/>
      <c r="E131" s="71" t="n"/>
      <c r="F131" s="65">
        <f>IF($A131="","",Inputs!$C$15)</f>
        <v/>
      </c>
      <c r="G131" s="50">
        <f>IF($A131="","",$D131*$F131)</f>
        <v/>
      </c>
      <c r="H131" s="66">
        <f>IF($A131="","",$D131*$E131)</f>
        <v/>
      </c>
      <c r="I131" s="69" t="n"/>
      <c r="J131" s="72" t="n"/>
      <c r="K131" s="66">
        <f>IF($A131="","",$G131*$J131)</f>
        <v/>
      </c>
      <c r="L131" s="67">
        <f>IF($A131="","",EOMONTH($A131,0))</f>
        <v/>
      </c>
      <c r="M131" s="69" t="n"/>
      <c r="N131" s="69" t="n"/>
    </row>
    <row r="132">
      <c r="A132" s="73" t="n"/>
      <c r="B132" s="57" t="n"/>
      <c r="C132" s="57" t="n"/>
      <c r="D132" s="58" t="n"/>
      <c r="E132" s="74" t="n"/>
      <c r="F132" s="60">
        <f>IF($A132="","",Inputs!$C$15)</f>
        <v/>
      </c>
      <c r="G132" s="50">
        <f>IF($A132="","",$D132*$F132)</f>
        <v/>
      </c>
      <c r="H132" s="61">
        <f>IF($A132="","",$D132*$E132)</f>
        <v/>
      </c>
      <c r="I132" s="57" t="n"/>
      <c r="J132" s="75" t="n"/>
      <c r="K132" s="61">
        <f>IF($A132="","",$G132*$J132)</f>
        <v/>
      </c>
      <c r="L132" s="64">
        <f>IF($A132="","",EOMONTH($A132,0))</f>
        <v/>
      </c>
      <c r="M132" s="57" t="n"/>
      <c r="N132" s="57" t="n"/>
    </row>
    <row r="133">
      <c r="A133" s="68" t="n"/>
      <c r="B133" s="69" t="n"/>
      <c r="C133" s="69" t="n"/>
      <c r="D133" s="70" t="n"/>
      <c r="E133" s="71" t="n"/>
      <c r="F133" s="65">
        <f>IF($A133="","",Inputs!$C$15)</f>
        <v/>
      </c>
      <c r="G133" s="50">
        <f>IF($A133="","",$D133*$F133)</f>
        <v/>
      </c>
      <c r="H133" s="66">
        <f>IF($A133="","",$D133*$E133)</f>
        <v/>
      </c>
      <c r="I133" s="69" t="n"/>
      <c r="J133" s="72" t="n"/>
      <c r="K133" s="66">
        <f>IF($A133="","",$G133*$J133)</f>
        <v/>
      </c>
      <c r="L133" s="67">
        <f>IF($A133="","",EOMONTH($A133,0))</f>
        <v/>
      </c>
      <c r="M133" s="69" t="n"/>
      <c r="N133" s="69" t="n"/>
    </row>
    <row r="134">
      <c r="A134" s="73" t="n"/>
      <c r="B134" s="57" t="n"/>
      <c r="C134" s="57" t="n"/>
      <c r="D134" s="58" t="n"/>
      <c r="E134" s="74" t="n"/>
      <c r="F134" s="60">
        <f>IF($A134="","",Inputs!$C$15)</f>
        <v/>
      </c>
      <c r="G134" s="50">
        <f>IF($A134="","",$D134*$F134)</f>
        <v/>
      </c>
      <c r="H134" s="61">
        <f>IF($A134="","",$D134*$E134)</f>
        <v/>
      </c>
      <c r="I134" s="57" t="n"/>
      <c r="J134" s="75" t="n"/>
      <c r="K134" s="61">
        <f>IF($A134="","",$G134*$J134)</f>
        <v/>
      </c>
      <c r="L134" s="64">
        <f>IF($A134="","",EOMONTH($A134,0))</f>
        <v/>
      </c>
      <c r="M134" s="57" t="n"/>
      <c r="N134" s="57" t="n"/>
    </row>
    <row r="135">
      <c r="A135" s="68" t="n"/>
      <c r="B135" s="69" t="n"/>
      <c r="C135" s="69" t="n"/>
      <c r="D135" s="70" t="n"/>
      <c r="E135" s="71" t="n"/>
      <c r="F135" s="65">
        <f>IF($A135="","",Inputs!$C$15)</f>
        <v/>
      </c>
      <c r="G135" s="50">
        <f>IF($A135="","",$D135*$F135)</f>
        <v/>
      </c>
      <c r="H135" s="66">
        <f>IF($A135="","",$D135*$E135)</f>
        <v/>
      </c>
      <c r="I135" s="69" t="n"/>
      <c r="J135" s="72" t="n"/>
      <c r="K135" s="66">
        <f>IF($A135="","",$G135*$J135)</f>
        <v/>
      </c>
      <c r="L135" s="67">
        <f>IF($A135="","",EOMONTH($A135,0))</f>
        <v/>
      </c>
      <c r="M135" s="69" t="n"/>
      <c r="N135" s="69" t="n"/>
    </row>
    <row r="136">
      <c r="A136" s="73" t="n"/>
      <c r="B136" s="57" t="n"/>
      <c r="C136" s="57" t="n"/>
      <c r="D136" s="58" t="n"/>
      <c r="E136" s="74" t="n"/>
      <c r="F136" s="60">
        <f>IF($A136="","",Inputs!$C$15)</f>
        <v/>
      </c>
      <c r="G136" s="50">
        <f>IF($A136="","",$D136*$F136)</f>
        <v/>
      </c>
      <c r="H136" s="61">
        <f>IF($A136="","",$D136*$E136)</f>
        <v/>
      </c>
      <c r="I136" s="57" t="n"/>
      <c r="J136" s="75" t="n"/>
      <c r="K136" s="61">
        <f>IF($A136="","",$G136*$J136)</f>
        <v/>
      </c>
      <c r="L136" s="64">
        <f>IF($A136="","",EOMONTH($A136,0))</f>
        <v/>
      </c>
      <c r="M136" s="57" t="n"/>
      <c r="N136" s="57" t="n"/>
    </row>
    <row r="137">
      <c r="A137" s="68" t="n"/>
      <c r="B137" s="69" t="n"/>
      <c r="C137" s="69" t="n"/>
      <c r="D137" s="70" t="n"/>
      <c r="E137" s="71" t="n"/>
      <c r="F137" s="65">
        <f>IF($A137="","",Inputs!$C$15)</f>
        <v/>
      </c>
      <c r="G137" s="50">
        <f>IF($A137="","",$D137*$F137)</f>
        <v/>
      </c>
      <c r="H137" s="66">
        <f>IF($A137="","",$D137*$E137)</f>
        <v/>
      </c>
      <c r="I137" s="69" t="n"/>
      <c r="J137" s="72" t="n"/>
      <c r="K137" s="66">
        <f>IF($A137="","",$G137*$J137)</f>
        <v/>
      </c>
      <c r="L137" s="67">
        <f>IF($A137="","",EOMONTH($A137,0))</f>
        <v/>
      </c>
      <c r="M137" s="69" t="n"/>
      <c r="N137" s="69" t="n"/>
    </row>
    <row r="138">
      <c r="A138" s="73" t="n"/>
      <c r="B138" s="57" t="n"/>
      <c r="C138" s="57" t="n"/>
      <c r="D138" s="58" t="n"/>
      <c r="E138" s="74" t="n"/>
      <c r="F138" s="60">
        <f>IF($A138="","",Inputs!$C$15)</f>
        <v/>
      </c>
      <c r="G138" s="50">
        <f>IF($A138="","",$D138*$F138)</f>
        <v/>
      </c>
      <c r="H138" s="61">
        <f>IF($A138="","",$D138*$E138)</f>
        <v/>
      </c>
      <c r="I138" s="57" t="n"/>
      <c r="J138" s="75" t="n"/>
      <c r="K138" s="61">
        <f>IF($A138="","",$G138*$J138)</f>
        <v/>
      </c>
      <c r="L138" s="64">
        <f>IF($A138="","",EOMONTH($A138,0))</f>
        <v/>
      </c>
      <c r="M138" s="57" t="n"/>
      <c r="N138" s="57" t="n"/>
    </row>
    <row r="139">
      <c r="A139" s="68" t="n"/>
      <c r="B139" s="69" t="n"/>
      <c r="C139" s="69" t="n"/>
      <c r="D139" s="70" t="n"/>
      <c r="E139" s="71" t="n"/>
      <c r="F139" s="65">
        <f>IF($A139="","",Inputs!$C$15)</f>
        <v/>
      </c>
      <c r="G139" s="50">
        <f>IF($A139="","",$D139*$F139)</f>
        <v/>
      </c>
      <c r="H139" s="66">
        <f>IF($A139="","",$D139*$E139)</f>
        <v/>
      </c>
      <c r="I139" s="69" t="n"/>
      <c r="J139" s="72" t="n"/>
      <c r="K139" s="66">
        <f>IF($A139="","",$G139*$J139)</f>
        <v/>
      </c>
      <c r="L139" s="67">
        <f>IF($A139="","",EOMONTH($A139,0))</f>
        <v/>
      </c>
      <c r="M139" s="69" t="n"/>
      <c r="N139" s="69" t="n"/>
    </row>
    <row r="140">
      <c r="A140" s="73" t="n"/>
      <c r="B140" s="57" t="n"/>
      <c r="C140" s="57" t="n"/>
      <c r="D140" s="58" t="n"/>
      <c r="E140" s="74" t="n"/>
      <c r="F140" s="60">
        <f>IF($A140="","",Inputs!$C$15)</f>
        <v/>
      </c>
      <c r="G140" s="50">
        <f>IF($A140="","",$D140*$F140)</f>
        <v/>
      </c>
      <c r="H140" s="61">
        <f>IF($A140="","",$D140*$E140)</f>
        <v/>
      </c>
      <c r="I140" s="57" t="n"/>
      <c r="J140" s="75" t="n"/>
      <c r="K140" s="61">
        <f>IF($A140="","",$G140*$J140)</f>
        <v/>
      </c>
      <c r="L140" s="64">
        <f>IF($A140="","",EOMONTH($A140,0))</f>
        <v/>
      </c>
      <c r="M140" s="57" t="n"/>
      <c r="N140" s="57" t="n"/>
    </row>
    <row r="141">
      <c r="A141" s="68" t="n"/>
      <c r="B141" s="69" t="n"/>
      <c r="C141" s="69" t="n"/>
      <c r="D141" s="70" t="n"/>
      <c r="E141" s="71" t="n"/>
      <c r="F141" s="65">
        <f>IF($A141="","",Inputs!$C$15)</f>
        <v/>
      </c>
      <c r="G141" s="50">
        <f>IF($A141="","",$D141*$F141)</f>
        <v/>
      </c>
      <c r="H141" s="66">
        <f>IF($A141="","",$D141*$E141)</f>
        <v/>
      </c>
      <c r="I141" s="69" t="n"/>
      <c r="J141" s="72" t="n"/>
      <c r="K141" s="66">
        <f>IF($A141="","",$G141*$J141)</f>
        <v/>
      </c>
      <c r="L141" s="67">
        <f>IF($A141="","",EOMONTH($A141,0))</f>
        <v/>
      </c>
      <c r="M141" s="69" t="n"/>
      <c r="N141" s="69" t="n"/>
    </row>
    <row r="142">
      <c r="A142" s="73" t="n"/>
      <c r="B142" s="57" t="n"/>
      <c r="C142" s="57" t="n"/>
      <c r="D142" s="58" t="n"/>
      <c r="E142" s="74" t="n"/>
      <c r="F142" s="60">
        <f>IF($A142="","",Inputs!$C$15)</f>
        <v/>
      </c>
      <c r="G142" s="50">
        <f>IF($A142="","",$D142*$F142)</f>
        <v/>
      </c>
      <c r="H142" s="61">
        <f>IF($A142="","",$D142*$E142)</f>
        <v/>
      </c>
      <c r="I142" s="57" t="n"/>
      <c r="J142" s="75" t="n"/>
      <c r="K142" s="61">
        <f>IF($A142="","",$G142*$J142)</f>
        <v/>
      </c>
      <c r="L142" s="64">
        <f>IF($A142="","",EOMONTH($A142,0))</f>
        <v/>
      </c>
      <c r="M142" s="57" t="n"/>
      <c r="N142" s="57" t="n"/>
    </row>
    <row r="143">
      <c r="A143" s="68" t="n"/>
      <c r="B143" s="69" t="n"/>
      <c r="C143" s="69" t="n"/>
      <c r="D143" s="70" t="n"/>
      <c r="E143" s="71" t="n"/>
      <c r="F143" s="65">
        <f>IF($A143="","",Inputs!$C$15)</f>
        <v/>
      </c>
      <c r="G143" s="50">
        <f>IF($A143="","",$D143*$F143)</f>
        <v/>
      </c>
      <c r="H143" s="66">
        <f>IF($A143="","",$D143*$E143)</f>
        <v/>
      </c>
      <c r="I143" s="69" t="n"/>
      <c r="J143" s="72" t="n"/>
      <c r="K143" s="66">
        <f>IF($A143="","",$G143*$J143)</f>
        <v/>
      </c>
      <c r="L143" s="67">
        <f>IF($A143="","",EOMONTH($A143,0))</f>
        <v/>
      </c>
      <c r="M143" s="69" t="n"/>
      <c r="N143" s="69" t="n"/>
    </row>
    <row r="144">
      <c r="A144" s="73" t="n"/>
      <c r="B144" s="57" t="n"/>
      <c r="C144" s="57" t="n"/>
      <c r="D144" s="58" t="n"/>
      <c r="E144" s="74" t="n"/>
      <c r="F144" s="60">
        <f>IF($A144="","",Inputs!$C$15)</f>
        <v/>
      </c>
      <c r="G144" s="50">
        <f>IF($A144="","",$D144*$F144)</f>
        <v/>
      </c>
      <c r="H144" s="61">
        <f>IF($A144="","",$D144*$E144)</f>
        <v/>
      </c>
      <c r="I144" s="57" t="n"/>
      <c r="J144" s="75" t="n"/>
      <c r="K144" s="61">
        <f>IF($A144="","",$G144*$J144)</f>
        <v/>
      </c>
      <c r="L144" s="64">
        <f>IF($A144="","",EOMONTH($A144,0))</f>
        <v/>
      </c>
      <c r="M144" s="57" t="n"/>
      <c r="N144" s="57" t="n"/>
    </row>
    <row r="145">
      <c r="A145" s="68" t="n"/>
      <c r="B145" s="69" t="n"/>
      <c r="C145" s="69" t="n"/>
      <c r="D145" s="70" t="n"/>
      <c r="E145" s="71" t="n"/>
      <c r="F145" s="65">
        <f>IF($A145="","",Inputs!$C$15)</f>
        <v/>
      </c>
      <c r="G145" s="50">
        <f>IF($A145="","",$D145*$F145)</f>
        <v/>
      </c>
      <c r="H145" s="66">
        <f>IF($A145="","",$D145*$E145)</f>
        <v/>
      </c>
      <c r="I145" s="69" t="n"/>
      <c r="J145" s="72" t="n"/>
      <c r="K145" s="66">
        <f>IF($A145="","",$G145*$J145)</f>
        <v/>
      </c>
      <c r="L145" s="67">
        <f>IF($A145="","",EOMONTH($A145,0))</f>
        <v/>
      </c>
      <c r="M145" s="69" t="n"/>
      <c r="N145" s="69" t="n"/>
    </row>
    <row r="146">
      <c r="A146" s="73" t="n"/>
      <c r="B146" s="57" t="n"/>
      <c r="C146" s="57" t="n"/>
      <c r="D146" s="58" t="n"/>
      <c r="E146" s="74" t="n"/>
      <c r="F146" s="60">
        <f>IF($A146="","",Inputs!$C$15)</f>
        <v/>
      </c>
      <c r="G146" s="50">
        <f>IF($A146="","",$D146*$F146)</f>
        <v/>
      </c>
      <c r="H146" s="61">
        <f>IF($A146="","",$D146*$E146)</f>
        <v/>
      </c>
      <c r="I146" s="57" t="n"/>
      <c r="J146" s="75" t="n"/>
      <c r="K146" s="61">
        <f>IF($A146="","",$G146*$J146)</f>
        <v/>
      </c>
      <c r="L146" s="64">
        <f>IF($A146="","",EOMONTH($A146,0))</f>
        <v/>
      </c>
      <c r="M146" s="57" t="n"/>
      <c r="N146" s="57" t="n"/>
    </row>
    <row r="147">
      <c r="A147" s="68" t="n"/>
      <c r="B147" s="69" t="n"/>
      <c r="C147" s="69" t="n"/>
      <c r="D147" s="70" t="n"/>
      <c r="E147" s="71" t="n"/>
      <c r="F147" s="65">
        <f>IF($A147="","",Inputs!$C$15)</f>
        <v/>
      </c>
      <c r="G147" s="50">
        <f>IF($A147="","",$D147*$F147)</f>
        <v/>
      </c>
      <c r="H147" s="66">
        <f>IF($A147="","",$D147*$E147)</f>
        <v/>
      </c>
      <c r="I147" s="69" t="n"/>
      <c r="J147" s="72" t="n"/>
      <c r="K147" s="66">
        <f>IF($A147="","",$G147*$J147)</f>
        <v/>
      </c>
      <c r="L147" s="67">
        <f>IF($A147="","",EOMONTH($A147,0))</f>
        <v/>
      </c>
      <c r="M147" s="69" t="n"/>
      <c r="N147" s="69" t="n"/>
    </row>
    <row r="148">
      <c r="A148" s="73" t="n"/>
      <c r="B148" s="57" t="n"/>
      <c r="C148" s="57" t="n"/>
      <c r="D148" s="58" t="n"/>
      <c r="E148" s="74" t="n"/>
      <c r="F148" s="60">
        <f>IF($A148="","",Inputs!$C$15)</f>
        <v/>
      </c>
      <c r="G148" s="50">
        <f>IF($A148="","",$D148*$F148)</f>
        <v/>
      </c>
      <c r="H148" s="61">
        <f>IF($A148="","",$D148*$E148)</f>
        <v/>
      </c>
      <c r="I148" s="57" t="n"/>
      <c r="J148" s="75" t="n"/>
      <c r="K148" s="61">
        <f>IF($A148="","",$G148*$J148)</f>
        <v/>
      </c>
      <c r="L148" s="64">
        <f>IF($A148="","",EOMONTH($A148,0))</f>
        <v/>
      </c>
      <c r="M148" s="57" t="n"/>
      <c r="N148" s="57" t="n"/>
    </row>
    <row r="149">
      <c r="A149" s="68" t="n"/>
      <c r="B149" s="69" t="n"/>
      <c r="C149" s="69" t="n"/>
      <c r="D149" s="70" t="n"/>
      <c r="E149" s="71" t="n"/>
      <c r="F149" s="65">
        <f>IF($A149="","",Inputs!$C$15)</f>
        <v/>
      </c>
      <c r="G149" s="50">
        <f>IF($A149="","",$D149*$F149)</f>
        <v/>
      </c>
      <c r="H149" s="66">
        <f>IF($A149="","",$D149*$E149)</f>
        <v/>
      </c>
      <c r="I149" s="69" t="n"/>
      <c r="J149" s="72" t="n"/>
      <c r="K149" s="66">
        <f>IF($A149="","",$G149*$J149)</f>
        <v/>
      </c>
      <c r="L149" s="67">
        <f>IF($A149="","",EOMONTH($A149,0))</f>
        <v/>
      </c>
      <c r="M149" s="69" t="n"/>
      <c r="N149" s="69" t="n"/>
    </row>
    <row r="150">
      <c r="A150" s="73" t="n"/>
      <c r="B150" s="57" t="n"/>
      <c r="C150" s="57" t="n"/>
      <c r="D150" s="58" t="n"/>
      <c r="E150" s="74" t="n"/>
      <c r="F150" s="60">
        <f>IF($A150="","",Inputs!$C$15)</f>
        <v/>
      </c>
      <c r="G150" s="50">
        <f>IF($A150="","",$D150*$F150)</f>
        <v/>
      </c>
      <c r="H150" s="61">
        <f>IF($A150="","",$D150*$E150)</f>
        <v/>
      </c>
      <c r="I150" s="57" t="n"/>
      <c r="J150" s="75" t="n"/>
      <c r="K150" s="61">
        <f>IF($A150="","",$G150*$J150)</f>
        <v/>
      </c>
      <c r="L150" s="64">
        <f>IF($A150="","",EOMONTH($A150,0))</f>
        <v/>
      </c>
      <c r="M150" s="57" t="n"/>
      <c r="N150" s="57" t="n"/>
    </row>
    <row r="151">
      <c r="A151" s="68" t="n"/>
      <c r="B151" s="69" t="n"/>
      <c r="C151" s="69" t="n"/>
      <c r="D151" s="70" t="n"/>
      <c r="E151" s="71" t="n"/>
      <c r="F151" s="65">
        <f>IF($A151="","",Inputs!$C$15)</f>
        <v/>
      </c>
      <c r="G151" s="50">
        <f>IF($A151="","",$D151*$F151)</f>
        <v/>
      </c>
      <c r="H151" s="66">
        <f>IF($A151="","",$D151*$E151)</f>
        <v/>
      </c>
      <c r="I151" s="69" t="n"/>
      <c r="J151" s="72" t="n"/>
      <c r="K151" s="66">
        <f>IF($A151="","",$G151*$J151)</f>
        <v/>
      </c>
      <c r="L151" s="67">
        <f>IF($A151="","",EOMONTH($A151,0))</f>
        <v/>
      </c>
      <c r="M151" s="69" t="n"/>
      <c r="N151" s="69" t="n"/>
    </row>
    <row r="152">
      <c r="A152" s="73" t="n"/>
      <c r="B152" s="57" t="n"/>
      <c r="C152" s="57" t="n"/>
      <c r="D152" s="58" t="n"/>
      <c r="E152" s="74" t="n"/>
      <c r="F152" s="60">
        <f>IF($A152="","",Inputs!$C$15)</f>
        <v/>
      </c>
      <c r="G152" s="50">
        <f>IF($A152="","",$D152*$F152)</f>
        <v/>
      </c>
      <c r="H152" s="61">
        <f>IF($A152="","",$D152*$E152)</f>
        <v/>
      </c>
      <c r="I152" s="57" t="n"/>
      <c r="J152" s="75" t="n"/>
      <c r="K152" s="61">
        <f>IF($A152="","",$G152*$J152)</f>
        <v/>
      </c>
      <c r="L152" s="64">
        <f>IF($A152="","",EOMONTH($A152,0))</f>
        <v/>
      </c>
      <c r="M152" s="57" t="n"/>
      <c r="N152" s="57" t="n"/>
    </row>
    <row r="153">
      <c r="A153" s="68" t="n"/>
      <c r="B153" s="69" t="n"/>
      <c r="C153" s="69" t="n"/>
      <c r="D153" s="70" t="n"/>
      <c r="E153" s="71" t="n"/>
      <c r="F153" s="65">
        <f>IF($A153="","",Inputs!$C$15)</f>
        <v/>
      </c>
      <c r="G153" s="50">
        <f>IF($A153="","",$D153*$F153)</f>
        <v/>
      </c>
      <c r="H153" s="66">
        <f>IF($A153="","",$D153*$E153)</f>
        <v/>
      </c>
      <c r="I153" s="69" t="n"/>
      <c r="J153" s="72" t="n"/>
      <c r="K153" s="66">
        <f>IF($A153="","",$G153*$J153)</f>
        <v/>
      </c>
      <c r="L153" s="67">
        <f>IF($A153="","",EOMONTH($A153,0))</f>
        <v/>
      </c>
      <c r="M153" s="69" t="n"/>
      <c r="N153" s="69" t="n"/>
    </row>
    <row r="154">
      <c r="A154" s="73" t="n"/>
      <c r="B154" s="57" t="n"/>
      <c r="C154" s="57" t="n"/>
      <c r="D154" s="58" t="n"/>
      <c r="E154" s="74" t="n"/>
      <c r="F154" s="60">
        <f>IF($A154="","",Inputs!$C$15)</f>
        <v/>
      </c>
      <c r="G154" s="50">
        <f>IF($A154="","",$D154*$F154)</f>
        <v/>
      </c>
      <c r="H154" s="61">
        <f>IF($A154="","",$D154*$E154)</f>
        <v/>
      </c>
      <c r="I154" s="57" t="n"/>
      <c r="J154" s="75" t="n"/>
      <c r="K154" s="61">
        <f>IF($A154="","",$G154*$J154)</f>
        <v/>
      </c>
      <c r="L154" s="64">
        <f>IF($A154="","",EOMONTH($A154,0))</f>
        <v/>
      </c>
      <c r="M154" s="57" t="n"/>
      <c r="N154" s="57" t="n"/>
    </row>
    <row r="155">
      <c r="A155" s="68" t="n"/>
      <c r="B155" s="69" t="n"/>
      <c r="C155" s="69" t="n"/>
      <c r="D155" s="70" t="n"/>
      <c r="E155" s="71" t="n"/>
      <c r="F155" s="65">
        <f>IF($A155="","",Inputs!$C$15)</f>
        <v/>
      </c>
      <c r="G155" s="50">
        <f>IF($A155="","",$D155*$F155)</f>
        <v/>
      </c>
      <c r="H155" s="66">
        <f>IF($A155="","",$D155*$E155)</f>
        <v/>
      </c>
      <c r="I155" s="69" t="n"/>
      <c r="J155" s="72" t="n"/>
      <c r="K155" s="66">
        <f>IF($A155="","",$G155*$J155)</f>
        <v/>
      </c>
      <c r="L155" s="67">
        <f>IF($A155="","",EOMONTH($A155,0))</f>
        <v/>
      </c>
      <c r="M155" s="69" t="n"/>
      <c r="N155" s="69" t="n"/>
    </row>
    <row r="156">
      <c r="A156" s="73" t="n"/>
      <c r="B156" s="57" t="n"/>
      <c r="C156" s="57" t="n"/>
      <c r="D156" s="58" t="n"/>
      <c r="E156" s="74" t="n"/>
      <c r="F156" s="60">
        <f>IF($A156="","",Inputs!$C$15)</f>
        <v/>
      </c>
      <c r="G156" s="50">
        <f>IF($A156="","",$D156*$F156)</f>
        <v/>
      </c>
      <c r="H156" s="61">
        <f>IF($A156="","",$D156*$E156)</f>
        <v/>
      </c>
      <c r="I156" s="57" t="n"/>
      <c r="J156" s="75" t="n"/>
      <c r="K156" s="61">
        <f>IF($A156="","",$G156*$J156)</f>
        <v/>
      </c>
      <c r="L156" s="64">
        <f>IF($A156="","",EOMONTH($A156,0))</f>
        <v/>
      </c>
      <c r="M156" s="57" t="n"/>
      <c r="N156" s="57" t="n"/>
    </row>
    <row r="157">
      <c r="A157" s="68" t="n"/>
      <c r="B157" s="69" t="n"/>
      <c r="C157" s="69" t="n"/>
      <c r="D157" s="70" t="n"/>
      <c r="E157" s="71" t="n"/>
      <c r="F157" s="65">
        <f>IF($A157="","",Inputs!$C$15)</f>
        <v/>
      </c>
      <c r="G157" s="50">
        <f>IF($A157="","",$D157*$F157)</f>
        <v/>
      </c>
      <c r="H157" s="66">
        <f>IF($A157="","",$D157*$E157)</f>
        <v/>
      </c>
      <c r="I157" s="69" t="n"/>
      <c r="J157" s="72" t="n"/>
      <c r="K157" s="66">
        <f>IF($A157="","",$G157*$J157)</f>
        <v/>
      </c>
      <c r="L157" s="67">
        <f>IF($A157="","",EOMONTH($A157,0))</f>
        <v/>
      </c>
      <c r="M157" s="69" t="n"/>
      <c r="N157" s="69" t="n"/>
    </row>
    <row r="158">
      <c r="A158" s="73" t="n"/>
      <c r="B158" s="57" t="n"/>
      <c r="C158" s="57" t="n"/>
      <c r="D158" s="58" t="n"/>
      <c r="E158" s="74" t="n"/>
      <c r="F158" s="60">
        <f>IF($A158="","",Inputs!$C$15)</f>
        <v/>
      </c>
      <c r="G158" s="50">
        <f>IF($A158="","",$D158*$F158)</f>
        <v/>
      </c>
      <c r="H158" s="61">
        <f>IF($A158="","",$D158*$E158)</f>
        <v/>
      </c>
      <c r="I158" s="57" t="n"/>
      <c r="J158" s="75" t="n"/>
      <c r="K158" s="61">
        <f>IF($A158="","",$G158*$J158)</f>
        <v/>
      </c>
      <c r="L158" s="64">
        <f>IF($A158="","",EOMONTH($A158,0))</f>
        <v/>
      </c>
      <c r="M158" s="57" t="n"/>
      <c r="N158" s="57" t="n"/>
    </row>
    <row r="159">
      <c r="A159" s="68" t="n"/>
      <c r="B159" s="69" t="n"/>
      <c r="C159" s="69" t="n"/>
      <c r="D159" s="70" t="n"/>
      <c r="E159" s="71" t="n"/>
      <c r="F159" s="65">
        <f>IF($A159="","",Inputs!$C$15)</f>
        <v/>
      </c>
      <c r="G159" s="50">
        <f>IF($A159="","",$D159*$F159)</f>
        <v/>
      </c>
      <c r="H159" s="66">
        <f>IF($A159="","",$D159*$E159)</f>
        <v/>
      </c>
      <c r="I159" s="69" t="n"/>
      <c r="J159" s="72" t="n"/>
      <c r="K159" s="66">
        <f>IF($A159="","",$G159*$J159)</f>
        <v/>
      </c>
      <c r="L159" s="67">
        <f>IF($A159="","",EOMONTH($A159,0))</f>
        <v/>
      </c>
      <c r="M159" s="69" t="n"/>
      <c r="N159" s="69" t="n"/>
    </row>
    <row r="160">
      <c r="A160" s="73" t="n"/>
      <c r="B160" s="57" t="n"/>
      <c r="C160" s="57" t="n"/>
      <c r="D160" s="58" t="n"/>
      <c r="E160" s="74" t="n"/>
      <c r="F160" s="60">
        <f>IF($A160="","",Inputs!$C$15)</f>
        <v/>
      </c>
      <c r="G160" s="50">
        <f>IF($A160="","",$D160*$F160)</f>
        <v/>
      </c>
      <c r="H160" s="61">
        <f>IF($A160="","",$D160*$E160)</f>
        <v/>
      </c>
      <c r="I160" s="57" t="n"/>
      <c r="J160" s="75" t="n"/>
      <c r="K160" s="61">
        <f>IF($A160="","",$G160*$J160)</f>
        <v/>
      </c>
      <c r="L160" s="64">
        <f>IF($A160="","",EOMONTH($A160,0))</f>
        <v/>
      </c>
      <c r="M160" s="57" t="n"/>
      <c r="N160" s="57" t="n"/>
    </row>
    <row r="161">
      <c r="A161" s="68" t="n"/>
      <c r="B161" s="69" t="n"/>
      <c r="C161" s="69" t="n"/>
      <c r="D161" s="70" t="n"/>
      <c r="E161" s="71" t="n"/>
      <c r="F161" s="65">
        <f>IF($A161="","",Inputs!$C$15)</f>
        <v/>
      </c>
      <c r="G161" s="50">
        <f>IF($A161="","",$D161*$F161)</f>
        <v/>
      </c>
      <c r="H161" s="66">
        <f>IF($A161="","",$D161*$E161)</f>
        <v/>
      </c>
      <c r="I161" s="69" t="n"/>
      <c r="J161" s="72" t="n"/>
      <c r="K161" s="66">
        <f>IF($A161="","",$G161*$J161)</f>
        <v/>
      </c>
      <c r="L161" s="67">
        <f>IF($A161="","",EOMONTH($A161,0))</f>
        <v/>
      </c>
      <c r="M161" s="69" t="n"/>
      <c r="N161" s="69" t="n"/>
    </row>
    <row r="162">
      <c r="A162" s="73" t="n"/>
      <c r="B162" s="57" t="n"/>
      <c r="C162" s="57" t="n"/>
      <c r="D162" s="58" t="n"/>
      <c r="E162" s="74" t="n"/>
      <c r="F162" s="60">
        <f>IF($A162="","",Inputs!$C$15)</f>
        <v/>
      </c>
      <c r="G162" s="50">
        <f>IF($A162="","",$D162*$F162)</f>
        <v/>
      </c>
      <c r="H162" s="61">
        <f>IF($A162="","",$D162*$E162)</f>
        <v/>
      </c>
      <c r="I162" s="57" t="n"/>
      <c r="J162" s="75" t="n"/>
      <c r="K162" s="61">
        <f>IF($A162="","",$G162*$J162)</f>
        <v/>
      </c>
      <c r="L162" s="64">
        <f>IF($A162="","",EOMONTH($A162,0))</f>
        <v/>
      </c>
      <c r="M162" s="57" t="n"/>
      <c r="N162" s="57" t="n"/>
    </row>
    <row r="163">
      <c r="A163" s="68" t="n"/>
      <c r="B163" s="69" t="n"/>
      <c r="C163" s="69" t="n"/>
      <c r="D163" s="70" t="n"/>
      <c r="E163" s="71" t="n"/>
      <c r="F163" s="65">
        <f>IF($A163="","",Inputs!$C$15)</f>
        <v/>
      </c>
      <c r="G163" s="50">
        <f>IF($A163="","",$D163*$F163)</f>
        <v/>
      </c>
      <c r="H163" s="66">
        <f>IF($A163="","",$D163*$E163)</f>
        <v/>
      </c>
      <c r="I163" s="69" t="n"/>
      <c r="J163" s="72" t="n"/>
      <c r="K163" s="66">
        <f>IF($A163="","",$G163*$J163)</f>
        <v/>
      </c>
      <c r="L163" s="67">
        <f>IF($A163="","",EOMONTH($A163,0))</f>
        <v/>
      </c>
      <c r="M163" s="69" t="n"/>
      <c r="N163" s="69" t="n"/>
    </row>
    <row r="164">
      <c r="A164" s="73" t="n"/>
      <c r="B164" s="57" t="n"/>
      <c r="C164" s="57" t="n"/>
      <c r="D164" s="58" t="n"/>
      <c r="E164" s="74" t="n"/>
      <c r="F164" s="60">
        <f>IF($A164="","",Inputs!$C$15)</f>
        <v/>
      </c>
      <c r="G164" s="50">
        <f>IF($A164="","",$D164*$F164)</f>
        <v/>
      </c>
      <c r="H164" s="61">
        <f>IF($A164="","",$D164*$E164)</f>
        <v/>
      </c>
      <c r="I164" s="57" t="n"/>
      <c r="J164" s="75" t="n"/>
      <c r="K164" s="61">
        <f>IF($A164="","",$G164*$J164)</f>
        <v/>
      </c>
      <c r="L164" s="64">
        <f>IF($A164="","",EOMONTH($A164,0))</f>
        <v/>
      </c>
      <c r="M164" s="57" t="n"/>
      <c r="N164" s="57" t="n"/>
    </row>
    <row r="165">
      <c r="A165" s="68" t="n"/>
      <c r="B165" s="69" t="n"/>
      <c r="C165" s="69" t="n"/>
      <c r="D165" s="70" t="n"/>
      <c r="E165" s="71" t="n"/>
      <c r="F165" s="65">
        <f>IF($A165="","",Inputs!$C$15)</f>
        <v/>
      </c>
      <c r="G165" s="50">
        <f>IF($A165="","",$D165*$F165)</f>
        <v/>
      </c>
      <c r="H165" s="66">
        <f>IF($A165="","",$D165*$E165)</f>
        <v/>
      </c>
      <c r="I165" s="69" t="n"/>
      <c r="J165" s="72" t="n"/>
      <c r="K165" s="66">
        <f>IF($A165="","",$G165*$J165)</f>
        <v/>
      </c>
      <c r="L165" s="67">
        <f>IF($A165="","",EOMONTH($A165,0))</f>
        <v/>
      </c>
      <c r="M165" s="69" t="n"/>
      <c r="N165" s="69" t="n"/>
    </row>
    <row r="166">
      <c r="A166" s="73" t="n"/>
      <c r="B166" s="57" t="n"/>
      <c r="C166" s="57" t="n"/>
      <c r="D166" s="58" t="n"/>
      <c r="E166" s="74" t="n"/>
      <c r="F166" s="60">
        <f>IF($A166="","",Inputs!$C$15)</f>
        <v/>
      </c>
      <c r="G166" s="50">
        <f>IF($A166="","",$D166*$F166)</f>
        <v/>
      </c>
      <c r="H166" s="61">
        <f>IF($A166="","",$D166*$E166)</f>
        <v/>
      </c>
      <c r="I166" s="57" t="n"/>
      <c r="J166" s="75" t="n"/>
      <c r="K166" s="61">
        <f>IF($A166="","",$G166*$J166)</f>
        <v/>
      </c>
      <c r="L166" s="64">
        <f>IF($A166="","",EOMONTH($A166,0))</f>
        <v/>
      </c>
      <c r="M166" s="57" t="n"/>
      <c r="N166" s="57" t="n"/>
    </row>
    <row r="167">
      <c r="A167" s="68" t="n"/>
      <c r="B167" s="69" t="n"/>
      <c r="C167" s="69" t="n"/>
      <c r="D167" s="70" t="n"/>
      <c r="E167" s="71" t="n"/>
      <c r="F167" s="65">
        <f>IF($A167="","",Inputs!$C$15)</f>
        <v/>
      </c>
      <c r="G167" s="50">
        <f>IF($A167="","",$D167*$F167)</f>
        <v/>
      </c>
      <c r="H167" s="66">
        <f>IF($A167="","",$D167*$E167)</f>
        <v/>
      </c>
      <c r="I167" s="69" t="n"/>
      <c r="J167" s="72" t="n"/>
      <c r="K167" s="66">
        <f>IF($A167="","",$G167*$J167)</f>
        <v/>
      </c>
      <c r="L167" s="67">
        <f>IF($A167="","",EOMONTH($A167,0))</f>
        <v/>
      </c>
      <c r="M167" s="69" t="n"/>
      <c r="N167" s="69" t="n"/>
    </row>
    <row r="168">
      <c r="A168" s="73" t="n"/>
      <c r="B168" s="57" t="n"/>
      <c r="C168" s="57" t="n"/>
      <c r="D168" s="58" t="n"/>
      <c r="E168" s="74" t="n"/>
      <c r="F168" s="60">
        <f>IF($A168="","",Inputs!$C$15)</f>
        <v/>
      </c>
      <c r="G168" s="50">
        <f>IF($A168="","",$D168*$F168)</f>
        <v/>
      </c>
      <c r="H168" s="61">
        <f>IF($A168="","",$D168*$E168)</f>
        <v/>
      </c>
      <c r="I168" s="57" t="n"/>
      <c r="J168" s="75" t="n"/>
      <c r="K168" s="61">
        <f>IF($A168="","",$G168*$J168)</f>
        <v/>
      </c>
      <c r="L168" s="64">
        <f>IF($A168="","",EOMONTH($A168,0))</f>
        <v/>
      </c>
      <c r="M168" s="57" t="n"/>
      <c r="N168" s="57" t="n"/>
    </row>
    <row r="169">
      <c r="A169" s="68" t="n"/>
      <c r="B169" s="69" t="n"/>
      <c r="C169" s="69" t="n"/>
      <c r="D169" s="70" t="n"/>
      <c r="E169" s="71" t="n"/>
      <c r="F169" s="65">
        <f>IF($A169="","",Inputs!$C$15)</f>
        <v/>
      </c>
      <c r="G169" s="50">
        <f>IF($A169="","",$D169*$F169)</f>
        <v/>
      </c>
      <c r="H169" s="66">
        <f>IF($A169="","",$D169*$E169)</f>
        <v/>
      </c>
      <c r="I169" s="69" t="n"/>
      <c r="J169" s="72" t="n"/>
      <c r="K169" s="66">
        <f>IF($A169="","",$G169*$J169)</f>
        <v/>
      </c>
      <c r="L169" s="67">
        <f>IF($A169="","",EOMONTH($A169,0))</f>
        <v/>
      </c>
      <c r="M169" s="69" t="n"/>
      <c r="N169" s="69" t="n"/>
    </row>
    <row r="170">
      <c r="A170" s="73" t="n"/>
      <c r="B170" s="57" t="n"/>
      <c r="C170" s="57" t="n"/>
      <c r="D170" s="58" t="n"/>
      <c r="E170" s="74" t="n"/>
      <c r="F170" s="60">
        <f>IF($A170="","",Inputs!$C$15)</f>
        <v/>
      </c>
      <c r="G170" s="50">
        <f>IF($A170="","",$D170*$F170)</f>
        <v/>
      </c>
      <c r="H170" s="61">
        <f>IF($A170="","",$D170*$E170)</f>
        <v/>
      </c>
      <c r="I170" s="57" t="n"/>
      <c r="J170" s="75" t="n"/>
      <c r="K170" s="61">
        <f>IF($A170="","",$G170*$J170)</f>
        <v/>
      </c>
      <c r="L170" s="64">
        <f>IF($A170="","",EOMONTH($A170,0))</f>
        <v/>
      </c>
      <c r="M170" s="57" t="n"/>
      <c r="N170" s="57" t="n"/>
    </row>
    <row r="171">
      <c r="A171" s="68" t="n"/>
      <c r="B171" s="69" t="n"/>
      <c r="C171" s="69" t="n"/>
      <c r="D171" s="70" t="n"/>
      <c r="E171" s="71" t="n"/>
      <c r="F171" s="65">
        <f>IF($A171="","",Inputs!$C$15)</f>
        <v/>
      </c>
      <c r="G171" s="50">
        <f>IF($A171="","",$D171*$F171)</f>
        <v/>
      </c>
      <c r="H171" s="66">
        <f>IF($A171="","",$D171*$E171)</f>
        <v/>
      </c>
      <c r="I171" s="69" t="n"/>
      <c r="J171" s="72" t="n"/>
      <c r="K171" s="66">
        <f>IF($A171="","",$G171*$J171)</f>
        <v/>
      </c>
      <c r="L171" s="67">
        <f>IF($A171="","",EOMONTH($A171,0))</f>
        <v/>
      </c>
      <c r="M171" s="69" t="n"/>
      <c r="N171" s="69" t="n"/>
    </row>
    <row r="172">
      <c r="A172" s="73" t="n"/>
      <c r="B172" s="57" t="n"/>
      <c r="C172" s="57" t="n"/>
      <c r="D172" s="58" t="n"/>
      <c r="E172" s="74" t="n"/>
      <c r="F172" s="60">
        <f>IF($A172="","",Inputs!$C$15)</f>
        <v/>
      </c>
      <c r="G172" s="50">
        <f>IF($A172="","",$D172*$F172)</f>
        <v/>
      </c>
      <c r="H172" s="61">
        <f>IF($A172="","",$D172*$E172)</f>
        <v/>
      </c>
      <c r="I172" s="57" t="n"/>
      <c r="J172" s="75" t="n"/>
      <c r="K172" s="61">
        <f>IF($A172="","",$G172*$J172)</f>
        <v/>
      </c>
      <c r="L172" s="64">
        <f>IF($A172="","",EOMONTH($A172,0))</f>
        <v/>
      </c>
      <c r="M172" s="57" t="n"/>
      <c r="N172" s="57" t="n"/>
    </row>
    <row r="173">
      <c r="A173" s="68" t="n"/>
      <c r="B173" s="69" t="n"/>
      <c r="C173" s="69" t="n"/>
      <c r="D173" s="70" t="n"/>
      <c r="E173" s="71" t="n"/>
      <c r="F173" s="65">
        <f>IF($A173="","",Inputs!$C$15)</f>
        <v/>
      </c>
      <c r="G173" s="50">
        <f>IF($A173="","",$D173*$F173)</f>
        <v/>
      </c>
      <c r="H173" s="66">
        <f>IF($A173="","",$D173*$E173)</f>
        <v/>
      </c>
      <c r="I173" s="69" t="n"/>
      <c r="J173" s="72" t="n"/>
      <c r="K173" s="66">
        <f>IF($A173="","",$G173*$J173)</f>
        <v/>
      </c>
      <c r="L173" s="67">
        <f>IF($A173="","",EOMONTH($A173,0))</f>
        <v/>
      </c>
      <c r="M173" s="69" t="n"/>
      <c r="N173" s="69" t="n"/>
    </row>
    <row r="174">
      <c r="A174" s="73" t="n"/>
      <c r="B174" s="57" t="n"/>
      <c r="C174" s="57" t="n"/>
      <c r="D174" s="58" t="n"/>
      <c r="E174" s="74" t="n"/>
      <c r="F174" s="60">
        <f>IF($A174="","",Inputs!$C$15)</f>
        <v/>
      </c>
      <c r="G174" s="50">
        <f>IF($A174="","",$D174*$F174)</f>
        <v/>
      </c>
      <c r="H174" s="61">
        <f>IF($A174="","",$D174*$E174)</f>
        <v/>
      </c>
      <c r="I174" s="57" t="n"/>
      <c r="J174" s="75" t="n"/>
      <c r="K174" s="61">
        <f>IF($A174="","",$G174*$J174)</f>
        <v/>
      </c>
      <c r="L174" s="64">
        <f>IF($A174="","",EOMONTH($A174,0))</f>
        <v/>
      </c>
      <c r="M174" s="57" t="n"/>
      <c r="N174" s="57" t="n"/>
    </row>
    <row r="175">
      <c r="A175" s="68" t="n"/>
      <c r="B175" s="69" t="n"/>
      <c r="C175" s="69" t="n"/>
      <c r="D175" s="70" t="n"/>
      <c r="E175" s="71" t="n"/>
      <c r="F175" s="65">
        <f>IF($A175="","",Inputs!$C$15)</f>
        <v/>
      </c>
      <c r="G175" s="50">
        <f>IF($A175="","",$D175*$F175)</f>
        <v/>
      </c>
      <c r="H175" s="66">
        <f>IF($A175="","",$D175*$E175)</f>
        <v/>
      </c>
      <c r="I175" s="69" t="n"/>
      <c r="J175" s="72" t="n"/>
      <c r="K175" s="66">
        <f>IF($A175="","",$G175*$J175)</f>
        <v/>
      </c>
      <c r="L175" s="67">
        <f>IF($A175="","",EOMONTH($A175,0))</f>
        <v/>
      </c>
      <c r="M175" s="69" t="n"/>
      <c r="N175" s="69" t="n"/>
    </row>
    <row r="176">
      <c r="A176" s="73" t="n"/>
      <c r="B176" s="57" t="n"/>
      <c r="C176" s="57" t="n"/>
      <c r="D176" s="58" t="n"/>
      <c r="E176" s="74" t="n"/>
      <c r="F176" s="60">
        <f>IF($A176="","",Inputs!$C$15)</f>
        <v/>
      </c>
      <c r="G176" s="50">
        <f>IF($A176="","",$D176*$F176)</f>
        <v/>
      </c>
      <c r="H176" s="61">
        <f>IF($A176="","",$D176*$E176)</f>
        <v/>
      </c>
      <c r="I176" s="57" t="n"/>
      <c r="J176" s="75" t="n"/>
      <c r="K176" s="61">
        <f>IF($A176="","",$G176*$J176)</f>
        <v/>
      </c>
      <c r="L176" s="64">
        <f>IF($A176="","",EOMONTH($A176,0))</f>
        <v/>
      </c>
      <c r="M176" s="57" t="n"/>
      <c r="N176" s="57" t="n"/>
    </row>
    <row r="177">
      <c r="A177" s="68" t="n"/>
      <c r="B177" s="69" t="n"/>
      <c r="C177" s="69" t="n"/>
      <c r="D177" s="70" t="n"/>
      <c r="E177" s="71" t="n"/>
      <c r="F177" s="65">
        <f>IF($A177="","",Inputs!$C$15)</f>
        <v/>
      </c>
      <c r="G177" s="50">
        <f>IF($A177="","",$D177*$F177)</f>
        <v/>
      </c>
      <c r="H177" s="66">
        <f>IF($A177="","",$D177*$E177)</f>
        <v/>
      </c>
      <c r="I177" s="69" t="n"/>
      <c r="J177" s="72" t="n"/>
      <c r="K177" s="66">
        <f>IF($A177="","",$G177*$J177)</f>
        <v/>
      </c>
      <c r="L177" s="67">
        <f>IF($A177="","",EOMONTH($A177,0))</f>
        <v/>
      </c>
      <c r="M177" s="69" t="n"/>
      <c r="N177" s="69" t="n"/>
    </row>
    <row r="178">
      <c r="A178" s="73" t="n"/>
      <c r="B178" s="57" t="n"/>
      <c r="C178" s="57" t="n"/>
      <c r="D178" s="58" t="n"/>
      <c r="E178" s="74" t="n"/>
      <c r="F178" s="60">
        <f>IF($A178="","",Inputs!$C$15)</f>
        <v/>
      </c>
      <c r="G178" s="50">
        <f>IF($A178="","",$D178*$F178)</f>
        <v/>
      </c>
      <c r="H178" s="61">
        <f>IF($A178="","",$D178*$E178)</f>
        <v/>
      </c>
      <c r="I178" s="57" t="n"/>
      <c r="J178" s="75" t="n"/>
      <c r="K178" s="61">
        <f>IF($A178="","",$G178*$J178)</f>
        <v/>
      </c>
      <c r="L178" s="64">
        <f>IF($A178="","",EOMONTH($A178,0))</f>
        <v/>
      </c>
      <c r="M178" s="57" t="n"/>
      <c r="N178" s="57" t="n"/>
    </row>
    <row r="179">
      <c r="A179" s="68" t="n"/>
      <c r="B179" s="69" t="n"/>
      <c r="C179" s="69" t="n"/>
      <c r="D179" s="70" t="n"/>
      <c r="E179" s="71" t="n"/>
      <c r="F179" s="65">
        <f>IF($A179="","",Inputs!$C$15)</f>
        <v/>
      </c>
      <c r="G179" s="50">
        <f>IF($A179="","",$D179*$F179)</f>
        <v/>
      </c>
      <c r="H179" s="66">
        <f>IF($A179="","",$D179*$E179)</f>
        <v/>
      </c>
      <c r="I179" s="69" t="n"/>
      <c r="J179" s="72" t="n"/>
      <c r="K179" s="66">
        <f>IF($A179="","",$G179*$J179)</f>
        <v/>
      </c>
      <c r="L179" s="67">
        <f>IF($A179="","",EOMONTH($A179,0))</f>
        <v/>
      </c>
      <c r="M179" s="69" t="n"/>
      <c r="N179" s="69" t="n"/>
    </row>
    <row r="180">
      <c r="A180" s="73" t="n"/>
      <c r="B180" s="57" t="n"/>
      <c r="C180" s="57" t="n"/>
      <c r="D180" s="58" t="n"/>
      <c r="E180" s="74" t="n"/>
      <c r="F180" s="60">
        <f>IF($A180="","",Inputs!$C$15)</f>
        <v/>
      </c>
      <c r="G180" s="50">
        <f>IF($A180="","",$D180*$F180)</f>
        <v/>
      </c>
      <c r="H180" s="61">
        <f>IF($A180="","",$D180*$E180)</f>
        <v/>
      </c>
      <c r="I180" s="57" t="n"/>
      <c r="J180" s="75" t="n"/>
      <c r="K180" s="61">
        <f>IF($A180="","",$G180*$J180)</f>
        <v/>
      </c>
      <c r="L180" s="64">
        <f>IF($A180="","",EOMONTH($A180,0))</f>
        <v/>
      </c>
      <c r="M180" s="57" t="n"/>
      <c r="N180" s="57" t="n"/>
    </row>
    <row r="181">
      <c r="A181" s="68" t="n"/>
      <c r="B181" s="69" t="n"/>
      <c r="C181" s="69" t="n"/>
      <c r="D181" s="70" t="n"/>
      <c r="E181" s="71" t="n"/>
      <c r="F181" s="65">
        <f>IF($A181="","",Inputs!$C$15)</f>
        <v/>
      </c>
      <c r="G181" s="50">
        <f>IF($A181="","",$D181*$F181)</f>
        <v/>
      </c>
      <c r="H181" s="66">
        <f>IF($A181="","",$D181*$E181)</f>
        <v/>
      </c>
      <c r="I181" s="69" t="n"/>
      <c r="J181" s="72" t="n"/>
      <c r="K181" s="66">
        <f>IF($A181="","",$G181*$J181)</f>
        <v/>
      </c>
      <c r="L181" s="67">
        <f>IF($A181="","",EOMONTH($A181,0))</f>
        <v/>
      </c>
      <c r="M181" s="69" t="n"/>
      <c r="N181" s="69" t="n"/>
    </row>
    <row r="182">
      <c r="A182" s="73" t="n"/>
      <c r="B182" s="57" t="n"/>
      <c r="C182" s="57" t="n"/>
      <c r="D182" s="58" t="n"/>
      <c r="E182" s="74" t="n"/>
      <c r="F182" s="60">
        <f>IF($A182="","",Inputs!$C$15)</f>
        <v/>
      </c>
      <c r="G182" s="50">
        <f>IF($A182="","",$D182*$F182)</f>
        <v/>
      </c>
      <c r="H182" s="61">
        <f>IF($A182="","",$D182*$E182)</f>
        <v/>
      </c>
      <c r="I182" s="57" t="n"/>
      <c r="J182" s="75" t="n"/>
      <c r="K182" s="61">
        <f>IF($A182="","",$G182*$J182)</f>
        <v/>
      </c>
      <c r="L182" s="64">
        <f>IF($A182="","",EOMONTH($A182,0))</f>
        <v/>
      </c>
      <c r="M182" s="57" t="n"/>
      <c r="N182" s="57" t="n"/>
    </row>
    <row r="183">
      <c r="A183" s="68" t="n"/>
      <c r="B183" s="69" t="n"/>
      <c r="C183" s="69" t="n"/>
      <c r="D183" s="70" t="n"/>
      <c r="E183" s="71" t="n"/>
      <c r="F183" s="65">
        <f>IF($A183="","",Inputs!$C$15)</f>
        <v/>
      </c>
      <c r="G183" s="50">
        <f>IF($A183="","",$D183*$F183)</f>
        <v/>
      </c>
      <c r="H183" s="66">
        <f>IF($A183="","",$D183*$E183)</f>
        <v/>
      </c>
      <c r="I183" s="69" t="n"/>
      <c r="J183" s="72" t="n"/>
      <c r="K183" s="66">
        <f>IF($A183="","",$G183*$J183)</f>
        <v/>
      </c>
      <c r="L183" s="67">
        <f>IF($A183="","",EOMONTH($A183,0))</f>
        <v/>
      </c>
      <c r="M183" s="69" t="n"/>
      <c r="N183" s="69" t="n"/>
    </row>
    <row r="184">
      <c r="A184" s="73" t="n"/>
      <c r="B184" s="57" t="n"/>
      <c r="C184" s="57" t="n"/>
      <c r="D184" s="58" t="n"/>
      <c r="E184" s="74" t="n"/>
      <c r="F184" s="60">
        <f>IF($A184="","",Inputs!$C$15)</f>
        <v/>
      </c>
      <c r="G184" s="50">
        <f>IF($A184="","",$D184*$F184)</f>
        <v/>
      </c>
      <c r="H184" s="61">
        <f>IF($A184="","",$D184*$E184)</f>
        <v/>
      </c>
      <c r="I184" s="57" t="n"/>
      <c r="J184" s="75" t="n"/>
      <c r="K184" s="61">
        <f>IF($A184="","",$G184*$J184)</f>
        <v/>
      </c>
      <c r="L184" s="64">
        <f>IF($A184="","",EOMONTH($A184,0))</f>
        <v/>
      </c>
      <c r="M184" s="57" t="n"/>
      <c r="N184" s="57" t="n"/>
    </row>
    <row r="185">
      <c r="A185" s="68" t="n"/>
      <c r="B185" s="69" t="n"/>
      <c r="C185" s="69" t="n"/>
      <c r="D185" s="70" t="n"/>
      <c r="E185" s="71" t="n"/>
      <c r="F185" s="65">
        <f>IF($A185="","",Inputs!$C$15)</f>
        <v/>
      </c>
      <c r="G185" s="50">
        <f>IF($A185="","",$D185*$F185)</f>
        <v/>
      </c>
      <c r="H185" s="66">
        <f>IF($A185="","",$D185*$E185)</f>
        <v/>
      </c>
      <c r="I185" s="69" t="n"/>
      <c r="J185" s="72" t="n"/>
      <c r="K185" s="66">
        <f>IF($A185="","",$G185*$J185)</f>
        <v/>
      </c>
      <c r="L185" s="67">
        <f>IF($A185="","",EOMONTH($A185,0))</f>
        <v/>
      </c>
      <c r="M185" s="69" t="n"/>
      <c r="N185" s="69" t="n"/>
    </row>
    <row r="186">
      <c r="A186" s="73" t="n"/>
      <c r="B186" s="57" t="n"/>
      <c r="C186" s="57" t="n"/>
      <c r="D186" s="58" t="n"/>
      <c r="E186" s="74" t="n"/>
      <c r="F186" s="60">
        <f>IF($A186="","",Inputs!$C$15)</f>
        <v/>
      </c>
      <c r="G186" s="50">
        <f>IF($A186="","",$D186*$F186)</f>
        <v/>
      </c>
      <c r="H186" s="61">
        <f>IF($A186="","",$D186*$E186)</f>
        <v/>
      </c>
      <c r="I186" s="57" t="n"/>
      <c r="J186" s="75" t="n"/>
      <c r="K186" s="61">
        <f>IF($A186="","",$G186*$J186)</f>
        <v/>
      </c>
      <c r="L186" s="64">
        <f>IF($A186="","",EOMONTH($A186,0))</f>
        <v/>
      </c>
      <c r="M186" s="57" t="n"/>
      <c r="N186" s="57" t="n"/>
    </row>
    <row r="187">
      <c r="A187" s="68" t="n"/>
      <c r="B187" s="69" t="n"/>
      <c r="C187" s="69" t="n"/>
      <c r="D187" s="70" t="n"/>
      <c r="E187" s="71" t="n"/>
      <c r="F187" s="65">
        <f>IF($A187="","",Inputs!$C$15)</f>
        <v/>
      </c>
      <c r="G187" s="50">
        <f>IF($A187="","",$D187*$F187)</f>
        <v/>
      </c>
      <c r="H187" s="66">
        <f>IF($A187="","",$D187*$E187)</f>
        <v/>
      </c>
      <c r="I187" s="69" t="n"/>
      <c r="J187" s="72" t="n"/>
      <c r="K187" s="66">
        <f>IF($A187="","",$G187*$J187)</f>
        <v/>
      </c>
      <c r="L187" s="67">
        <f>IF($A187="","",EOMONTH($A187,0))</f>
        <v/>
      </c>
      <c r="M187" s="69" t="n"/>
      <c r="N187" s="69" t="n"/>
    </row>
    <row r="188">
      <c r="A188" s="73" t="n"/>
      <c r="B188" s="57" t="n"/>
      <c r="C188" s="57" t="n"/>
      <c r="D188" s="58" t="n"/>
      <c r="E188" s="74" t="n"/>
      <c r="F188" s="60">
        <f>IF($A188="","",Inputs!$C$15)</f>
        <v/>
      </c>
      <c r="G188" s="50">
        <f>IF($A188="","",$D188*$F188)</f>
        <v/>
      </c>
      <c r="H188" s="61">
        <f>IF($A188="","",$D188*$E188)</f>
        <v/>
      </c>
      <c r="I188" s="57" t="n"/>
      <c r="J188" s="75" t="n"/>
      <c r="K188" s="61">
        <f>IF($A188="","",$G188*$J188)</f>
        <v/>
      </c>
      <c r="L188" s="64">
        <f>IF($A188="","",EOMONTH($A188,0))</f>
        <v/>
      </c>
      <c r="M188" s="57" t="n"/>
      <c r="N188" s="57" t="n"/>
    </row>
    <row r="189">
      <c r="A189" s="68" t="n"/>
      <c r="B189" s="69" t="n"/>
      <c r="C189" s="69" t="n"/>
      <c r="D189" s="70" t="n"/>
      <c r="E189" s="71" t="n"/>
      <c r="F189" s="65">
        <f>IF($A189="","",Inputs!$C$15)</f>
        <v/>
      </c>
      <c r="G189" s="50">
        <f>IF($A189="","",$D189*$F189)</f>
        <v/>
      </c>
      <c r="H189" s="66">
        <f>IF($A189="","",$D189*$E189)</f>
        <v/>
      </c>
      <c r="I189" s="69" t="n"/>
      <c r="J189" s="72" t="n"/>
      <c r="K189" s="66">
        <f>IF($A189="","",$G189*$J189)</f>
        <v/>
      </c>
      <c r="L189" s="67">
        <f>IF($A189="","",EOMONTH($A189,0))</f>
        <v/>
      </c>
      <c r="M189" s="69" t="n"/>
      <c r="N189" s="69" t="n"/>
    </row>
    <row r="190">
      <c r="A190" s="73" t="n"/>
      <c r="B190" s="57" t="n"/>
      <c r="C190" s="57" t="n"/>
      <c r="D190" s="58" t="n"/>
      <c r="E190" s="74" t="n"/>
      <c r="F190" s="60">
        <f>IF($A190="","",Inputs!$C$15)</f>
        <v/>
      </c>
      <c r="G190" s="50">
        <f>IF($A190="","",$D190*$F190)</f>
        <v/>
      </c>
      <c r="H190" s="61">
        <f>IF($A190="","",$D190*$E190)</f>
        <v/>
      </c>
      <c r="I190" s="57" t="n"/>
      <c r="J190" s="75" t="n"/>
      <c r="K190" s="61">
        <f>IF($A190="","",$G190*$J190)</f>
        <v/>
      </c>
      <c r="L190" s="64">
        <f>IF($A190="","",EOMONTH($A190,0))</f>
        <v/>
      </c>
      <c r="M190" s="57" t="n"/>
      <c r="N190" s="57" t="n"/>
    </row>
    <row r="191">
      <c r="A191" s="68" t="n"/>
      <c r="B191" s="69" t="n"/>
      <c r="C191" s="69" t="n"/>
      <c r="D191" s="70" t="n"/>
      <c r="E191" s="71" t="n"/>
      <c r="F191" s="65">
        <f>IF($A191="","",Inputs!$C$15)</f>
        <v/>
      </c>
      <c r="G191" s="50">
        <f>IF($A191="","",$D191*$F191)</f>
        <v/>
      </c>
      <c r="H191" s="66">
        <f>IF($A191="","",$D191*$E191)</f>
        <v/>
      </c>
      <c r="I191" s="69" t="n"/>
      <c r="J191" s="72" t="n"/>
      <c r="K191" s="66">
        <f>IF($A191="","",$G191*$J191)</f>
        <v/>
      </c>
      <c r="L191" s="67">
        <f>IF($A191="","",EOMONTH($A191,0))</f>
        <v/>
      </c>
      <c r="M191" s="69" t="n"/>
      <c r="N191" s="69" t="n"/>
    </row>
    <row r="192">
      <c r="A192" s="73" t="n"/>
      <c r="B192" s="57" t="n"/>
      <c r="C192" s="57" t="n"/>
      <c r="D192" s="58" t="n"/>
      <c r="E192" s="74" t="n"/>
      <c r="F192" s="60">
        <f>IF($A192="","",Inputs!$C$15)</f>
        <v/>
      </c>
      <c r="G192" s="50">
        <f>IF($A192="","",$D192*$F192)</f>
        <v/>
      </c>
      <c r="H192" s="61">
        <f>IF($A192="","",$D192*$E192)</f>
        <v/>
      </c>
      <c r="I192" s="57" t="n"/>
      <c r="J192" s="75" t="n"/>
      <c r="K192" s="61">
        <f>IF($A192="","",$G192*$J192)</f>
        <v/>
      </c>
      <c r="L192" s="64">
        <f>IF($A192="","",EOMONTH($A192,0))</f>
        <v/>
      </c>
      <c r="M192" s="57" t="n"/>
      <c r="N192" s="57" t="n"/>
    </row>
    <row r="193">
      <c r="A193" s="68" t="n"/>
      <c r="B193" s="69" t="n"/>
      <c r="C193" s="69" t="n"/>
      <c r="D193" s="70" t="n"/>
      <c r="E193" s="71" t="n"/>
      <c r="F193" s="65">
        <f>IF($A193="","",Inputs!$C$15)</f>
        <v/>
      </c>
      <c r="G193" s="50">
        <f>IF($A193="","",$D193*$F193)</f>
        <v/>
      </c>
      <c r="H193" s="66">
        <f>IF($A193="","",$D193*$E193)</f>
        <v/>
      </c>
      <c r="I193" s="69" t="n"/>
      <c r="J193" s="72" t="n"/>
      <c r="K193" s="66">
        <f>IF($A193="","",$G193*$J193)</f>
        <v/>
      </c>
      <c r="L193" s="67">
        <f>IF($A193="","",EOMONTH($A193,0))</f>
        <v/>
      </c>
      <c r="M193" s="69" t="n"/>
      <c r="N193" s="69" t="n"/>
    </row>
    <row r="194">
      <c r="A194" s="73" t="n"/>
      <c r="B194" s="57" t="n"/>
      <c r="C194" s="57" t="n"/>
      <c r="D194" s="58" t="n"/>
      <c r="E194" s="74" t="n"/>
      <c r="F194" s="60">
        <f>IF($A194="","",Inputs!$C$15)</f>
        <v/>
      </c>
      <c r="G194" s="50">
        <f>IF($A194="","",$D194*$F194)</f>
        <v/>
      </c>
      <c r="H194" s="61">
        <f>IF($A194="","",$D194*$E194)</f>
        <v/>
      </c>
      <c r="I194" s="57" t="n"/>
      <c r="J194" s="75" t="n"/>
      <c r="K194" s="61">
        <f>IF($A194="","",$G194*$J194)</f>
        <v/>
      </c>
      <c r="L194" s="64">
        <f>IF($A194="","",EOMONTH($A194,0))</f>
        <v/>
      </c>
      <c r="M194" s="57" t="n"/>
      <c r="N194" s="57" t="n"/>
    </row>
    <row r="195">
      <c r="A195" s="68" t="n"/>
      <c r="B195" s="69" t="n"/>
      <c r="C195" s="69" t="n"/>
      <c r="D195" s="70" t="n"/>
      <c r="E195" s="71" t="n"/>
      <c r="F195" s="65">
        <f>IF($A195="","",Inputs!$C$15)</f>
        <v/>
      </c>
      <c r="G195" s="50">
        <f>IF($A195="","",$D195*$F195)</f>
        <v/>
      </c>
      <c r="H195" s="66">
        <f>IF($A195="","",$D195*$E195)</f>
        <v/>
      </c>
      <c r="I195" s="69" t="n"/>
      <c r="J195" s="72" t="n"/>
      <c r="K195" s="66">
        <f>IF($A195="","",$G195*$J195)</f>
        <v/>
      </c>
      <c r="L195" s="67">
        <f>IF($A195="","",EOMONTH($A195,0))</f>
        <v/>
      </c>
      <c r="M195" s="69" t="n"/>
      <c r="N195" s="69" t="n"/>
    </row>
    <row r="196">
      <c r="A196" s="73" t="n"/>
      <c r="B196" s="57" t="n"/>
      <c r="C196" s="57" t="n"/>
      <c r="D196" s="58" t="n"/>
      <c r="E196" s="74" t="n"/>
      <c r="F196" s="60">
        <f>IF($A196="","",Inputs!$C$15)</f>
        <v/>
      </c>
      <c r="G196" s="50">
        <f>IF($A196="","",$D196*$F196)</f>
        <v/>
      </c>
      <c r="H196" s="61">
        <f>IF($A196="","",$D196*$E196)</f>
        <v/>
      </c>
      <c r="I196" s="57" t="n"/>
      <c r="J196" s="75" t="n"/>
      <c r="K196" s="61">
        <f>IF($A196="","",$G196*$J196)</f>
        <v/>
      </c>
      <c r="L196" s="64">
        <f>IF($A196="","",EOMONTH($A196,0))</f>
        <v/>
      </c>
      <c r="M196" s="57" t="n"/>
      <c r="N196" s="57" t="n"/>
    </row>
    <row r="197">
      <c r="A197" s="68" t="n"/>
      <c r="B197" s="69" t="n"/>
      <c r="C197" s="69" t="n"/>
      <c r="D197" s="70" t="n"/>
      <c r="E197" s="71" t="n"/>
      <c r="F197" s="65">
        <f>IF($A197="","",Inputs!$C$15)</f>
        <v/>
      </c>
      <c r="G197" s="50">
        <f>IF($A197="","",$D197*$F197)</f>
        <v/>
      </c>
      <c r="H197" s="66">
        <f>IF($A197="","",$D197*$E197)</f>
        <v/>
      </c>
      <c r="I197" s="69" t="n"/>
      <c r="J197" s="72" t="n"/>
      <c r="K197" s="66">
        <f>IF($A197="","",$G197*$J197)</f>
        <v/>
      </c>
      <c r="L197" s="67">
        <f>IF($A197="","",EOMONTH($A197,0))</f>
        <v/>
      </c>
      <c r="M197" s="69" t="n"/>
      <c r="N197" s="69" t="n"/>
    </row>
    <row r="198">
      <c r="A198" s="73" t="n"/>
      <c r="B198" s="57" t="n"/>
      <c r="C198" s="57" t="n"/>
      <c r="D198" s="58" t="n"/>
      <c r="E198" s="74" t="n"/>
      <c r="F198" s="60">
        <f>IF($A198="","",Inputs!$C$15)</f>
        <v/>
      </c>
      <c r="G198" s="50">
        <f>IF($A198="","",$D198*$F198)</f>
        <v/>
      </c>
      <c r="H198" s="61">
        <f>IF($A198="","",$D198*$E198)</f>
        <v/>
      </c>
      <c r="I198" s="57" t="n"/>
      <c r="J198" s="75" t="n"/>
      <c r="K198" s="61">
        <f>IF($A198="","",$G198*$J198)</f>
        <v/>
      </c>
      <c r="L198" s="64">
        <f>IF($A198="","",EOMONTH($A198,0))</f>
        <v/>
      </c>
      <c r="M198" s="57" t="n"/>
      <c r="N198" s="57" t="n"/>
    </row>
    <row r="199">
      <c r="A199" s="68" t="n"/>
      <c r="B199" s="69" t="n"/>
      <c r="C199" s="69" t="n"/>
      <c r="D199" s="70" t="n"/>
      <c r="E199" s="71" t="n"/>
      <c r="F199" s="65">
        <f>IF($A199="","",Inputs!$C$15)</f>
        <v/>
      </c>
      <c r="G199" s="50">
        <f>IF($A199="","",$D199*$F199)</f>
        <v/>
      </c>
      <c r="H199" s="66">
        <f>IF($A199="","",$D199*$E199)</f>
        <v/>
      </c>
      <c r="I199" s="69" t="n"/>
      <c r="J199" s="72" t="n"/>
      <c r="K199" s="66">
        <f>IF($A199="","",$G199*$J199)</f>
        <v/>
      </c>
      <c r="L199" s="67">
        <f>IF($A199="","",EOMONTH($A199,0))</f>
        <v/>
      </c>
      <c r="M199" s="69" t="n"/>
      <c r="N199" s="69" t="n"/>
    </row>
    <row r="200">
      <c r="A200" s="73" t="n"/>
      <c r="B200" s="57" t="n"/>
      <c r="C200" s="57" t="n"/>
      <c r="D200" s="58" t="n"/>
      <c r="E200" s="74" t="n"/>
      <c r="F200" s="60">
        <f>IF($A200="","",Inputs!$C$15)</f>
        <v/>
      </c>
      <c r="G200" s="50">
        <f>IF($A200="","",$D200*$F200)</f>
        <v/>
      </c>
      <c r="H200" s="61">
        <f>IF($A200="","",$D200*$E200)</f>
        <v/>
      </c>
      <c r="I200" s="57" t="n"/>
      <c r="J200" s="75" t="n"/>
      <c r="K200" s="61">
        <f>IF($A200="","",$G200*$J200)</f>
        <v/>
      </c>
      <c r="L200" s="64">
        <f>IF($A200="","",EOMONTH($A200,0))</f>
        <v/>
      </c>
      <c r="M200" s="57" t="n"/>
      <c r="N200" s="57" t="n"/>
    </row>
    <row r="201">
      <c r="A201" s="68" t="n"/>
      <c r="B201" s="69" t="n"/>
      <c r="C201" s="69" t="n"/>
      <c r="D201" s="70" t="n"/>
      <c r="E201" s="71" t="n"/>
      <c r="F201" s="65">
        <f>IF($A201="","",Inputs!$C$15)</f>
        <v/>
      </c>
      <c r="G201" s="50">
        <f>IF($A201="","",$D201*$F201)</f>
        <v/>
      </c>
      <c r="H201" s="66">
        <f>IF($A201="","",$D201*$E201)</f>
        <v/>
      </c>
      <c r="I201" s="69" t="n"/>
      <c r="J201" s="72" t="n"/>
      <c r="K201" s="66">
        <f>IF($A201="","",$G201*$J201)</f>
        <v/>
      </c>
      <c r="L201" s="67">
        <f>IF($A201="","",EOMONTH($A201,0))</f>
        <v/>
      </c>
      <c r="M201" s="69" t="n"/>
      <c r="N201" s="69" t="n"/>
    </row>
    <row r="202">
      <c r="A202" s="73" t="n"/>
      <c r="B202" s="57" t="n"/>
      <c r="C202" s="57" t="n"/>
      <c r="D202" s="58" t="n"/>
      <c r="E202" s="74" t="n"/>
      <c r="F202" s="60">
        <f>IF($A202="","",Inputs!$C$15)</f>
        <v/>
      </c>
      <c r="G202" s="50">
        <f>IF($A202="","",$D202*$F202)</f>
        <v/>
      </c>
      <c r="H202" s="61">
        <f>IF($A202="","",$D202*$E202)</f>
        <v/>
      </c>
      <c r="I202" s="57" t="n"/>
      <c r="J202" s="75" t="n"/>
      <c r="K202" s="61">
        <f>IF($A202="","",$G202*$J202)</f>
        <v/>
      </c>
      <c r="L202" s="64">
        <f>IF($A202="","",EOMONTH($A202,0))</f>
        <v/>
      </c>
      <c r="M202" s="57" t="n"/>
      <c r="N202" s="57" t="n"/>
    </row>
    <row r="203">
      <c r="A203" s="68" t="n"/>
      <c r="B203" s="69" t="n"/>
      <c r="C203" s="69" t="n"/>
      <c r="D203" s="70" t="n"/>
      <c r="E203" s="71" t="n"/>
      <c r="F203" s="65">
        <f>IF($A203="","",Inputs!$C$15)</f>
        <v/>
      </c>
      <c r="G203" s="50">
        <f>IF($A203="","",$D203*$F203)</f>
        <v/>
      </c>
      <c r="H203" s="66">
        <f>IF($A203="","",$D203*$E203)</f>
        <v/>
      </c>
      <c r="I203" s="69" t="n"/>
      <c r="J203" s="72" t="n"/>
      <c r="K203" s="66">
        <f>IF($A203="","",$G203*$J203)</f>
        <v/>
      </c>
      <c r="L203" s="67">
        <f>IF($A203="","",EOMONTH($A203,0))</f>
        <v/>
      </c>
      <c r="M203" s="69" t="n"/>
      <c r="N203" s="69" t="n"/>
    </row>
    <row r="204">
      <c r="A204" s="73" t="n"/>
      <c r="B204" s="57" t="n"/>
      <c r="C204" s="57" t="n"/>
      <c r="D204" s="58" t="n"/>
      <c r="E204" s="74" t="n"/>
      <c r="F204" s="60">
        <f>IF($A204="","",Inputs!$C$15)</f>
        <v/>
      </c>
      <c r="G204" s="50">
        <f>IF($A204="","",$D204*$F204)</f>
        <v/>
      </c>
      <c r="H204" s="61">
        <f>IF($A204="","",$D204*$E204)</f>
        <v/>
      </c>
      <c r="I204" s="57" t="n"/>
      <c r="J204" s="75" t="n"/>
      <c r="K204" s="61">
        <f>IF($A204="","",$G204*$J204)</f>
        <v/>
      </c>
      <c r="L204" s="64">
        <f>IF($A204="","",EOMONTH($A204,0))</f>
        <v/>
      </c>
      <c r="M204" s="57" t="n"/>
      <c r="N204" s="57" t="n"/>
    </row>
    <row r="205">
      <c r="A205" s="68" t="n"/>
      <c r="B205" s="69" t="n"/>
      <c r="C205" s="69" t="n"/>
      <c r="D205" s="70" t="n"/>
      <c r="E205" s="71" t="n"/>
      <c r="F205" s="65">
        <f>IF($A205="","",Inputs!$C$15)</f>
        <v/>
      </c>
      <c r="G205" s="50">
        <f>IF($A205="","",$D205*$F205)</f>
        <v/>
      </c>
      <c r="H205" s="66">
        <f>IF($A205="","",$D205*$E205)</f>
        <v/>
      </c>
      <c r="I205" s="69" t="n"/>
      <c r="J205" s="72" t="n"/>
      <c r="K205" s="66">
        <f>IF($A205="","",$G205*$J205)</f>
        <v/>
      </c>
      <c r="L205" s="67">
        <f>IF($A205="","",EOMONTH($A205,0))</f>
        <v/>
      </c>
      <c r="M205" s="69" t="n"/>
      <c r="N205" s="69" t="n"/>
    </row>
    <row r="206">
      <c r="A206" s="73" t="n"/>
      <c r="B206" s="57" t="n"/>
      <c r="C206" s="57" t="n"/>
      <c r="D206" s="58" t="n"/>
      <c r="E206" s="74" t="n"/>
      <c r="F206" s="60">
        <f>IF($A206="","",Inputs!$C$15)</f>
        <v/>
      </c>
      <c r="G206" s="50">
        <f>IF($A206="","",$D206*$F206)</f>
        <v/>
      </c>
      <c r="H206" s="61">
        <f>IF($A206="","",$D206*$E206)</f>
        <v/>
      </c>
      <c r="I206" s="57" t="n"/>
      <c r="J206" s="75" t="n"/>
      <c r="K206" s="61">
        <f>IF($A206="","",$G206*$J206)</f>
        <v/>
      </c>
      <c r="L206" s="64">
        <f>IF($A206="","",EOMONTH($A206,0))</f>
        <v/>
      </c>
      <c r="M206" s="57" t="n"/>
      <c r="N206" s="57" t="n"/>
    </row>
    <row r="207">
      <c r="A207" s="68" t="n"/>
      <c r="B207" s="69" t="n"/>
      <c r="C207" s="69" t="n"/>
      <c r="D207" s="70" t="n"/>
      <c r="E207" s="71" t="n"/>
      <c r="F207" s="65">
        <f>IF($A207="","",Inputs!$C$15)</f>
        <v/>
      </c>
      <c r="G207" s="50">
        <f>IF($A207="","",$D207*$F207)</f>
        <v/>
      </c>
      <c r="H207" s="66">
        <f>IF($A207="","",$D207*$E207)</f>
        <v/>
      </c>
      <c r="I207" s="69" t="n"/>
      <c r="J207" s="72" t="n"/>
      <c r="K207" s="66">
        <f>IF($A207="","",$G207*$J207)</f>
        <v/>
      </c>
      <c r="L207" s="67">
        <f>IF($A207="","",EOMONTH($A207,0))</f>
        <v/>
      </c>
      <c r="M207" s="69" t="n"/>
      <c r="N207" s="69" t="n"/>
    </row>
    <row r="208">
      <c r="A208" s="73" t="n"/>
      <c r="B208" s="57" t="n"/>
      <c r="C208" s="57" t="n"/>
      <c r="D208" s="58" t="n"/>
      <c r="E208" s="74" t="n"/>
      <c r="F208" s="60">
        <f>IF($A208="","",Inputs!$C$15)</f>
        <v/>
      </c>
      <c r="G208" s="50">
        <f>IF($A208="","",$D208*$F208)</f>
        <v/>
      </c>
      <c r="H208" s="61">
        <f>IF($A208="","",$D208*$E208)</f>
        <v/>
      </c>
      <c r="I208" s="57" t="n"/>
      <c r="J208" s="75" t="n"/>
      <c r="K208" s="61">
        <f>IF($A208="","",$G208*$J208)</f>
        <v/>
      </c>
      <c r="L208" s="64">
        <f>IF($A208="","",EOMONTH($A208,0))</f>
        <v/>
      </c>
      <c r="M208" s="57" t="n"/>
      <c r="N208" s="57" t="n"/>
    </row>
    <row r="209">
      <c r="A209" s="68" t="n"/>
      <c r="B209" s="69" t="n"/>
      <c r="C209" s="69" t="n"/>
      <c r="D209" s="70" t="n"/>
      <c r="E209" s="71" t="n"/>
      <c r="F209" s="65">
        <f>IF($A209="","",Inputs!$C$15)</f>
        <v/>
      </c>
      <c r="G209" s="50">
        <f>IF($A209="","",$D209*$F209)</f>
        <v/>
      </c>
      <c r="H209" s="66">
        <f>IF($A209="","",$D209*$E209)</f>
        <v/>
      </c>
      <c r="I209" s="69" t="n"/>
      <c r="J209" s="72" t="n"/>
      <c r="K209" s="66">
        <f>IF($A209="","",$G209*$J209)</f>
        <v/>
      </c>
      <c r="L209" s="67">
        <f>IF($A209="","",EOMONTH($A209,0))</f>
        <v/>
      </c>
      <c r="M209" s="69" t="n"/>
      <c r="N209" s="69" t="n"/>
    </row>
    <row r="210">
      <c r="A210" s="73" t="n"/>
      <c r="B210" s="57" t="n"/>
      <c r="C210" s="57" t="n"/>
      <c r="D210" s="58" t="n"/>
      <c r="E210" s="74" t="n"/>
      <c r="F210" s="60">
        <f>IF($A210="","",Inputs!$C$15)</f>
        <v/>
      </c>
      <c r="G210" s="50">
        <f>IF($A210="","",$D210*$F210)</f>
        <v/>
      </c>
      <c r="H210" s="61">
        <f>IF($A210="","",$D210*$E210)</f>
        <v/>
      </c>
      <c r="I210" s="57" t="n"/>
      <c r="J210" s="75" t="n"/>
      <c r="K210" s="61">
        <f>IF($A210="","",$G210*$J210)</f>
        <v/>
      </c>
      <c r="L210" s="64">
        <f>IF($A210="","",EOMONTH($A210,0))</f>
        <v/>
      </c>
      <c r="M210" s="57" t="n"/>
      <c r="N210" s="57" t="n"/>
    </row>
    <row r="211">
      <c r="A211" s="68" t="n"/>
      <c r="B211" s="69" t="n"/>
      <c r="C211" s="69" t="n"/>
      <c r="D211" s="70" t="n"/>
      <c r="E211" s="71" t="n"/>
      <c r="F211" s="65">
        <f>IF($A211="","",Inputs!$C$15)</f>
        <v/>
      </c>
      <c r="G211" s="50">
        <f>IF($A211="","",$D211*$F211)</f>
        <v/>
      </c>
      <c r="H211" s="66">
        <f>IF($A211="","",$D211*$E211)</f>
        <v/>
      </c>
      <c r="I211" s="69" t="n"/>
      <c r="J211" s="72" t="n"/>
      <c r="K211" s="66">
        <f>IF($A211="","",$G211*$J211)</f>
        <v/>
      </c>
      <c r="L211" s="67">
        <f>IF($A211="","",EOMONTH($A211,0))</f>
        <v/>
      </c>
      <c r="M211" s="69" t="n"/>
      <c r="N211" s="69" t="n"/>
    </row>
    <row r="212">
      <c r="A212" s="73" t="n"/>
      <c r="B212" s="57" t="n"/>
      <c r="C212" s="57" t="n"/>
      <c r="D212" s="58" t="n"/>
      <c r="E212" s="74" t="n"/>
      <c r="F212" s="60">
        <f>IF($A212="","",Inputs!$C$15)</f>
        <v/>
      </c>
      <c r="G212" s="50">
        <f>IF($A212="","",$D212*$F212)</f>
        <v/>
      </c>
      <c r="H212" s="61">
        <f>IF($A212="","",$D212*$E212)</f>
        <v/>
      </c>
      <c r="I212" s="57" t="n"/>
      <c r="J212" s="75" t="n"/>
      <c r="K212" s="61">
        <f>IF($A212="","",$G212*$J212)</f>
        <v/>
      </c>
      <c r="L212" s="64">
        <f>IF($A212="","",EOMONTH($A212,0))</f>
        <v/>
      </c>
      <c r="M212" s="57" t="n"/>
      <c r="N212" s="57" t="n"/>
    </row>
    <row r="213">
      <c r="A213" s="68" t="n"/>
      <c r="B213" s="69" t="n"/>
      <c r="C213" s="69" t="n"/>
      <c r="D213" s="70" t="n"/>
      <c r="E213" s="71" t="n"/>
      <c r="F213" s="65">
        <f>IF($A213="","",Inputs!$C$15)</f>
        <v/>
      </c>
      <c r="G213" s="50">
        <f>IF($A213="","",$D213*$F213)</f>
        <v/>
      </c>
      <c r="H213" s="66">
        <f>IF($A213="","",$D213*$E213)</f>
        <v/>
      </c>
      <c r="I213" s="69" t="n"/>
      <c r="J213" s="72" t="n"/>
      <c r="K213" s="66">
        <f>IF($A213="","",$G213*$J213)</f>
        <v/>
      </c>
      <c r="L213" s="67">
        <f>IF($A213="","",EOMONTH($A213,0))</f>
        <v/>
      </c>
      <c r="M213" s="69" t="n"/>
      <c r="N213" s="69" t="n"/>
    </row>
    <row r="214">
      <c r="A214" s="73" t="n"/>
      <c r="B214" s="57" t="n"/>
      <c r="C214" s="57" t="n"/>
      <c r="D214" s="58" t="n"/>
      <c r="E214" s="74" t="n"/>
      <c r="F214" s="60">
        <f>IF($A214="","",Inputs!$C$15)</f>
        <v/>
      </c>
      <c r="G214" s="50">
        <f>IF($A214="","",$D214*$F214)</f>
        <v/>
      </c>
      <c r="H214" s="61">
        <f>IF($A214="","",$D214*$E214)</f>
        <v/>
      </c>
      <c r="I214" s="57" t="n"/>
      <c r="J214" s="75" t="n"/>
      <c r="K214" s="61">
        <f>IF($A214="","",$G214*$J214)</f>
        <v/>
      </c>
      <c r="L214" s="64">
        <f>IF($A214="","",EOMONTH($A214,0))</f>
        <v/>
      </c>
      <c r="M214" s="57" t="n"/>
      <c r="N214" s="57" t="n"/>
    </row>
    <row r="215">
      <c r="A215" s="68" t="n"/>
      <c r="B215" s="69" t="n"/>
      <c r="C215" s="69" t="n"/>
      <c r="D215" s="70" t="n"/>
      <c r="E215" s="71" t="n"/>
      <c r="F215" s="65">
        <f>IF($A215="","",Inputs!$C$15)</f>
        <v/>
      </c>
      <c r="G215" s="50">
        <f>IF($A215="","",$D215*$F215)</f>
        <v/>
      </c>
      <c r="H215" s="66">
        <f>IF($A215="","",$D215*$E215)</f>
        <v/>
      </c>
      <c r="I215" s="69" t="n"/>
      <c r="J215" s="72" t="n"/>
      <c r="K215" s="66">
        <f>IF($A215="","",$G215*$J215)</f>
        <v/>
      </c>
      <c r="L215" s="67">
        <f>IF($A215="","",EOMONTH($A215,0))</f>
        <v/>
      </c>
      <c r="M215" s="69" t="n"/>
      <c r="N215" s="69" t="n"/>
    </row>
    <row r="216">
      <c r="A216" s="73" t="n"/>
      <c r="B216" s="57" t="n"/>
      <c r="C216" s="57" t="n"/>
      <c r="D216" s="58" t="n"/>
      <c r="E216" s="74" t="n"/>
      <c r="F216" s="60">
        <f>IF($A216="","",Inputs!$C$15)</f>
        <v/>
      </c>
      <c r="G216" s="50">
        <f>IF($A216="","",$D216*$F216)</f>
        <v/>
      </c>
      <c r="H216" s="61">
        <f>IF($A216="","",$D216*$E216)</f>
        <v/>
      </c>
      <c r="I216" s="57" t="n"/>
      <c r="J216" s="75" t="n"/>
      <c r="K216" s="61">
        <f>IF($A216="","",$G216*$J216)</f>
        <v/>
      </c>
      <c r="L216" s="64">
        <f>IF($A216="","",EOMONTH($A216,0))</f>
        <v/>
      </c>
      <c r="M216" s="57" t="n"/>
      <c r="N216" s="57" t="n"/>
    </row>
    <row r="217">
      <c r="A217" s="68" t="n"/>
      <c r="B217" s="69" t="n"/>
      <c r="C217" s="69" t="n"/>
      <c r="D217" s="70" t="n"/>
      <c r="E217" s="71" t="n"/>
      <c r="F217" s="65">
        <f>IF($A217="","",Inputs!$C$15)</f>
        <v/>
      </c>
      <c r="G217" s="50">
        <f>IF($A217="","",$D217*$F217)</f>
        <v/>
      </c>
      <c r="H217" s="66">
        <f>IF($A217="","",$D217*$E217)</f>
        <v/>
      </c>
      <c r="I217" s="69" t="n"/>
      <c r="J217" s="72" t="n"/>
      <c r="K217" s="66">
        <f>IF($A217="","",$G217*$J217)</f>
        <v/>
      </c>
      <c r="L217" s="67">
        <f>IF($A217="","",EOMONTH($A217,0))</f>
        <v/>
      </c>
      <c r="M217" s="69" t="n"/>
      <c r="N217" s="69" t="n"/>
    </row>
    <row r="218">
      <c r="A218" s="73" t="n"/>
      <c r="B218" s="57" t="n"/>
      <c r="C218" s="57" t="n"/>
      <c r="D218" s="58" t="n"/>
      <c r="E218" s="74" t="n"/>
      <c r="F218" s="60">
        <f>IF($A218="","",Inputs!$C$15)</f>
        <v/>
      </c>
      <c r="G218" s="50">
        <f>IF($A218="","",$D218*$F218)</f>
        <v/>
      </c>
      <c r="H218" s="61">
        <f>IF($A218="","",$D218*$E218)</f>
        <v/>
      </c>
      <c r="I218" s="57" t="n"/>
      <c r="J218" s="75" t="n"/>
      <c r="K218" s="61">
        <f>IF($A218="","",$G218*$J218)</f>
        <v/>
      </c>
      <c r="L218" s="64">
        <f>IF($A218="","",EOMONTH($A218,0))</f>
        <v/>
      </c>
      <c r="M218" s="57" t="n"/>
      <c r="N218" s="57" t="n"/>
    </row>
    <row r="219">
      <c r="A219" s="68" t="n"/>
      <c r="B219" s="69" t="n"/>
      <c r="C219" s="69" t="n"/>
      <c r="D219" s="70" t="n"/>
      <c r="E219" s="71" t="n"/>
      <c r="F219" s="65">
        <f>IF($A219="","",Inputs!$C$15)</f>
        <v/>
      </c>
      <c r="G219" s="50">
        <f>IF($A219="","",$D219*$F219)</f>
        <v/>
      </c>
      <c r="H219" s="66">
        <f>IF($A219="","",$D219*$E219)</f>
        <v/>
      </c>
      <c r="I219" s="69" t="n"/>
      <c r="J219" s="72" t="n"/>
      <c r="K219" s="66">
        <f>IF($A219="","",$G219*$J219)</f>
        <v/>
      </c>
      <c r="L219" s="67">
        <f>IF($A219="","",EOMONTH($A219,0))</f>
        <v/>
      </c>
      <c r="M219" s="69" t="n"/>
      <c r="N219" s="69" t="n"/>
    </row>
    <row r="220">
      <c r="A220" s="73" t="n"/>
      <c r="B220" s="57" t="n"/>
      <c r="C220" s="57" t="n"/>
      <c r="D220" s="58" t="n"/>
      <c r="E220" s="74" t="n"/>
      <c r="F220" s="60">
        <f>IF($A220="","",Inputs!$C$15)</f>
        <v/>
      </c>
      <c r="G220" s="50">
        <f>IF($A220="","",$D220*$F220)</f>
        <v/>
      </c>
      <c r="H220" s="61">
        <f>IF($A220="","",$D220*$E220)</f>
        <v/>
      </c>
      <c r="I220" s="57" t="n"/>
      <c r="J220" s="75" t="n"/>
      <c r="K220" s="61">
        <f>IF($A220="","",$G220*$J220)</f>
        <v/>
      </c>
      <c r="L220" s="64">
        <f>IF($A220="","",EOMONTH($A220,0))</f>
        <v/>
      </c>
      <c r="M220" s="57" t="n"/>
      <c r="N220" s="57" t="n"/>
    </row>
    <row r="221">
      <c r="A221" s="68" t="n"/>
      <c r="B221" s="69" t="n"/>
      <c r="C221" s="69" t="n"/>
      <c r="D221" s="70" t="n"/>
      <c r="E221" s="71" t="n"/>
      <c r="F221" s="65">
        <f>IF($A221="","",Inputs!$C$15)</f>
        <v/>
      </c>
      <c r="G221" s="50">
        <f>IF($A221="","",$D221*$F221)</f>
        <v/>
      </c>
      <c r="H221" s="66">
        <f>IF($A221="","",$D221*$E221)</f>
        <v/>
      </c>
      <c r="I221" s="69" t="n"/>
      <c r="J221" s="72" t="n"/>
      <c r="K221" s="66">
        <f>IF($A221="","",$G221*$J221)</f>
        <v/>
      </c>
      <c r="L221" s="67">
        <f>IF($A221="","",EOMONTH($A221,0))</f>
        <v/>
      </c>
      <c r="M221" s="69" t="n"/>
      <c r="N221" s="69" t="n"/>
    </row>
    <row r="222">
      <c r="A222" s="73" t="n"/>
      <c r="B222" s="57" t="n"/>
      <c r="C222" s="57" t="n"/>
      <c r="D222" s="58" t="n"/>
      <c r="E222" s="74" t="n"/>
      <c r="F222" s="60">
        <f>IF($A222="","",Inputs!$C$15)</f>
        <v/>
      </c>
      <c r="G222" s="50">
        <f>IF($A222="","",$D222*$F222)</f>
        <v/>
      </c>
      <c r="H222" s="61">
        <f>IF($A222="","",$D222*$E222)</f>
        <v/>
      </c>
      <c r="I222" s="57" t="n"/>
      <c r="J222" s="75" t="n"/>
      <c r="K222" s="61">
        <f>IF($A222="","",$G222*$J222)</f>
        <v/>
      </c>
      <c r="L222" s="64">
        <f>IF($A222="","",EOMONTH($A222,0))</f>
        <v/>
      </c>
      <c r="M222" s="57" t="n"/>
      <c r="N222" s="57" t="n"/>
    </row>
    <row r="223">
      <c r="A223" s="68" t="n"/>
      <c r="B223" s="69" t="n"/>
      <c r="C223" s="69" t="n"/>
      <c r="D223" s="70" t="n"/>
      <c r="E223" s="71" t="n"/>
      <c r="F223" s="65">
        <f>IF($A223="","",Inputs!$C$15)</f>
        <v/>
      </c>
      <c r="G223" s="50">
        <f>IF($A223="","",$D223*$F223)</f>
        <v/>
      </c>
      <c r="H223" s="66">
        <f>IF($A223="","",$D223*$E223)</f>
        <v/>
      </c>
      <c r="I223" s="69" t="n"/>
      <c r="J223" s="72" t="n"/>
      <c r="K223" s="66">
        <f>IF($A223="","",$G223*$J223)</f>
        <v/>
      </c>
      <c r="L223" s="67">
        <f>IF($A223="","",EOMONTH($A223,0))</f>
        <v/>
      </c>
      <c r="M223" s="69" t="n"/>
      <c r="N223" s="69" t="n"/>
    </row>
    <row r="224">
      <c r="A224" s="73" t="n"/>
      <c r="B224" s="57" t="n"/>
      <c r="C224" s="57" t="n"/>
      <c r="D224" s="58" t="n"/>
      <c r="E224" s="74" t="n"/>
      <c r="F224" s="60">
        <f>IF($A224="","",Inputs!$C$15)</f>
        <v/>
      </c>
      <c r="G224" s="50">
        <f>IF($A224="","",$D224*$F224)</f>
        <v/>
      </c>
      <c r="H224" s="61">
        <f>IF($A224="","",$D224*$E224)</f>
        <v/>
      </c>
      <c r="I224" s="57" t="n"/>
      <c r="J224" s="75" t="n"/>
      <c r="K224" s="61">
        <f>IF($A224="","",$G224*$J224)</f>
        <v/>
      </c>
      <c r="L224" s="64">
        <f>IF($A224="","",EOMONTH($A224,0))</f>
        <v/>
      </c>
      <c r="M224" s="57" t="n"/>
      <c r="N224" s="57" t="n"/>
    </row>
    <row r="225">
      <c r="A225" s="68" t="n"/>
      <c r="B225" s="69" t="n"/>
      <c r="C225" s="69" t="n"/>
      <c r="D225" s="70" t="n"/>
      <c r="E225" s="71" t="n"/>
      <c r="F225" s="65">
        <f>IF($A225="","",Inputs!$C$15)</f>
        <v/>
      </c>
      <c r="G225" s="50">
        <f>IF($A225="","",$D225*$F225)</f>
        <v/>
      </c>
      <c r="H225" s="66">
        <f>IF($A225="","",$D225*$E225)</f>
        <v/>
      </c>
      <c r="I225" s="69" t="n"/>
      <c r="J225" s="72" t="n"/>
      <c r="K225" s="66">
        <f>IF($A225="","",$G225*$J225)</f>
        <v/>
      </c>
      <c r="L225" s="67">
        <f>IF($A225="","",EOMONTH($A225,0))</f>
        <v/>
      </c>
      <c r="M225" s="69" t="n"/>
      <c r="N225" s="69" t="n"/>
    </row>
    <row r="226">
      <c r="A226" s="73" t="n"/>
      <c r="B226" s="57" t="n"/>
      <c r="C226" s="57" t="n"/>
      <c r="D226" s="58" t="n"/>
      <c r="E226" s="74" t="n"/>
      <c r="F226" s="60">
        <f>IF($A226="","",Inputs!$C$15)</f>
        <v/>
      </c>
      <c r="G226" s="50">
        <f>IF($A226="","",$D226*$F226)</f>
        <v/>
      </c>
      <c r="H226" s="61">
        <f>IF($A226="","",$D226*$E226)</f>
        <v/>
      </c>
      <c r="I226" s="57" t="n"/>
      <c r="J226" s="75" t="n"/>
      <c r="K226" s="61">
        <f>IF($A226="","",$G226*$J226)</f>
        <v/>
      </c>
      <c r="L226" s="64">
        <f>IF($A226="","",EOMONTH($A226,0))</f>
        <v/>
      </c>
      <c r="M226" s="57" t="n"/>
      <c r="N226" s="57" t="n"/>
    </row>
    <row r="227">
      <c r="A227" s="68" t="n"/>
      <c r="B227" s="69" t="n"/>
      <c r="C227" s="69" t="n"/>
      <c r="D227" s="70" t="n"/>
      <c r="E227" s="71" t="n"/>
      <c r="F227" s="65">
        <f>IF($A227="","",Inputs!$C$15)</f>
        <v/>
      </c>
      <c r="G227" s="50">
        <f>IF($A227="","",$D227*$F227)</f>
        <v/>
      </c>
      <c r="H227" s="66">
        <f>IF($A227="","",$D227*$E227)</f>
        <v/>
      </c>
      <c r="I227" s="69" t="n"/>
      <c r="J227" s="72" t="n"/>
      <c r="K227" s="66">
        <f>IF($A227="","",$G227*$J227)</f>
        <v/>
      </c>
      <c r="L227" s="67">
        <f>IF($A227="","",EOMONTH($A227,0))</f>
        <v/>
      </c>
      <c r="M227" s="69" t="n"/>
      <c r="N227" s="69" t="n"/>
    </row>
    <row r="228">
      <c r="A228" s="73" t="n"/>
      <c r="B228" s="57" t="n"/>
      <c r="C228" s="57" t="n"/>
      <c r="D228" s="58" t="n"/>
      <c r="E228" s="74" t="n"/>
      <c r="F228" s="60">
        <f>IF($A228="","",Inputs!$C$15)</f>
        <v/>
      </c>
      <c r="G228" s="50">
        <f>IF($A228="","",$D228*$F228)</f>
        <v/>
      </c>
      <c r="H228" s="61">
        <f>IF($A228="","",$D228*$E228)</f>
        <v/>
      </c>
      <c r="I228" s="57" t="n"/>
      <c r="J228" s="75" t="n"/>
      <c r="K228" s="61">
        <f>IF($A228="","",$G228*$J228)</f>
        <v/>
      </c>
      <c r="L228" s="64">
        <f>IF($A228="","",EOMONTH($A228,0))</f>
        <v/>
      </c>
      <c r="M228" s="57" t="n"/>
      <c r="N228" s="57" t="n"/>
    </row>
    <row r="229">
      <c r="A229" s="68" t="n"/>
      <c r="B229" s="69" t="n"/>
      <c r="C229" s="69" t="n"/>
      <c r="D229" s="70" t="n"/>
      <c r="E229" s="71" t="n"/>
      <c r="F229" s="65">
        <f>IF($A229="","",Inputs!$C$15)</f>
        <v/>
      </c>
      <c r="G229" s="50">
        <f>IF($A229="","",$D229*$F229)</f>
        <v/>
      </c>
      <c r="H229" s="66">
        <f>IF($A229="","",$D229*$E229)</f>
        <v/>
      </c>
      <c r="I229" s="69" t="n"/>
      <c r="J229" s="72" t="n"/>
      <c r="K229" s="66">
        <f>IF($A229="","",$G229*$J229)</f>
        <v/>
      </c>
      <c r="L229" s="67">
        <f>IF($A229="","",EOMONTH($A229,0))</f>
        <v/>
      </c>
      <c r="M229" s="69" t="n"/>
      <c r="N229" s="69" t="n"/>
    </row>
    <row r="230">
      <c r="A230" s="73" t="n"/>
      <c r="B230" s="57" t="n"/>
      <c r="C230" s="57" t="n"/>
      <c r="D230" s="58" t="n"/>
      <c r="E230" s="74" t="n"/>
      <c r="F230" s="60">
        <f>IF($A230="","",Inputs!$C$15)</f>
        <v/>
      </c>
      <c r="G230" s="50">
        <f>IF($A230="","",$D230*$F230)</f>
        <v/>
      </c>
      <c r="H230" s="61">
        <f>IF($A230="","",$D230*$E230)</f>
        <v/>
      </c>
      <c r="I230" s="57" t="n"/>
      <c r="J230" s="75" t="n"/>
      <c r="K230" s="61">
        <f>IF($A230="","",$G230*$J230)</f>
        <v/>
      </c>
      <c r="L230" s="64">
        <f>IF($A230="","",EOMONTH($A230,0))</f>
        <v/>
      </c>
      <c r="M230" s="57" t="n"/>
      <c r="N230" s="57" t="n"/>
    </row>
    <row r="231">
      <c r="A231" s="68" t="n"/>
      <c r="B231" s="69" t="n"/>
      <c r="C231" s="69" t="n"/>
      <c r="D231" s="70" t="n"/>
      <c r="E231" s="71" t="n"/>
      <c r="F231" s="65">
        <f>IF($A231="","",Inputs!$C$15)</f>
        <v/>
      </c>
      <c r="G231" s="50">
        <f>IF($A231="","",$D231*$F231)</f>
        <v/>
      </c>
      <c r="H231" s="66">
        <f>IF($A231="","",$D231*$E231)</f>
        <v/>
      </c>
      <c r="I231" s="69" t="n"/>
      <c r="J231" s="72" t="n"/>
      <c r="K231" s="66">
        <f>IF($A231="","",$G231*$J231)</f>
        <v/>
      </c>
      <c r="L231" s="67">
        <f>IF($A231="","",EOMONTH($A231,0))</f>
        <v/>
      </c>
      <c r="M231" s="69" t="n"/>
      <c r="N231" s="69" t="n"/>
    </row>
    <row r="232">
      <c r="A232" s="73" t="n"/>
      <c r="B232" s="57" t="n"/>
      <c r="C232" s="57" t="n"/>
      <c r="D232" s="58" t="n"/>
      <c r="E232" s="74" t="n"/>
      <c r="F232" s="60">
        <f>IF($A232="","",Inputs!$C$15)</f>
        <v/>
      </c>
      <c r="G232" s="50">
        <f>IF($A232="","",$D232*$F232)</f>
        <v/>
      </c>
      <c r="H232" s="61">
        <f>IF($A232="","",$D232*$E232)</f>
        <v/>
      </c>
      <c r="I232" s="57" t="n"/>
      <c r="J232" s="75" t="n"/>
      <c r="K232" s="61">
        <f>IF($A232="","",$G232*$J232)</f>
        <v/>
      </c>
      <c r="L232" s="64">
        <f>IF($A232="","",EOMONTH($A232,0))</f>
        <v/>
      </c>
      <c r="M232" s="57" t="n"/>
      <c r="N232" s="57" t="n"/>
    </row>
    <row r="233">
      <c r="A233" s="68" t="n"/>
      <c r="B233" s="69" t="n"/>
      <c r="C233" s="69" t="n"/>
      <c r="D233" s="70" t="n"/>
      <c r="E233" s="71" t="n"/>
      <c r="F233" s="65">
        <f>IF($A233="","",Inputs!$C$15)</f>
        <v/>
      </c>
      <c r="G233" s="50">
        <f>IF($A233="","",$D233*$F233)</f>
        <v/>
      </c>
      <c r="H233" s="66">
        <f>IF($A233="","",$D233*$E233)</f>
        <v/>
      </c>
      <c r="I233" s="69" t="n"/>
      <c r="J233" s="72" t="n"/>
      <c r="K233" s="66">
        <f>IF($A233="","",$G233*$J233)</f>
        <v/>
      </c>
      <c r="L233" s="67">
        <f>IF($A233="","",EOMONTH($A233,0))</f>
        <v/>
      </c>
      <c r="M233" s="69" t="n"/>
      <c r="N233" s="69" t="n"/>
    </row>
    <row r="234">
      <c r="A234" s="73" t="n"/>
      <c r="B234" s="57" t="n"/>
      <c r="C234" s="57" t="n"/>
      <c r="D234" s="58" t="n"/>
      <c r="E234" s="74" t="n"/>
      <c r="F234" s="60">
        <f>IF($A234="","",Inputs!$C$15)</f>
        <v/>
      </c>
      <c r="G234" s="50">
        <f>IF($A234="","",$D234*$F234)</f>
        <v/>
      </c>
      <c r="H234" s="61">
        <f>IF($A234="","",$D234*$E234)</f>
        <v/>
      </c>
      <c r="I234" s="57" t="n"/>
      <c r="J234" s="75" t="n"/>
      <c r="K234" s="61">
        <f>IF($A234="","",$G234*$J234)</f>
        <v/>
      </c>
      <c r="L234" s="64">
        <f>IF($A234="","",EOMONTH($A234,0))</f>
        <v/>
      </c>
      <c r="M234" s="57" t="n"/>
      <c r="N234" s="57" t="n"/>
    </row>
    <row r="235">
      <c r="A235" s="68" t="n"/>
      <c r="B235" s="69" t="n"/>
      <c r="C235" s="69" t="n"/>
      <c r="D235" s="70" t="n"/>
      <c r="E235" s="71" t="n"/>
      <c r="F235" s="65">
        <f>IF($A235="","",Inputs!$C$15)</f>
        <v/>
      </c>
      <c r="G235" s="50">
        <f>IF($A235="","",$D235*$F235)</f>
        <v/>
      </c>
      <c r="H235" s="66">
        <f>IF($A235="","",$D235*$E235)</f>
        <v/>
      </c>
      <c r="I235" s="69" t="n"/>
      <c r="J235" s="72" t="n"/>
      <c r="K235" s="66">
        <f>IF($A235="","",$G235*$J235)</f>
        <v/>
      </c>
      <c r="L235" s="67">
        <f>IF($A235="","",EOMONTH($A235,0))</f>
        <v/>
      </c>
      <c r="M235" s="69" t="n"/>
      <c r="N235" s="69" t="n"/>
    </row>
    <row r="236">
      <c r="A236" s="73" t="n"/>
      <c r="B236" s="57" t="n"/>
      <c r="C236" s="57" t="n"/>
      <c r="D236" s="58" t="n"/>
      <c r="E236" s="74" t="n"/>
      <c r="F236" s="60">
        <f>IF($A236="","",Inputs!$C$15)</f>
        <v/>
      </c>
      <c r="G236" s="50">
        <f>IF($A236="","",$D236*$F236)</f>
        <v/>
      </c>
      <c r="H236" s="61">
        <f>IF($A236="","",$D236*$E236)</f>
        <v/>
      </c>
      <c r="I236" s="57" t="n"/>
      <c r="J236" s="75" t="n"/>
      <c r="K236" s="61">
        <f>IF($A236="","",$G236*$J236)</f>
        <v/>
      </c>
      <c r="L236" s="64">
        <f>IF($A236="","",EOMONTH($A236,0))</f>
        <v/>
      </c>
      <c r="M236" s="57" t="n"/>
      <c r="N236" s="57" t="n"/>
    </row>
    <row r="237">
      <c r="A237" s="68" t="n"/>
      <c r="B237" s="69" t="n"/>
      <c r="C237" s="69" t="n"/>
      <c r="D237" s="70" t="n"/>
      <c r="E237" s="71" t="n"/>
      <c r="F237" s="65">
        <f>IF($A237="","",Inputs!$C$15)</f>
        <v/>
      </c>
      <c r="G237" s="50">
        <f>IF($A237="","",$D237*$F237)</f>
        <v/>
      </c>
      <c r="H237" s="66">
        <f>IF($A237="","",$D237*$E237)</f>
        <v/>
      </c>
      <c r="I237" s="69" t="n"/>
      <c r="J237" s="72" t="n"/>
      <c r="K237" s="66">
        <f>IF($A237="","",$G237*$J237)</f>
        <v/>
      </c>
      <c r="L237" s="67">
        <f>IF($A237="","",EOMONTH($A237,0))</f>
        <v/>
      </c>
      <c r="M237" s="69" t="n"/>
      <c r="N237" s="69" t="n"/>
    </row>
    <row r="238">
      <c r="A238" s="73" t="n"/>
      <c r="B238" s="57" t="n"/>
      <c r="C238" s="57" t="n"/>
      <c r="D238" s="58" t="n"/>
      <c r="E238" s="74" t="n"/>
      <c r="F238" s="60">
        <f>IF($A238="","",Inputs!$C$15)</f>
        <v/>
      </c>
      <c r="G238" s="50">
        <f>IF($A238="","",$D238*$F238)</f>
        <v/>
      </c>
      <c r="H238" s="61">
        <f>IF($A238="","",$D238*$E238)</f>
        <v/>
      </c>
      <c r="I238" s="57" t="n"/>
      <c r="J238" s="75" t="n"/>
      <c r="K238" s="61">
        <f>IF($A238="","",$G238*$J238)</f>
        <v/>
      </c>
      <c r="L238" s="64">
        <f>IF($A238="","",EOMONTH($A238,0))</f>
        <v/>
      </c>
      <c r="M238" s="57" t="n"/>
      <c r="N238" s="57" t="n"/>
    </row>
    <row r="239">
      <c r="A239" s="68" t="n"/>
      <c r="B239" s="69" t="n"/>
      <c r="C239" s="69" t="n"/>
      <c r="D239" s="70" t="n"/>
      <c r="E239" s="71" t="n"/>
      <c r="F239" s="65">
        <f>IF($A239="","",Inputs!$C$15)</f>
        <v/>
      </c>
      <c r="G239" s="50">
        <f>IF($A239="","",$D239*$F239)</f>
        <v/>
      </c>
      <c r="H239" s="66">
        <f>IF($A239="","",$D239*$E239)</f>
        <v/>
      </c>
      <c r="I239" s="69" t="n"/>
      <c r="J239" s="72" t="n"/>
      <c r="K239" s="66">
        <f>IF($A239="","",$G239*$J239)</f>
        <v/>
      </c>
      <c r="L239" s="67">
        <f>IF($A239="","",EOMONTH($A239,0))</f>
        <v/>
      </c>
      <c r="M239" s="69" t="n"/>
      <c r="N239" s="69" t="n"/>
    </row>
    <row r="240">
      <c r="A240" s="73" t="n"/>
      <c r="B240" s="57" t="n"/>
      <c r="C240" s="57" t="n"/>
      <c r="D240" s="58" t="n"/>
      <c r="E240" s="74" t="n"/>
      <c r="F240" s="60">
        <f>IF($A240="","",Inputs!$C$15)</f>
        <v/>
      </c>
      <c r="G240" s="50">
        <f>IF($A240="","",$D240*$F240)</f>
        <v/>
      </c>
      <c r="H240" s="61">
        <f>IF($A240="","",$D240*$E240)</f>
        <v/>
      </c>
      <c r="I240" s="57" t="n"/>
      <c r="J240" s="75" t="n"/>
      <c r="K240" s="61">
        <f>IF($A240="","",$G240*$J240)</f>
        <v/>
      </c>
      <c r="L240" s="64">
        <f>IF($A240="","",EOMONTH($A240,0))</f>
        <v/>
      </c>
      <c r="M240" s="57" t="n"/>
      <c r="N240" s="57" t="n"/>
    </row>
    <row r="241">
      <c r="A241" s="68" t="n"/>
      <c r="B241" s="69" t="n"/>
      <c r="C241" s="69" t="n"/>
      <c r="D241" s="70" t="n"/>
      <c r="E241" s="71" t="n"/>
      <c r="F241" s="65">
        <f>IF($A241="","",Inputs!$C$15)</f>
        <v/>
      </c>
      <c r="G241" s="50">
        <f>IF($A241="","",$D241*$F241)</f>
        <v/>
      </c>
      <c r="H241" s="66">
        <f>IF($A241="","",$D241*$E241)</f>
        <v/>
      </c>
      <c r="I241" s="69" t="n"/>
      <c r="J241" s="72" t="n"/>
      <c r="K241" s="66">
        <f>IF($A241="","",$G241*$J241)</f>
        <v/>
      </c>
      <c r="L241" s="67">
        <f>IF($A241="","",EOMONTH($A241,0))</f>
        <v/>
      </c>
      <c r="M241" s="69" t="n"/>
      <c r="N241" s="69" t="n"/>
    </row>
    <row r="242">
      <c r="A242" s="73" t="n"/>
      <c r="B242" s="57" t="n"/>
      <c r="C242" s="57" t="n"/>
      <c r="D242" s="58" t="n"/>
      <c r="E242" s="74" t="n"/>
      <c r="F242" s="60">
        <f>IF($A242="","",Inputs!$C$15)</f>
        <v/>
      </c>
      <c r="G242" s="50">
        <f>IF($A242="","",$D242*$F242)</f>
        <v/>
      </c>
      <c r="H242" s="61">
        <f>IF($A242="","",$D242*$E242)</f>
        <v/>
      </c>
      <c r="I242" s="57" t="n"/>
      <c r="J242" s="75" t="n"/>
      <c r="K242" s="61">
        <f>IF($A242="","",$G242*$J242)</f>
        <v/>
      </c>
      <c r="L242" s="64">
        <f>IF($A242="","",EOMONTH($A242,0))</f>
        <v/>
      </c>
      <c r="M242" s="57" t="n"/>
      <c r="N242" s="57" t="n"/>
    </row>
    <row r="243">
      <c r="A243" s="68" t="n"/>
      <c r="B243" s="69" t="n"/>
      <c r="C243" s="69" t="n"/>
      <c r="D243" s="70" t="n"/>
      <c r="E243" s="71" t="n"/>
      <c r="F243" s="65">
        <f>IF($A243="","",Inputs!$C$15)</f>
        <v/>
      </c>
      <c r="G243" s="50">
        <f>IF($A243="","",$D243*$F243)</f>
        <v/>
      </c>
      <c r="H243" s="66">
        <f>IF($A243="","",$D243*$E243)</f>
        <v/>
      </c>
      <c r="I243" s="69" t="n"/>
      <c r="J243" s="72" t="n"/>
      <c r="K243" s="66">
        <f>IF($A243="","",$G243*$J243)</f>
        <v/>
      </c>
      <c r="L243" s="67">
        <f>IF($A243="","",EOMONTH($A243,0))</f>
        <v/>
      </c>
      <c r="M243" s="69" t="n"/>
      <c r="N243" s="69" t="n"/>
    </row>
    <row r="244">
      <c r="A244" s="73" t="n"/>
      <c r="B244" s="57" t="n"/>
      <c r="C244" s="57" t="n"/>
      <c r="D244" s="58" t="n"/>
      <c r="E244" s="74" t="n"/>
      <c r="F244" s="60">
        <f>IF($A244="","",Inputs!$C$15)</f>
        <v/>
      </c>
      <c r="G244" s="50">
        <f>IF($A244="","",$D244*$F244)</f>
        <v/>
      </c>
      <c r="H244" s="61">
        <f>IF($A244="","",$D244*$E244)</f>
        <v/>
      </c>
      <c r="I244" s="57" t="n"/>
      <c r="J244" s="75" t="n"/>
      <c r="K244" s="61">
        <f>IF($A244="","",$G244*$J244)</f>
        <v/>
      </c>
      <c r="L244" s="64">
        <f>IF($A244="","",EOMONTH($A244,0))</f>
        <v/>
      </c>
      <c r="M244" s="57" t="n"/>
      <c r="N244" s="57" t="n"/>
    </row>
    <row r="245">
      <c r="A245" s="68" t="n"/>
      <c r="B245" s="69" t="n"/>
      <c r="C245" s="69" t="n"/>
      <c r="D245" s="70" t="n"/>
      <c r="E245" s="71" t="n"/>
      <c r="F245" s="65">
        <f>IF($A245="","",Inputs!$C$15)</f>
        <v/>
      </c>
      <c r="G245" s="50">
        <f>IF($A245="","",$D245*$F245)</f>
        <v/>
      </c>
      <c r="H245" s="66">
        <f>IF($A245="","",$D245*$E245)</f>
        <v/>
      </c>
      <c r="I245" s="69" t="n"/>
      <c r="J245" s="72" t="n"/>
      <c r="K245" s="66">
        <f>IF($A245="","",$G245*$J245)</f>
        <v/>
      </c>
      <c r="L245" s="67">
        <f>IF($A245="","",EOMONTH($A245,0))</f>
        <v/>
      </c>
      <c r="M245" s="69" t="n"/>
      <c r="N245" s="69" t="n"/>
    </row>
    <row r="246">
      <c r="A246" s="73" t="n"/>
      <c r="B246" s="57" t="n"/>
      <c r="C246" s="57" t="n"/>
      <c r="D246" s="58" t="n"/>
      <c r="E246" s="74" t="n"/>
      <c r="F246" s="60">
        <f>IF($A246="","",Inputs!$C$15)</f>
        <v/>
      </c>
      <c r="G246" s="50">
        <f>IF($A246="","",$D246*$F246)</f>
        <v/>
      </c>
      <c r="H246" s="61">
        <f>IF($A246="","",$D246*$E246)</f>
        <v/>
      </c>
      <c r="I246" s="57" t="n"/>
      <c r="J246" s="75" t="n"/>
      <c r="K246" s="61">
        <f>IF($A246="","",$G246*$J246)</f>
        <v/>
      </c>
      <c r="L246" s="64">
        <f>IF($A246="","",EOMONTH($A246,0))</f>
        <v/>
      </c>
      <c r="M246" s="57" t="n"/>
      <c r="N246" s="57" t="n"/>
    </row>
    <row r="247">
      <c r="A247" s="68" t="n"/>
      <c r="B247" s="69" t="n"/>
      <c r="C247" s="69" t="n"/>
      <c r="D247" s="70" t="n"/>
      <c r="E247" s="71" t="n"/>
      <c r="F247" s="65">
        <f>IF($A247="","",Inputs!$C$15)</f>
        <v/>
      </c>
      <c r="G247" s="50">
        <f>IF($A247="","",$D247*$F247)</f>
        <v/>
      </c>
      <c r="H247" s="66">
        <f>IF($A247="","",$D247*$E247)</f>
        <v/>
      </c>
      <c r="I247" s="69" t="n"/>
      <c r="J247" s="72" t="n"/>
      <c r="K247" s="66">
        <f>IF($A247="","",$G247*$J247)</f>
        <v/>
      </c>
      <c r="L247" s="67">
        <f>IF($A247="","",EOMONTH($A247,0))</f>
        <v/>
      </c>
      <c r="M247" s="69" t="n"/>
      <c r="N247" s="69" t="n"/>
    </row>
    <row r="248">
      <c r="A248" s="73" t="n"/>
      <c r="B248" s="57" t="n"/>
      <c r="C248" s="57" t="n"/>
      <c r="D248" s="58" t="n"/>
      <c r="E248" s="74" t="n"/>
      <c r="F248" s="60">
        <f>IF($A248="","",Inputs!$C$15)</f>
        <v/>
      </c>
      <c r="G248" s="50">
        <f>IF($A248="","",$D248*$F248)</f>
        <v/>
      </c>
      <c r="H248" s="61">
        <f>IF($A248="","",$D248*$E248)</f>
        <v/>
      </c>
      <c r="I248" s="57" t="n"/>
      <c r="J248" s="75" t="n"/>
      <c r="K248" s="61">
        <f>IF($A248="","",$G248*$J248)</f>
        <v/>
      </c>
      <c r="L248" s="64">
        <f>IF($A248="","",EOMONTH($A248,0))</f>
        <v/>
      </c>
      <c r="M248" s="57" t="n"/>
      <c r="N248" s="57" t="n"/>
    </row>
    <row r="249">
      <c r="A249" s="68" t="n"/>
      <c r="B249" s="69" t="n"/>
      <c r="C249" s="69" t="n"/>
      <c r="D249" s="70" t="n"/>
      <c r="E249" s="71" t="n"/>
      <c r="F249" s="65">
        <f>IF($A249="","",Inputs!$C$15)</f>
        <v/>
      </c>
      <c r="G249" s="50">
        <f>IF($A249="","",$D249*$F249)</f>
        <v/>
      </c>
      <c r="H249" s="66">
        <f>IF($A249="","",$D249*$E249)</f>
        <v/>
      </c>
      <c r="I249" s="69" t="n"/>
      <c r="J249" s="72" t="n"/>
      <c r="K249" s="66">
        <f>IF($A249="","",$G249*$J249)</f>
        <v/>
      </c>
      <c r="L249" s="67">
        <f>IF($A249="","",EOMONTH($A249,0))</f>
        <v/>
      </c>
      <c r="M249" s="69" t="n"/>
      <c r="N249" s="69" t="n"/>
    </row>
    <row r="250">
      <c r="A250" s="73" t="n"/>
      <c r="B250" s="57" t="n"/>
      <c r="C250" s="57" t="n"/>
      <c r="D250" s="58" t="n"/>
      <c r="E250" s="74" t="n"/>
      <c r="F250" s="60">
        <f>IF($A250="","",Inputs!$C$15)</f>
        <v/>
      </c>
      <c r="G250" s="50">
        <f>IF($A250="","",$D250*$F250)</f>
        <v/>
      </c>
      <c r="H250" s="61">
        <f>IF($A250="","",$D250*$E250)</f>
        <v/>
      </c>
      <c r="I250" s="57" t="n"/>
      <c r="J250" s="75" t="n"/>
      <c r="K250" s="61">
        <f>IF($A250="","",$G250*$J250)</f>
        <v/>
      </c>
      <c r="L250" s="64">
        <f>IF($A250="","",EOMONTH($A250,0))</f>
        <v/>
      </c>
      <c r="M250" s="57" t="n"/>
      <c r="N250" s="57" t="n"/>
    </row>
    <row r="251">
      <c r="A251" s="68" t="n"/>
      <c r="B251" s="69" t="n"/>
      <c r="C251" s="69" t="n"/>
      <c r="D251" s="70" t="n"/>
      <c r="E251" s="71" t="n"/>
      <c r="F251" s="65">
        <f>IF($A251="","",Inputs!$C$15)</f>
        <v/>
      </c>
      <c r="G251" s="50">
        <f>IF($A251="","",$D251*$F251)</f>
        <v/>
      </c>
      <c r="H251" s="66">
        <f>IF($A251="","",$D251*$E251)</f>
        <v/>
      </c>
      <c r="I251" s="69" t="n"/>
      <c r="J251" s="72" t="n"/>
      <c r="K251" s="66">
        <f>IF($A251="","",$G251*$J251)</f>
        <v/>
      </c>
      <c r="L251" s="67">
        <f>IF($A251="","",EOMONTH($A251,0))</f>
        <v/>
      </c>
      <c r="M251" s="69" t="n"/>
      <c r="N251" s="69" t="n"/>
    </row>
    <row r="252">
      <c r="A252" s="73" t="n"/>
      <c r="B252" s="57" t="n"/>
      <c r="C252" s="57" t="n"/>
      <c r="D252" s="58" t="n"/>
      <c r="E252" s="74" t="n"/>
      <c r="F252" s="60">
        <f>IF($A252="","",Inputs!$C$15)</f>
        <v/>
      </c>
      <c r="G252" s="50">
        <f>IF($A252="","",$D252*$F252)</f>
        <v/>
      </c>
      <c r="H252" s="61">
        <f>IF($A252="","",$D252*$E252)</f>
        <v/>
      </c>
      <c r="I252" s="57" t="n"/>
      <c r="J252" s="75" t="n"/>
      <c r="K252" s="61">
        <f>IF($A252="","",$G252*$J252)</f>
        <v/>
      </c>
      <c r="L252" s="64">
        <f>IF($A252="","",EOMONTH($A252,0))</f>
        <v/>
      </c>
      <c r="M252" s="57" t="n"/>
      <c r="N252" s="57" t="n"/>
    </row>
    <row r="253">
      <c r="A253" s="68" t="n"/>
      <c r="B253" s="69" t="n"/>
      <c r="C253" s="69" t="n"/>
      <c r="D253" s="70" t="n"/>
      <c r="E253" s="71" t="n"/>
      <c r="F253" s="65">
        <f>IF($A253="","",Inputs!$C$15)</f>
        <v/>
      </c>
      <c r="G253" s="50">
        <f>IF($A253="","",$D253*$F253)</f>
        <v/>
      </c>
      <c r="H253" s="66">
        <f>IF($A253="","",$D253*$E253)</f>
        <v/>
      </c>
      <c r="I253" s="69" t="n"/>
      <c r="J253" s="72" t="n"/>
      <c r="K253" s="66">
        <f>IF($A253="","",$G253*$J253)</f>
        <v/>
      </c>
      <c r="L253" s="67">
        <f>IF($A253="","",EOMONTH($A253,0))</f>
        <v/>
      </c>
      <c r="M253" s="69" t="n"/>
      <c r="N253" s="69" t="n"/>
    </row>
    <row r="254">
      <c r="A254" s="73" t="n"/>
      <c r="B254" s="57" t="n"/>
      <c r="C254" s="57" t="n"/>
      <c r="D254" s="58" t="n"/>
      <c r="E254" s="74" t="n"/>
      <c r="F254" s="60">
        <f>IF($A254="","",Inputs!$C$15)</f>
        <v/>
      </c>
      <c r="G254" s="50">
        <f>IF($A254="","",$D254*$F254)</f>
        <v/>
      </c>
      <c r="H254" s="61">
        <f>IF($A254="","",$D254*$E254)</f>
        <v/>
      </c>
      <c r="I254" s="57" t="n"/>
      <c r="J254" s="75" t="n"/>
      <c r="K254" s="61">
        <f>IF($A254="","",$G254*$J254)</f>
        <v/>
      </c>
      <c r="L254" s="64">
        <f>IF($A254="","",EOMONTH($A254,0))</f>
        <v/>
      </c>
      <c r="M254" s="57" t="n"/>
      <c r="N254" s="57" t="n"/>
    </row>
    <row r="255">
      <c r="A255" s="68" t="n"/>
      <c r="B255" s="69" t="n"/>
      <c r="C255" s="69" t="n"/>
      <c r="D255" s="70" t="n"/>
      <c r="E255" s="71" t="n"/>
      <c r="F255" s="65">
        <f>IF($A255="","",Inputs!$C$15)</f>
        <v/>
      </c>
      <c r="G255" s="50">
        <f>IF($A255="","",$D255*$F255)</f>
        <v/>
      </c>
      <c r="H255" s="66">
        <f>IF($A255="","",$D255*$E255)</f>
        <v/>
      </c>
      <c r="I255" s="69" t="n"/>
      <c r="J255" s="72" t="n"/>
      <c r="K255" s="66">
        <f>IF($A255="","",$G255*$J255)</f>
        <v/>
      </c>
      <c r="L255" s="67">
        <f>IF($A255="","",EOMONTH($A255,0))</f>
        <v/>
      </c>
      <c r="M255" s="69" t="n"/>
      <c r="N255" s="69" t="n"/>
    </row>
    <row r="256">
      <c r="A256" s="73" t="n"/>
      <c r="B256" s="57" t="n"/>
      <c r="C256" s="57" t="n"/>
      <c r="D256" s="58" t="n"/>
      <c r="E256" s="74" t="n"/>
      <c r="F256" s="60">
        <f>IF($A256="","",Inputs!$C$15)</f>
        <v/>
      </c>
      <c r="G256" s="50">
        <f>IF($A256="","",$D256*$F256)</f>
        <v/>
      </c>
      <c r="H256" s="61">
        <f>IF($A256="","",$D256*$E256)</f>
        <v/>
      </c>
      <c r="I256" s="57" t="n"/>
      <c r="J256" s="75" t="n"/>
      <c r="K256" s="61">
        <f>IF($A256="","",$G256*$J256)</f>
        <v/>
      </c>
      <c r="L256" s="64">
        <f>IF($A256="","",EOMONTH($A256,0))</f>
        <v/>
      </c>
      <c r="M256" s="57" t="n"/>
      <c r="N256" s="57" t="n"/>
    </row>
    <row r="257">
      <c r="A257" s="68" t="n"/>
      <c r="B257" s="69" t="n"/>
      <c r="C257" s="69" t="n"/>
      <c r="D257" s="70" t="n"/>
      <c r="E257" s="71" t="n"/>
      <c r="F257" s="65">
        <f>IF($A257="","",Inputs!$C$15)</f>
        <v/>
      </c>
      <c r="G257" s="50">
        <f>IF($A257="","",$D257*$F257)</f>
        <v/>
      </c>
      <c r="H257" s="66">
        <f>IF($A257="","",$D257*$E257)</f>
        <v/>
      </c>
      <c r="I257" s="69" t="n"/>
      <c r="J257" s="72" t="n"/>
      <c r="K257" s="66">
        <f>IF($A257="","",$G257*$J257)</f>
        <v/>
      </c>
      <c r="L257" s="67">
        <f>IF($A257="","",EOMONTH($A257,0))</f>
        <v/>
      </c>
      <c r="M257" s="69" t="n"/>
      <c r="N257" s="69" t="n"/>
    </row>
  </sheetData>
  <mergeCells count="3">
    <mergeCell ref="A5:N5"/>
    <mergeCell ref="A2:N2"/>
    <mergeCell ref="A1:N1"/>
  </mergeCells>
  <dataValidations count="1">
    <dataValidation sqref="I8:I257" showDropDown="0" showInputMessage="0" showErrorMessage="0" allowBlank="1" type="list">
      <formula1>"Funded,Locked,Pre-App,Lead,Lost,Withdrawn"</formula1>
    </dataValidation>
  </dataValidation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tabColor rgb="00C00000"/>
    <outlinePr summaryBelow="1" summaryRight="1"/>
    <pageSetUpPr fitToPage="1"/>
  </sheetPr>
  <dimension ref="A1:R119"/>
  <sheetViews>
    <sheetView showGridLines="0" workbookViewId="0">
      <pane xSplit="2" ySplit="8" topLeftCell="C9" activePane="bottomRight" state="frozen"/>
      <selection pane="topRight"/>
      <selection pane="bottomLeft"/>
      <selection pane="bottomRight" activeCell="A1" sqref="A1"/>
    </sheetView>
  </sheetViews>
  <sheetFormatPr baseColWidth="8" defaultRowHeight="15"/>
  <cols>
    <col width="6" customWidth="1" min="1" max="1"/>
    <col width="12" customWidth="1" min="2" max="2"/>
    <col width="12" customWidth="1" min="3" max="3"/>
    <col width="12" customWidth="1" min="4" max="4"/>
    <col width="13" customWidth="1" min="5" max="5"/>
    <col width="13" customWidth="1" min="6" max="6"/>
    <col width="14" customWidth="1" min="7" max="7"/>
    <col width="14" customWidth="1" min="8" max="8"/>
    <col width="14" customWidth="1" min="9" max="9"/>
    <col width="14" customWidth="1" min="10" max="10"/>
    <col width="13" customWidth="1" min="11" max="11"/>
    <col width="15" customWidth="1" min="12" max="12"/>
    <col width="15" customWidth="1" min="13" max="13"/>
    <col width="15" customWidth="1" min="14" max="14"/>
    <col width="15" customWidth="1" min="15" max="15"/>
    <col width="15" customWidth="1" min="16" max="16"/>
    <col width="10" customWidth="1" min="17" max="17"/>
    <col width="14" customWidth="1" min="18" max="18"/>
  </cols>
  <sheetData>
    <row r="1" ht="26" customHeight="1">
      <c r="A1" s="1" t="inlineStr">
        <is>
          <t>DRAW RECOVERY ENGINE  —  what you actually take home under each comp structure</t>
        </is>
      </c>
      <c r="B1" s="2" t="n"/>
      <c r="C1" s="2" t="n"/>
      <c r="D1" s="2" t="n"/>
      <c r="E1" s="2" t="n"/>
      <c r="F1" s="2" t="n"/>
      <c r="G1" s="2" t="n"/>
      <c r="H1" s="2" t="n"/>
      <c r="I1" s="2" t="n"/>
      <c r="J1" s="2" t="n"/>
      <c r="K1" s="2" t="n"/>
      <c r="L1" s="2" t="n"/>
      <c r="M1" s="2" t="n"/>
      <c r="N1" s="2" t="n"/>
      <c r="O1" s="2" t="n"/>
      <c r="P1" s="2" t="n"/>
      <c r="Q1" s="2" t="n"/>
      <c r="R1" s="2" t="n"/>
    </row>
    <row r="2" ht="15" customHeight="1">
      <c r="A2" s="3" t="inlineStr">
        <is>
          <t>Every SEMI-MONTHLY pay period (15th + month-end) from your first draw forward. Column R holds your 11 real dates; clear one and the formula takes over. The three NET CASH columns (M, N, O) are the whole point: same deals, three very different outcomes.</t>
        </is>
      </c>
      <c r="B2" s="2" t="n"/>
      <c r="C2" s="2" t="n"/>
      <c r="D2" s="2" t="n"/>
      <c r="E2" s="2" t="n"/>
      <c r="F2" s="2" t="n"/>
      <c r="G2" s="2" t="n"/>
      <c r="H2" s="2" t="n"/>
      <c r="I2" s="2" t="n"/>
      <c r="J2" s="2" t="n"/>
      <c r="K2" s="2" t="n"/>
      <c r="L2" s="2" t="n"/>
      <c r="M2" s="2" t="n"/>
      <c r="N2" s="2" t="n"/>
      <c r="O2" s="2" t="n"/>
      <c r="P2" s="2" t="n"/>
      <c r="Q2" s="2" t="n"/>
      <c r="R2" s="2" t="n"/>
    </row>
    <row r="4">
      <c r="A4" s="46" t="inlineStr">
        <is>
          <t>Advance balance owed TODAY (recoverable case):</t>
        </is>
      </c>
      <c r="F4" s="76">
        <f>INDEX($L$9:$L$116,MATCH(Inputs!$C$7,$B$9:$B$116,1))</f>
        <v/>
      </c>
      <c r="G4" s="77" t="inlineStr">
        <is>
          <t>&lt;- if the draw is recoverable, this is what you owe the owner before you earn a dollar of your own.</t>
        </is>
      </c>
    </row>
    <row r="5">
      <c r="A5" s="46" t="inlineStr">
        <is>
          <t>Month you break even (advance hits zero):</t>
        </is>
      </c>
      <c r="F5" s="78">
        <f>IFERROR(INDEX($B$9:$B$116,MATCH(0,$L$9:$L$116,0)),"Not within 3 yrs")</f>
        <v/>
      </c>
      <c r="G5" s="53" t="inlineStr">
        <is>
          <t>&lt;- drive this earlier by logging more funded deals, or by getting the draw reclassified as non-recoverable.</t>
        </is>
      </c>
    </row>
    <row r="8" ht="30" customHeight="1">
      <c r="A8" s="55" t="inlineStr">
        <is>
          <t>#</t>
        </is>
      </c>
      <c r="B8" s="55" t="inlineStr">
        <is>
          <t>Pay Date</t>
        </is>
      </c>
      <c r="C8" s="55" t="inlineStr">
        <is>
          <t>Month</t>
        </is>
      </c>
      <c r="D8" s="55" t="inlineStr">
        <is>
          <t>Draw
Advanced</t>
        </is>
      </c>
      <c r="E8" s="55" t="inlineStr">
        <is>
          <t>Marketing
Advanced</t>
        </is>
      </c>
      <c r="F8" s="55" t="inlineStr">
        <is>
          <t>Total
Advanced</t>
        </is>
      </c>
      <c r="G8" s="55" t="inlineStr">
        <is>
          <t>Cumulative
Advanced</t>
        </is>
      </c>
      <c r="H8" s="55" t="inlineStr">
        <is>
          <t>Commission
Earned</t>
        </is>
      </c>
      <c r="I8" s="55" t="inlineStr">
        <is>
          <t>Cumulative
Commission</t>
        </is>
      </c>
      <c r="J8" s="55" t="inlineStr">
        <is>
          <t>Opening
Advance Bal</t>
        </is>
      </c>
      <c r="K8" s="55" t="inlineStr">
        <is>
          <t>Recapture
Applied</t>
        </is>
      </c>
      <c r="L8" s="55" t="inlineStr">
        <is>
          <t>Closing
Advance Bal</t>
        </is>
      </c>
      <c r="M8" s="55" t="inlineStr">
        <is>
          <t>NET CASH
Recoverable</t>
        </is>
      </c>
      <c r="N8" s="55" t="inlineStr">
        <is>
          <t>NET CASH
Greater-Of</t>
        </is>
      </c>
      <c r="O8" s="55" t="inlineStr">
        <is>
          <t>NET CASH
Stacked</t>
        </is>
      </c>
      <c r="P8" s="55" t="inlineStr">
        <is>
          <t>ACTIVE
(per toggle)</t>
        </is>
      </c>
      <c r="Q8" s="55" t="inlineStr">
        <is>
          <t>Paid?</t>
        </is>
      </c>
      <c r="R8" s="55" t="inlineStr">
        <is>
          <t>ACTUAL date
(override)</t>
        </is>
      </c>
    </row>
    <row r="9">
      <c r="A9" s="79" t="n">
        <v>1</v>
      </c>
      <c r="B9" s="80">
        <f>IF(R9="",Inputs!$C$9,R9)</f>
        <v/>
      </c>
      <c r="C9" s="64">
        <f>EOMONTH(B9,0)</f>
        <v/>
      </c>
      <c r="D9" s="81">
        <f>Inputs!$C$12</f>
        <v/>
      </c>
      <c r="E9" s="61">
        <f>IF(Inputs!$C$19="Recoverable",Inputs!$C$34*12/Inputs!$C$21,0)</f>
        <v/>
      </c>
      <c r="F9" s="61">
        <f>D9+E9</f>
        <v/>
      </c>
      <c r="G9" s="61">
        <f>F9</f>
        <v/>
      </c>
      <c r="H9" s="81">
        <f>SUMIFS('Deal Log'!$G$8:$G$257,'Deal Log'!$A$8:$A$257,"&gt;"&amp;0,'Deal Log'!$A$8:$A$257,"&lt;="&amp;B9,'Deal Log'!$I$8:$I$257,"Funded")</f>
        <v/>
      </c>
      <c r="I9" s="61">
        <f>H9</f>
        <v/>
      </c>
      <c r="J9" s="61">
        <f>0</f>
        <v/>
      </c>
      <c r="K9" s="61">
        <f>MIN(J9+F9,H9)</f>
        <v/>
      </c>
      <c r="L9" s="82">
        <f>MAX(0,J9+F9-H9)</f>
        <v/>
      </c>
      <c r="M9" s="61">
        <f>D9+MAX(0,H9-(J9+F9))</f>
        <v/>
      </c>
      <c r="N9" s="61">
        <f>MAX(D9,H9)</f>
        <v/>
      </c>
      <c r="O9" s="61">
        <f>D9+H9</f>
        <v/>
      </c>
      <c r="P9" s="50">
        <f>IF(Inputs!$C$17="Yes",M9,IF(Inputs!$C$18="Stacked",O9,N9))</f>
        <v/>
      </c>
      <c r="Q9" s="83">
        <f>IF(B9&lt;=Inputs!$C$7,"paid","future")</f>
        <v/>
      </c>
      <c r="R9" s="31" t="n">
        <v>46112</v>
      </c>
    </row>
    <row r="10">
      <c r="A10" s="84" t="n">
        <v>2</v>
      </c>
      <c r="B10" s="85">
        <f>IF(R10="",IF(DAY(B9)&lt;=20,(EOMONTH(B9,0)-IF(Inputs!$C$14="Yes",MAX(0,WEEKDAY(EOMONTH(B9,0),2)-5),0)),(DATE(YEAR(B9),MONTH(B9)+1,Inputs!$C$13)-IF(Inputs!$C$14="Yes",MAX(0,WEEKDAY(DATE(YEAR(B9),MONTH(B9)+1,Inputs!$C$13),2)-5),0))),R10)</f>
        <v/>
      </c>
      <c r="C10" s="67">
        <f>EOMONTH(B10,0)</f>
        <v/>
      </c>
      <c r="D10" s="86">
        <f>Inputs!$C$12</f>
        <v/>
      </c>
      <c r="E10" s="66">
        <f>IF(Inputs!$C$19="Recoverable",Inputs!$C$34*12/Inputs!$C$21,0)</f>
        <v/>
      </c>
      <c r="F10" s="66">
        <f>D10+E10</f>
        <v/>
      </c>
      <c r="G10" s="66">
        <f>G9+F10</f>
        <v/>
      </c>
      <c r="H10" s="86">
        <f>SUMIFS('Deal Log'!$G$8:$G$257,'Deal Log'!$A$8:$A$257,"&gt;"&amp;B9,'Deal Log'!$A$8:$A$257,"&lt;="&amp;B10,'Deal Log'!$I$8:$I$257,"Funded")</f>
        <v/>
      </c>
      <c r="I10" s="66">
        <f>I9+H10</f>
        <v/>
      </c>
      <c r="J10" s="66">
        <f>L9</f>
        <v/>
      </c>
      <c r="K10" s="66">
        <f>MIN(J10+F10,H10)</f>
        <v/>
      </c>
      <c r="L10" s="87">
        <f>MAX(0,J10+F10-H10)</f>
        <v/>
      </c>
      <c r="M10" s="88">
        <f>D10+MAX(0,H10-(J10+F10))</f>
        <v/>
      </c>
      <c r="N10" s="66">
        <f>MAX(D10,H10)</f>
        <v/>
      </c>
      <c r="O10" s="66">
        <f>D10+H10</f>
        <v/>
      </c>
      <c r="P10" s="50">
        <f>IF(Inputs!$C$17="Yes",M10,IF(Inputs!$C$18="Stacked",O10,N10))</f>
        <v/>
      </c>
      <c r="Q10" s="89">
        <f>IF(B10&lt;=Inputs!$C$7,"paid","future")</f>
        <v/>
      </c>
      <c r="R10" s="31" t="n">
        <v>46127</v>
      </c>
    </row>
    <row r="11">
      <c r="A11" s="79" t="n">
        <v>3</v>
      </c>
      <c r="B11" s="80">
        <f>IF(R11="",IF(DAY(B10)&lt;=20,(EOMONTH(B10,0)-IF(Inputs!$C$14="Yes",MAX(0,WEEKDAY(EOMONTH(B10,0),2)-5),0)),(DATE(YEAR(B10),MONTH(B10)+1,Inputs!$C$13)-IF(Inputs!$C$14="Yes",MAX(0,WEEKDAY(DATE(YEAR(B10),MONTH(B10)+1,Inputs!$C$13),2)-5),0))),R11)</f>
        <v/>
      </c>
      <c r="C11" s="64">
        <f>EOMONTH(B11,0)</f>
        <v/>
      </c>
      <c r="D11" s="81">
        <f>Inputs!$C$12</f>
        <v/>
      </c>
      <c r="E11" s="61">
        <f>IF(Inputs!$C$19="Recoverable",Inputs!$C$34*12/Inputs!$C$21,0)</f>
        <v/>
      </c>
      <c r="F11" s="61">
        <f>D11+E11</f>
        <v/>
      </c>
      <c r="G11" s="61">
        <f>G10+F11</f>
        <v/>
      </c>
      <c r="H11" s="81">
        <f>SUMIFS('Deal Log'!$G$8:$G$257,'Deal Log'!$A$8:$A$257,"&gt;"&amp;B10,'Deal Log'!$A$8:$A$257,"&lt;="&amp;B11,'Deal Log'!$I$8:$I$257,"Funded")</f>
        <v/>
      </c>
      <c r="I11" s="61">
        <f>I10+H11</f>
        <v/>
      </c>
      <c r="J11" s="61">
        <f>L10</f>
        <v/>
      </c>
      <c r="K11" s="61">
        <f>MIN(J11+F11,H11)</f>
        <v/>
      </c>
      <c r="L11" s="82">
        <f>MAX(0,J11+F11-H11)</f>
        <v/>
      </c>
      <c r="M11" s="61">
        <f>D11+MAX(0,H11-(J11+F11))</f>
        <v/>
      </c>
      <c r="N11" s="61">
        <f>MAX(D11,H11)</f>
        <v/>
      </c>
      <c r="O11" s="61">
        <f>D11+H11</f>
        <v/>
      </c>
      <c r="P11" s="50">
        <f>IF(Inputs!$C$17="Yes",M11,IF(Inputs!$C$18="Stacked",O11,N11))</f>
        <v/>
      </c>
      <c r="Q11" s="83">
        <f>IF(B11&lt;=Inputs!$C$7,"paid","future")</f>
        <v/>
      </c>
      <c r="R11" s="31" t="n">
        <v>46142</v>
      </c>
    </row>
    <row r="12">
      <c r="A12" s="84" t="n">
        <v>4</v>
      </c>
      <c r="B12" s="85">
        <f>IF(R12="",IF(DAY(B11)&lt;=20,(EOMONTH(B11,0)-IF(Inputs!$C$14="Yes",MAX(0,WEEKDAY(EOMONTH(B11,0),2)-5),0)),(DATE(YEAR(B11),MONTH(B11)+1,Inputs!$C$13)-IF(Inputs!$C$14="Yes",MAX(0,WEEKDAY(DATE(YEAR(B11),MONTH(B11)+1,Inputs!$C$13),2)-5),0))),R12)</f>
        <v/>
      </c>
      <c r="C12" s="67">
        <f>EOMONTH(B12,0)</f>
        <v/>
      </c>
      <c r="D12" s="86">
        <f>Inputs!$C$12</f>
        <v/>
      </c>
      <c r="E12" s="66">
        <f>IF(Inputs!$C$19="Recoverable",Inputs!$C$34*12/Inputs!$C$21,0)</f>
        <v/>
      </c>
      <c r="F12" s="66">
        <f>D12+E12</f>
        <v/>
      </c>
      <c r="G12" s="66">
        <f>G11+F12</f>
        <v/>
      </c>
      <c r="H12" s="86">
        <f>SUMIFS('Deal Log'!$G$8:$G$257,'Deal Log'!$A$8:$A$257,"&gt;"&amp;B11,'Deal Log'!$A$8:$A$257,"&lt;="&amp;B12,'Deal Log'!$I$8:$I$257,"Funded")</f>
        <v/>
      </c>
      <c r="I12" s="66">
        <f>I11+H12</f>
        <v/>
      </c>
      <c r="J12" s="66">
        <f>L11</f>
        <v/>
      </c>
      <c r="K12" s="66">
        <f>MIN(J12+F12,H12)</f>
        <v/>
      </c>
      <c r="L12" s="87">
        <f>MAX(0,J12+F12-H12)</f>
        <v/>
      </c>
      <c r="M12" s="88">
        <f>D12+MAX(0,H12-(J12+F12))</f>
        <v/>
      </c>
      <c r="N12" s="66">
        <f>MAX(D12,H12)</f>
        <v/>
      </c>
      <c r="O12" s="66">
        <f>D12+H12</f>
        <v/>
      </c>
      <c r="P12" s="50">
        <f>IF(Inputs!$C$17="Yes",M12,IF(Inputs!$C$18="Stacked",O12,N12))</f>
        <v/>
      </c>
      <c r="Q12" s="89">
        <f>IF(B12&lt;=Inputs!$C$7,"paid","future")</f>
        <v/>
      </c>
      <c r="R12" s="31" t="n">
        <v>46157</v>
      </c>
    </row>
    <row r="13">
      <c r="A13" s="79" t="n">
        <v>5</v>
      </c>
      <c r="B13" s="80">
        <f>IF(R13="",IF(DAY(B12)&lt;=20,(EOMONTH(B12,0)-IF(Inputs!$C$14="Yes",MAX(0,WEEKDAY(EOMONTH(B12,0),2)-5),0)),(DATE(YEAR(B12),MONTH(B12)+1,Inputs!$C$13)-IF(Inputs!$C$14="Yes",MAX(0,WEEKDAY(DATE(YEAR(B12),MONTH(B12)+1,Inputs!$C$13),2)-5),0))),R13)</f>
        <v/>
      </c>
      <c r="C13" s="64">
        <f>EOMONTH(B13,0)</f>
        <v/>
      </c>
      <c r="D13" s="81">
        <f>Inputs!$C$12</f>
        <v/>
      </c>
      <c r="E13" s="61">
        <f>IF(Inputs!$C$19="Recoverable",Inputs!$C$34*12/Inputs!$C$21,0)</f>
        <v/>
      </c>
      <c r="F13" s="61">
        <f>D13+E13</f>
        <v/>
      </c>
      <c r="G13" s="61">
        <f>G12+F13</f>
        <v/>
      </c>
      <c r="H13" s="81">
        <f>SUMIFS('Deal Log'!$G$8:$G$257,'Deal Log'!$A$8:$A$257,"&gt;"&amp;B12,'Deal Log'!$A$8:$A$257,"&lt;="&amp;B13,'Deal Log'!$I$8:$I$257,"Funded")</f>
        <v/>
      </c>
      <c r="I13" s="61">
        <f>I12+H13</f>
        <v/>
      </c>
      <c r="J13" s="61">
        <f>L12</f>
        <v/>
      </c>
      <c r="K13" s="61">
        <f>MIN(J13+F13,H13)</f>
        <v/>
      </c>
      <c r="L13" s="82">
        <f>MAX(0,J13+F13-H13)</f>
        <v/>
      </c>
      <c r="M13" s="61">
        <f>D13+MAX(0,H13-(J13+F13))</f>
        <v/>
      </c>
      <c r="N13" s="61">
        <f>MAX(D13,H13)</f>
        <v/>
      </c>
      <c r="O13" s="61">
        <f>D13+H13</f>
        <v/>
      </c>
      <c r="P13" s="50">
        <f>IF(Inputs!$C$17="Yes",M13,IF(Inputs!$C$18="Stacked",O13,N13))</f>
        <v/>
      </c>
      <c r="Q13" s="83">
        <f>IF(B13&lt;=Inputs!$C$7,"paid","future")</f>
        <v/>
      </c>
      <c r="R13" s="31" t="n">
        <v>46171</v>
      </c>
    </row>
    <row r="14">
      <c r="A14" s="84" t="n">
        <v>6</v>
      </c>
      <c r="B14" s="85">
        <f>IF(R14="",IF(DAY(B13)&lt;=20,(EOMONTH(B13,0)-IF(Inputs!$C$14="Yes",MAX(0,WEEKDAY(EOMONTH(B13,0),2)-5),0)),(DATE(YEAR(B13),MONTH(B13)+1,Inputs!$C$13)-IF(Inputs!$C$14="Yes",MAX(0,WEEKDAY(DATE(YEAR(B13),MONTH(B13)+1,Inputs!$C$13),2)-5),0))),R14)</f>
        <v/>
      </c>
      <c r="C14" s="67">
        <f>EOMONTH(B14,0)</f>
        <v/>
      </c>
      <c r="D14" s="86">
        <f>Inputs!$C$12</f>
        <v/>
      </c>
      <c r="E14" s="66">
        <f>IF(Inputs!$C$19="Recoverable",Inputs!$C$34*12/Inputs!$C$21,0)</f>
        <v/>
      </c>
      <c r="F14" s="66">
        <f>D14+E14</f>
        <v/>
      </c>
      <c r="G14" s="66">
        <f>G13+F14</f>
        <v/>
      </c>
      <c r="H14" s="86">
        <f>SUMIFS('Deal Log'!$G$8:$G$257,'Deal Log'!$A$8:$A$257,"&gt;"&amp;B13,'Deal Log'!$A$8:$A$257,"&lt;="&amp;B14,'Deal Log'!$I$8:$I$257,"Funded")</f>
        <v/>
      </c>
      <c r="I14" s="66">
        <f>I13+H14</f>
        <v/>
      </c>
      <c r="J14" s="66">
        <f>L13</f>
        <v/>
      </c>
      <c r="K14" s="66">
        <f>MIN(J14+F14,H14)</f>
        <v/>
      </c>
      <c r="L14" s="87">
        <f>MAX(0,J14+F14-H14)</f>
        <v/>
      </c>
      <c r="M14" s="88">
        <f>D14+MAX(0,H14-(J14+F14))</f>
        <v/>
      </c>
      <c r="N14" s="66">
        <f>MAX(D14,H14)</f>
        <v/>
      </c>
      <c r="O14" s="66">
        <f>D14+H14</f>
        <v/>
      </c>
      <c r="P14" s="50">
        <f>IF(Inputs!$C$17="Yes",M14,IF(Inputs!$C$18="Stacked",O14,N14))</f>
        <v/>
      </c>
      <c r="Q14" s="89">
        <f>IF(B14&lt;=Inputs!$C$7,"paid","future")</f>
        <v/>
      </c>
      <c r="R14" s="31" t="n">
        <v>46188</v>
      </c>
    </row>
    <row r="15">
      <c r="A15" s="79" t="n">
        <v>7</v>
      </c>
      <c r="B15" s="80">
        <f>IF(R15="",IF(DAY(B14)&lt;=20,(EOMONTH(B14,0)-IF(Inputs!$C$14="Yes",MAX(0,WEEKDAY(EOMONTH(B14,0),2)-5),0)),(DATE(YEAR(B14),MONTH(B14)+1,Inputs!$C$13)-IF(Inputs!$C$14="Yes",MAX(0,WEEKDAY(DATE(YEAR(B14),MONTH(B14)+1,Inputs!$C$13),2)-5),0))),R15)</f>
        <v/>
      </c>
      <c r="C15" s="64">
        <f>EOMONTH(B15,0)</f>
        <v/>
      </c>
      <c r="D15" s="81">
        <f>Inputs!$C$12</f>
        <v/>
      </c>
      <c r="E15" s="61">
        <f>IF(Inputs!$C$19="Recoverable",Inputs!$C$34*12/Inputs!$C$21,0)</f>
        <v/>
      </c>
      <c r="F15" s="61">
        <f>D15+E15</f>
        <v/>
      </c>
      <c r="G15" s="61">
        <f>G14+F15</f>
        <v/>
      </c>
      <c r="H15" s="81">
        <f>SUMIFS('Deal Log'!$G$8:$G$257,'Deal Log'!$A$8:$A$257,"&gt;"&amp;B14,'Deal Log'!$A$8:$A$257,"&lt;="&amp;B15,'Deal Log'!$I$8:$I$257,"Funded")</f>
        <v/>
      </c>
      <c r="I15" s="61">
        <f>I14+H15</f>
        <v/>
      </c>
      <c r="J15" s="61">
        <f>L14</f>
        <v/>
      </c>
      <c r="K15" s="61">
        <f>MIN(J15+F15,H15)</f>
        <v/>
      </c>
      <c r="L15" s="82">
        <f>MAX(0,J15+F15-H15)</f>
        <v/>
      </c>
      <c r="M15" s="61">
        <f>D15+MAX(0,H15-(J15+F15))</f>
        <v/>
      </c>
      <c r="N15" s="61">
        <f>MAX(D15,H15)</f>
        <v/>
      </c>
      <c r="O15" s="61">
        <f>D15+H15</f>
        <v/>
      </c>
      <c r="P15" s="50">
        <f>IF(Inputs!$C$17="Yes",M15,IF(Inputs!$C$18="Stacked",O15,N15))</f>
        <v/>
      </c>
      <c r="Q15" s="83">
        <f>IF(B15&lt;=Inputs!$C$7,"paid","future")</f>
        <v/>
      </c>
      <c r="R15" s="31" t="n">
        <v>46203</v>
      </c>
    </row>
    <row r="16">
      <c r="A16" s="84" t="n">
        <v>8</v>
      </c>
      <c r="B16" s="85">
        <f>IF(R16="",IF(DAY(B15)&lt;=20,(EOMONTH(B15,0)-IF(Inputs!$C$14="Yes",MAX(0,WEEKDAY(EOMONTH(B15,0),2)-5),0)),(DATE(YEAR(B15),MONTH(B15)+1,Inputs!$C$13)-IF(Inputs!$C$14="Yes",MAX(0,WEEKDAY(DATE(YEAR(B15),MONTH(B15)+1,Inputs!$C$13),2)-5),0))),R16)</f>
        <v/>
      </c>
      <c r="C16" s="67">
        <f>EOMONTH(B16,0)</f>
        <v/>
      </c>
      <c r="D16" s="86">
        <f>Inputs!$C$12</f>
        <v/>
      </c>
      <c r="E16" s="66">
        <f>IF(Inputs!$C$19="Recoverable",Inputs!$C$34*12/Inputs!$C$21,0)</f>
        <v/>
      </c>
      <c r="F16" s="66">
        <f>D16+E16</f>
        <v/>
      </c>
      <c r="G16" s="66">
        <f>G15+F16</f>
        <v/>
      </c>
      <c r="H16" s="86">
        <f>SUMIFS('Deal Log'!$G$8:$G$257,'Deal Log'!$A$8:$A$257,"&gt;"&amp;B15,'Deal Log'!$A$8:$A$257,"&lt;="&amp;B16,'Deal Log'!$I$8:$I$257,"Funded")</f>
        <v/>
      </c>
      <c r="I16" s="66">
        <f>I15+H16</f>
        <v/>
      </c>
      <c r="J16" s="66">
        <f>L15</f>
        <v/>
      </c>
      <c r="K16" s="66">
        <f>MIN(J16+F16,H16)</f>
        <v/>
      </c>
      <c r="L16" s="87">
        <f>MAX(0,J16+F16-H16)</f>
        <v/>
      </c>
      <c r="M16" s="88">
        <f>D16+MAX(0,H16-(J16+F16))</f>
        <v/>
      </c>
      <c r="N16" s="66">
        <f>MAX(D16,H16)</f>
        <v/>
      </c>
      <c r="O16" s="66">
        <f>D16+H16</f>
        <v/>
      </c>
      <c r="P16" s="50">
        <f>IF(Inputs!$C$17="Yes",M16,IF(Inputs!$C$18="Stacked",O16,N16))</f>
        <v/>
      </c>
      <c r="Q16" s="89">
        <f>IF(B16&lt;=Inputs!$C$7,"paid","future")</f>
        <v/>
      </c>
      <c r="R16" s="31" t="n">
        <v>46219</v>
      </c>
    </row>
    <row r="17">
      <c r="A17" s="79" t="n">
        <v>9</v>
      </c>
      <c r="B17" s="80">
        <f>IF(R17="",IF(DAY(B16)&lt;=20,(EOMONTH(B16,0)-IF(Inputs!$C$14="Yes",MAX(0,WEEKDAY(EOMONTH(B16,0),2)-5),0)),(DATE(YEAR(B16),MONTH(B16)+1,Inputs!$C$13)-IF(Inputs!$C$14="Yes",MAX(0,WEEKDAY(DATE(YEAR(B16),MONTH(B16)+1,Inputs!$C$13),2)-5),0))),R17)</f>
        <v/>
      </c>
      <c r="C17" s="64">
        <f>EOMONTH(B17,0)</f>
        <v/>
      </c>
      <c r="D17" s="81">
        <f>Inputs!$C$12</f>
        <v/>
      </c>
      <c r="E17" s="61">
        <f>IF(Inputs!$C$19="Recoverable",Inputs!$C$34*12/Inputs!$C$21,0)</f>
        <v/>
      </c>
      <c r="F17" s="61">
        <f>D17+E17</f>
        <v/>
      </c>
      <c r="G17" s="61">
        <f>G16+F17</f>
        <v/>
      </c>
      <c r="H17" s="81">
        <f>SUMIFS('Deal Log'!$G$8:$G$257,'Deal Log'!$A$8:$A$257,"&gt;"&amp;B16,'Deal Log'!$A$8:$A$257,"&lt;="&amp;B17,'Deal Log'!$I$8:$I$257,"Funded")</f>
        <v/>
      </c>
      <c r="I17" s="61">
        <f>I16+H17</f>
        <v/>
      </c>
      <c r="J17" s="61">
        <f>L16</f>
        <v/>
      </c>
      <c r="K17" s="61">
        <f>MIN(J17+F17,H17)</f>
        <v/>
      </c>
      <c r="L17" s="82">
        <f>MAX(0,J17+F17-H17)</f>
        <v/>
      </c>
      <c r="M17" s="61">
        <f>D17+MAX(0,H17-(J17+F17))</f>
        <v/>
      </c>
      <c r="N17" s="61">
        <f>MAX(D17,H17)</f>
        <v/>
      </c>
      <c r="O17" s="61">
        <f>D17+H17</f>
        <v/>
      </c>
      <c r="P17" s="50">
        <f>IF(Inputs!$C$17="Yes",M17,IF(Inputs!$C$18="Stacked",O17,N17))</f>
        <v/>
      </c>
      <c r="Q17" s="83">
        <f>IF(B17&lt;=Inputs!$C$7,"paid","future")</f>
        <v/>
      </c>
      <c r="R17" s="31" t="n">
        <v>46233</v>
      </c>
    </row>
    <row r="18">
      <c r="A18" s="84" t="n">
        <v>10</v>
      </c>
      <c r="B18" s="85">
        <f>IF(R18="",IF(DAY(B17)&lt;=20,(EOMONTH(B17,0)-IF(Inputs!$C$14="Yes",MAX(0,WEEKDAY(EOMONTH(B17,0),2)-5),0)),(DATE(YEAR(B17),MONTH(B17)+1,Inputs!$C$13)-IF(Inputs!$C$14="Yes",MAX(0,WEEKDAY(DATE(YEAR(B17),MONTH(B17)+1,Inputs!$C$13),2)-5),0))),R18)</f>
        <v/>
      </c>
      <c r="C18" s="67">
        <f>EOMONTH(B18,0)</f>
        <v/>
      </c>
      <c r="D18" s="86">
        <f>Inputs!$C$12</f>
        <v/>
      </c>
      <c r="E18" s="66">
        <f>IF(Inputs!$C$19="Recoverable",Inputs!$C$34*12/Inputs!$C$21,0)</f>
        <v/>
      </c>
      <c r="F18" s="66">
        <f>D18+E18</f>
        <v/>
      </c>
      <c r="G18" s="66">
        <f>G17+F18</f>
        <v/>
      </c>
      <c r="H18" s="86">
        <f>SUMIFS('Deal Log'!$G$8:$G$257,'Deal Log'!$A$8:$A$257,"&gt;"&amp;B17,'Deal Log'!$A$8:$A$257,"&lt;="&amp;B18,'Deal Log'!$I$8:$I$257,"Funded")</f>
        <v/>
      </c>
      <c r="I18" s="66">
        <f>I17+H18</f>
        <v/>
      </c>
      <c r="J18" s="66">
        <f>L17</f>
        <v/>
      </c>
      <c r="K18" s="66">
        <f>MIN(J18+F18,H18)</f>
        <v/>
      </c>
      <c r="L18" s="87">
        <f>MAX(0,J18+F18-H18)</f>
        <v/>
      </c>
      <c r="M18" s="88">
        <f>D18+MAX(0,H18-(J18+F18))</f>
        <v/>
      </c>
      <c r="N18" s="66">
        <f>MAX(D18,H18)</f>
        <v/>
      </c>
      <c r="O18" s="66">
        <f>D18+H18</f>
        <v/>
      </c>
      <c r="P18" s="50">
        <f>IF(Inputs!$C$17="Yes",M18,IF(Inputs!$C$18="Stacked",O18,N18))</f>
        <v/>
      </c>
      <c r="Q18" s="89">
        <f>IF(B18&lt;=Inputs!$C$7,"paid","future")</f>
        <v/>
      </c>
      <c r="R18" s="31" t="n">
        <v>46248</v>
      </c>
    </row>
    <row r="19">
      <c r="A19" s="79" t="n">
        <v>11</v>
      </c>
      <c r="B19" s="80">
        <f>IF(R19="",IF(DAY(B18)&lt;=20,(EOMONTH(B18,0)-IF(Inputs!$C$14="Yes",MAX(0,WEEKDAY(EOMONTH(B18,0),2)-5),0)),(DATE(YEAR(B18),MONTH(B18)+1,Inputs!$C$13)-IF(Inputs!$C$14="Yes",MAX(0,WEEKDAY(DATE(YEAR(B18),MONTH(B18)+1,Inputs!$C$13),2)-5),0))),R19)</f>
        <v/>
      </c>
      <c r="C19" s="64">
        <f>EOMONTH(B19,0)</f>
        <v/>
      </c>
      <c r="D19" s="81">
        <f>Inputs!$C$12</f>
        <v/>
      </c>
      <c r="E19" s="61">
        <f>IF(Inputs!$C$19="Recoverable",Inputs!$C$34*12/Inputs!$C$21,0)</f>
        <v/>
      </c>
      <c r="F19" s="61">
        <f>D19+E19</f>
        <v/>
      </c>
      <c r="G19" s="61">
        <f>G18+F19</f>
        <v/>
      </c>
      <c r="H19" s="81">
        <f>SUMIFS('Deal Log'!$G$8:$G$257,'Deal Log'!$A$8:$A$257,"&gt;"&amp;B18,'Deal Log'!$A$8:$A$257,"&lt;="&amp;B19,'Deal Log'!$I$8:$I$257,"Funded")</f>
        <v/>
      </c>
      <c r="I19" s="61">
        <f>I18+H19</f>
        <v/>
      </c>
      <c r="J19" s="61">
        <f>L18</f>
        <v/>
      </c>
      <c r="K19" s="61">
        <f>MIN(J19+F19,H19)</f>
        <v/>
      </c>
      <c r="L19" s="82">
        <f>MAX(0,J19+F19-H19)</f>
        <v/>
      </c>
      <c r="M19" s="61">
        <f>D19+MAX(0,H19-(J19+F19))</f>
        <v/>
      </c>
      <c r="N19" s="61">
        <f>MAX(D19,H19)</f>
        <v/>
      </c>
      <c r="O19" s="61">
        <f>D19+H19</f>
        <v/>
      </c>
      <c r="P19" s="50">
        <f>IF(Inputs!$C$17="Yes",M19,IF(Inputs!$C$18="Stacked",O19,N19))</f>
        <v/>
      </c>
      <c r="Q19" s="83">
        <f>IF(B19&lt;=Inputs!$C$7,"paid","future")</f>
        <v/>
      </c>
      <c r="R19" s="31" t="n">
        <v>46262</v>
      </c>
    </row>
    <row r="20">
      <c r="A20" s="84" t="n">
        <v>12</v>
      </c>
      <c r="B20" s="85">
        <f>IF(R20="",IF(DAY(B19)&lt;=20,(EOMONTH(B19,0)-IF(Inputs!$C$14="Yes",MAX(0,WEEKDAY(EOMONTH(B19,0),2)-5),0)),(DATE(YEAR(B19),MONTH(B19)+1,Inputs!$C$13)-IF(Inputs!$C$14="Yes",MAX(0,WEEKDAY(DATE(YEAR(B19),MONTH(B19)+1,Inputs!$C$13),2)-5),0))),R20)</f>
        <v/>
      </c>
      <c r="C20" s="67">
        <f>EOMONTH(B20,0)</f>
        <v/>
      </c>
      <c r="D20" s="86">
        <f>Inputs!$C$12</f>
        <v/>
      </c>
      <c r="E20" s="66">
        <f>IF(Inputs!$C$19="Recoverable",Inputs!$C$34*12/Inputs!$C$21,0)</f>
        <v/>
      </c>
      <c r="F20" s="66">
        <f>D20+E20</f>
        <v/>
      </c>
      <c r="G20" s="66">
        <f>G19+F20</f>
        <v/>
      </c>
      <c r="H20" s="86">
        <f>SUMIFS('Deal Log'!$G$8:$G$257,'Deal Log'!$A$8:$A$257,"&gt;"&amp;B19,'Deal Log'!$A$8:$A$257,"&lt;="&amp;B20,'Deal Log'!$I$8:$I$257,"Funded")</f>
        <v/>
      </c>
      <c r="I20" s="66">
        <f>I19+H20</f>
        <v/>
      </c>
      <c r="J20" s="66">
        <f>L19</f>
        <v/>
      </c>
      <c r="K20" s="66">
        <f>MIN(J20+F20,H20)</f>
        <v/>
      </c>
      <c r="L20" s="87">
        <f>MAX(0,J20+F20-H20)</f>
        <v/>
      </c>
      <c r="M20" s="88">
        <f>D20+MAX(0,H20-(J20+F20))</f>
        <v/>
      </c>
      <c r="N20" s="66">
        <f>MAX(D20,H20)</f>
        <v/>
      </c>
      <c r="O20" s="66">
        <f>D20+H20</f>
        <v/>
      </c>
      <c r="P20" s="50">
        <f>IF(Inputs!$C$17="Yes",M20,IF(Inputs!$C$18="Stacked",O20,N20))</f>
        <v/>
      </c>
      <c r="Q20" s="89">
        <f>IF(B20&lt;=Inputs!$C$7,"paid","future")</f>
        <v/>
      </c>
      <c r="R20" s="90" t="n"/>
    </row>
    <row r="21">
      <c r="A21" s="79" t="n">
        <v>13</v>
      </c>
      <c r="B21" s="80">
        <f>IF(R21="",IF(DAY(B20)&lt;=20,(EOMONTH(B20,0)-IF(Inputs!$C$14="Yes",MAX(0,WEEKDAY(EOMONTH(B20,0),2)-5),0)),(DATE(YEAR(B20),MONTH(B20)+1,Inputs!$C$13)-IF(Inputs!$C$14="Yes",MAX(0,WEEKDAY(DATE(YEAR(B20),MONTH(B20)+1,Inputs!$C$13),2)-5),0))),R21)</f>
        <v/>
      </c>
      <c r="C21" s="64">
        <f>EOMONTH(B21,0)</f>
        <v/>
      </c>
      <c r="D21" s="81">
        <f>Inputs!$C$12</f>
        <v/>
      </c>
      <c r="E21" s="61">
        <f>IF(Inputs!$C$19="Recoverable",Inputs!$C$34*12/Inputs!$C$21,0)</f>
        <v/>
      </c>
      <c r="F21" s="61">
        <f>D21+E21</f>
        <v/>
      </c>
      <c r="G21" s="61">
        <f>G20+F21</f>
        <v/>
      </c>
      <c r="H21" s="81">
        <f>SUMIFS('Deal Log'!$G$8:$G$257,'Deal Log'!$A$8:$A$257,"&gt;"&amp;B20,'Deal Log'!$A$8:$A$257,"&lt;="&amp;B21,'Deal Log'!$I$8:$I$257,"Funded")</f>
        <v/>
      </c>
      <c r="I21" s="61">
        <f>I20+H21</f>
        <v/>
      </c>
      <c r="J21" s="61">
        <f>L20</f>
        <v/>
      </c>
      <c r="K21" s="61">
        <f>MIN(J21+F21,H21)</f>
        <v/>
      </c>
      <c r="L21" s="82">
        <f>MAX(0,J21+F21-H21)</f>
        <v/>
      </c>
      <c r="M21" s="61">
        <f>D21+MAX(0,H21-(J21+F21))</f>
        <v/>
      </c>
      <c r="N21" s="61">
        <f>MAX(D21,H21)</f>
        <v/>
      </c>
      <c r="O21" s="61">
        <f>D21+H21</f>
        <v/>
      </c>
      <c r="P21" s="50">
        <f>IF(Inputs!$C$17="Yes",M21,IF(Inputs!$C$18="Stacked",O21,N21))</f>
        <v/>
      </c>
      <c r="Q21" s="83">
        <f>IF(B21&lt;=Inputs!$C$7,"paid","future")</f>
        <v/>
      </c>
      <c r="R21" s="91" t="n"/>
    </row>
    <row r="22">
      <c r="A22" s="84" t="n">
        <v>14</v>
      </c>
      <c r="B22" s="85">
        <f>IF(R22="",IF(DAY(B21)&lt;=20,(EOMONTH(B21,0)-IF(Inputs!$C$14="Yes",MAX(0,WEEKDAY(EOMONTH(B21,0),2)-5),0)),(DATE(YEAR(B21),MONTH(B21)+1,Inputs!$C$13)-IF(Inputs!$C$14="Yes",MAX(0,WEEKDAY(DATE(YEAR(B21),MONTH(B21)+1,Inputs!$C$13),2)-5),0))),R22)</f>
        <v/>
      </c>
      <c r="C22" s="67">
        <f>EOMONTH(B22,0)</f>
        <v/>
      </c>
      <c r="D22" s="86">
        <f>Inputs!$C$12</f>
        <v/>
      </c>
      <c r="E22" s="66">
        <f>IF(Inputs!$C$19="Recoverable",Inputs!$C$34*12/Inputs!$C$21,0)</f>
        <v/>
      </c>
      <c r="F22" s="66">
        <f>D22+E22</f>
        <v/>
      </c>
      <c r="G22" s="66">
        <f>G21+F22</f>
        <v/>
      </c>
      <c r="H22" s="86">
        <f>SUMIFS('Deal Log'!$G$8:$G$257,'Deal Log'!$A$8:$A$257,"&gt;"&amp;B21,'Deal Log'!$A$8:$A$257,"&lt;="&amp;B22,'Deal Log'!$I$8:$I$257,"Funded")</f>
        <v/>
      </c>
      <c r="I22" s="66">
        <f>I21+H22</f>
        <v/>
      </c>
      <c r="J22" s="66">
        <f>L21</f>
        <v/>
      </c>
      <c r="K22" s="66">
        <f>MIN(J22+F22,H22)</f>
        <v/>
      </c>
      <c r="L22" s="87">
        <f>MAX(0,J22+F22-H22)</f>
        <v/>
      </c>
      <c r="M22" s="88">
        <f>D22+MAX(0,H22-(J22+F22))</f>
        <v/>
      </c>
      <c r="N22" s="66">
        <f>MAX(D22,H22)</f>
        <v/>
      </c>
      <c r="O22" s="66">
        <f>D22+H22</f>
        <v/>
      </c>
      <c r="P22" s="50">
        <f>IF(Inputs!$C$17="Yes",M22,IF(Inputs!$C$18="Stacked",O22,N22))</f>
        <v/>
      </c>
      <c r="Q22" s="89">
        <f>IF(B22&lt;=Inputs!$C$7,"paid","future")</f>
        <v/>
      </c>
      <c r="R22" s="90" t="n"/>
    </row>
    <row r="23">
      <c r="A23" s="79" t="n">
        <v>15</v>
      </c>
      <c r="B23" s="80">
        <f>IF(R23="",IF(DAY(B22)&lt;=20,(EOMONTH(B22,0)-IF(Inputs!$C$14="Yes",MAX(0,WEEKDAY(EOMONTH(B22,0),2)-5),0)),(DATE(YEAR(B22),MONTH(B22)+1,Inputs!$C$13)-IF(Inputs!$C$14="Yes",MAX(0,WEEKDAY(DATE(YEAR(B22),MONTH(B22)+1,Inputs!$C$13),2)-5),0))),R23)</f>
        <v/>
      </c>
      <c r="C23" s="64">
        <f>EOMONTH(B23,0)</f>
        <v/>
      </c>
      <c r="D23" s="81">
        <f>Inputs!$C$12</f>
        <v/>
      </c>
      <c r="E23" s="61">
        <f>IF(Inputs!$C$19="Recoverable",Inputs!$C$34*12/Inputs!$C$21,0)</f>
        <v/>
      </c>
      <c r="F23" s="61">
        <f>D23+E23</f>
        <v/>
      </c>
      <c r="G23" s="61">
        <f>G22+F23</f>
        <v/>
      </c>
      <c r="H23" s="81">
        <f>SUMIFS('Deal Log'!$G$8:$G$257,'Deal Log'!$A$8:$A$257,"&gt;"&amp;B22,'Deal Log'!$A$8:$A$257,"&lt;="&amp;B23,'Deal Log'!$I$8:$I$257,"Funded")</f>
        <v/>
      </c>
      <c r="I23" s="61">
        <f>I22+H23</f>
        <v/>
      </c>
      <c r="J23" s="61">
        <f>L22</f>
        <v/>
      </c>
      <c r="K23" s="61">
        <f>MIN(J23+F23,H23)</f>
        <v/>
      </c>
      <c r="L23" s="82">
        <f>MAX(0,J23+F23-H23)</f>
        <v/>
      </c>
      <c r="M23" s="61">
        <f>D23+MAX(0,H23-(J23+F23))</f>
        <v/>
      </c>
      <c r="N23" s="61">
        <f>MAX(D23,H23)</f>
        <v/>
      </c>
      <c r="O23" s="61">
        <f>D23+H23</f>
        <v/>
      </c>
      <c r="P23" s="50">
        <f>IF(Inputs!$C$17="Yes",M23,IF(Inputs!$C$18="Stacked",O23,N23))</f>
        <v/>
      </c>
      <c r="Q23" s="83">
        <f>IF(B23&lt;=Inputs!$C$7,"paid","future")</f>
        <v/>
      </c>
      <c r="R23" s="91" t="n"/>
    </row>
    <row r="24">
      <c r="A24" s="84" t="n">
        <v>16</v>
      </c>
      <c r="B24" s="85">
        <f>IF(R24="",IF(DAY(B23)&lt;=20,(EOMONTH(B23,0)-IF(Inputs!$C$14="Yes",MAX(0,WEEKDAY(EOMONTH(B23,0),2)-5),0)),(DATE(YEAR(B23),MONTH(B23)+1,Inputs!$C$13)-IF(Inputs!$C$14="Yes",MAX(0,WEEKDAY(DATE(YEAR(B23),MONTH(B23)+1,Inputs!$C$13),2)-5),0))),R24)</f>
        <v/>
      </c>
      <c r="C24" s="67">
        <f>EOMONTH(B24,0)</f>
        <v/>
      </c>
      <c r="D24" s="86">
        <f>Inputs!$C$12</f>
        <v/>
      </c>
      <c r="E24" s="66">
        <f>IF(Inputs!$C$19="Recoverable",Inputs!$C$34*12/Inputs!$C$21,0)</f>
        <v/>
      </c>
      <c r="F24" s="66">
        <f>D24+E24</f>
        <v/>
      </c>
      <c r="G24" s="66">
        <f>G23+F24</f>
        <v/>
      </c>
      <c r="H24" s="86">
        <f>SUMIFS('Deal Log'!$G$8:$G$257,'Deal Log'!$A$8:$A$257,"&gt;"&amp;B23,'Deal Log'!$A$8:$A$257,"&lt;="&amp;B24,'Deal Log'!$I$8:$I$257,"Funded")</f>
        <v/>
      </c>
      <c r="I24" s="66">
        <f>I23+H24</f>
        <v/>
      </c>
      <c r="J24" s="66">
        <f>L23</f>
        <v/>
      </c>
      <c r="K24" s="66">
        <f>MIN(J24+F24,H24)</f>
        <v/>
      </c>
      <c r="L24" s="87">
        <f>MAX(0,J24+F24-H24)</f>
        <v/>
      </c>
      <c r="M24" s="88">
        <f>D24+MAX(0,H24-(J24+F24))</f>
        <v/>
      </c>
      <c r="N24" s="66">
        <f>MAX(D24,H24)</f>
        <v/>
      </c>
      <c r="O24" s="66">
        <f>D24+H24</f>
        <v/>
      </c>
      <c r="P24" s="50">
        <f>IF(Inputs!$C$17="Yes",M24,IF(Inputs!$C$18="Stacked",O24,N24))</f>
        <v/>
      </c>
      <c r="Q24" s="89">
        <f>IF(B24&lt;=Inputs!$C$7,"paid","future")</f>
        <v/>
      </c>
      <c r="R24" s="90" t="n"/>
    </row>
    <row r="25">
      <c r="A25" s="79" t="n">
        <v>17</v>
      </c>
      <c r="B25" s="80">
        <f>IF(R25="",IF(DAY(B24)&lt;=20,(EOMONTH(B24,0)-IF(Inputs!$C$14="Yes",MAX(0,WEEKDAY(EOMONTH(B24,0),2)-5),0)),(DATE(YEAR(B24),MONTH(B24)+1,Inputs!$C$13)-IF(Inputs!$C$14="Yes",MAX(0,WEEKDAY(DATE(YEAR(B24),MONTH(B24)+1,Inputs!$C$13),2)-5),0))),R25)</f>
        <v/>
      </c>
      <c r="C25" s="64">
        <f>EOMONTH(B25,0)</f>
        <v/>
      </c>
      <c r="D25" s="81">
        <f>Inputs!$C$12</f>
        <v/>
      </c>
      <c r="E25" s="61">
        <f>IF(Inputs!$C$19="Recoverable",Inputs!$C$34*12/Inputs!$C$21,0)</f>
        <v/>
      </c>
      <c r="F25" s="61">
        <f>D25+E25</f>
        <v/>
      </c>
      <c r="G25" s="61">
        <f>G24+F25</f>
        <v/>
      </c>
      <c r="H25" s="81">
        <f>SUMIFS('Deal Log'!$G$8:$G$257,'Deal Log'!$A$8:$A$257,"&gt;"&amp;B24,'Deal Log'!$A$8:$A$257,"&lt;="&amp;B25,'Deal Log'!$I$8:$I$257,"Funded")</f>
        <v/>
      </c>
      <c r="I25" s="61">
        <f>I24+H25</f>
        <v/>
      </c>
      <c r="J25" s="61">
        <f>L24</f>
        <v/>
      </c>
      <c r="K25" s="61">
        <f>MIN(J25+F25,H25)</f>
        <v/>
      </c>
      <c r="L25" s="82">
        <f>MAX(0,J25+F25-H25)</f>
        <v/>
      </c>
      <c r="M25" s="61">
        <f>D25+MAX(0,H25-(J25+F25))</f>
        <v/>
      </c>
      <c r="N25" s="61">
        <f>MAX(D25,H25)</f>
        <v/>
      </c>
      <c r="O25" s="61">
        <f>D25+H25</f>
        <v/>
      </c>
      <c r="P25" s="50">
        <f>IF(Inputs!$C$17="Yes",M25,IF(Inputs!$C$18="Stacked",O25,N25))</f>
        <v/>
      </c>
      <c r="Q25" s="83">
        <f>IF(B25&lt;=Inputs!$C$7,"paid","future")</f>
        <v/>
      </c>
      <c r="R25" s="91" t="n"/>
    </row>
    <row r="26">
      <c r="A26" s="84" t="n">
        <v>18</v>
      </c>
      <c r="B26" s="85">
        <f>IF(R26="",IF(DAY(B25)&lt;=20,(EOMONTH(B25,0)-IF(Inputs!$C$14="Yes",MAX(0,WEEKDAY(EOMONTH(B25,0),2)-5),0)),(DATE(YEAR(B25),MONTH(B25)+1,Inputs!$C$13)-IF(Inputs!$C$14="Yes",MAX(0,WEEKDAY(DATE(YEAR(B25),MONTH(B25)+1,Inputs!$C$13),2)-5),0))),R26)</f>
        <v/>
      </c>
      <c r="C26" s="67">
        <f>EOMONTH(B26,0)</f>
        <v/>
      </c>
      <c r="D26" s="86">
        <f>Inputs!$C$12</f>
        <v/>
      </c>
      <c r="E26" s="66">
        <f>IF(Inputs!$C$19="Recoverable",Inputs!$C$34*12/Inputs!$C$21,0)</f>
        <v/>
      </c>
      <c r="F26" s="66">
        <f>D26+E26</f>
        <v/>
      </c>
      <c r="G26" s="66">
        <f>G25+F26</f>
        <v/>
      </c>
      <c r="H26" s="86">
        <f>SUMIFS('Deal Log'!$G$8:$G$257,'Deal Log'!$A$8:$A$257,"&gt;"&amp;B25,'Deal Log'!$A$8:$A$257,"&lt;="&amp;B26,'Deal Log'!$I$8:$I$257,"Funded")</f>
        <v/>
      </c>
      <c r="I26" s="66">
        <f>I25+H26</f>
        <v/>
      </c>
      <c r="J26" s="66">
        <f>L25</f>
        <v/>
      </c>
      <c r="K26" s="66">
        <f>MIN(J26+F26,H26)</f>
        <v/>
      </c>
      <c r="L26" s="87">
        <f>MAX(0,J26+F26-H26)</f>
        <v/>
      </c>
      <c r="M26" s="88">
        <f>D26+MAX(0,H26-(J26+F26))</f>
        <v/>
      </c>
      <c r="N26" s="66">
        <f>MAX(D26,H26)</f>
        <v/>
      </c>
      <c r="O26" s="66">
        <f>D26+H26</f>
        <v/>
      </c>
      <c r="P26" s="50">
        <f>IF(Inputs!$C$17="Yes",M26,IF(Inputs!$C$18="Stacked",O26,N26))</f>
        <v/>
      </c>
      <c r="Q26" s="89">
        <f>IF(B26&lt;=Inputs!$C$7,"paid","future")</f>
        <v/>
      </c>
      <c r="R26" s="90" t="n"/>
    </row>
    <row r="27">
      <c r="A27" s="79" t="n">
        <v>19</v>
      </c>
      <c r="B27" s="80">
        <f>IF(R27="",IF(DAY(B26)&lt;=20,(EOMONTH(B26,0)-IF(Inputs!$C$14="Yes",MAX(0,WEEKDAY(EOMONTH(B26,0),2)-5),0)),(DATE(YEAR(B26),MONTH(B26)+1,Inputs!$C$13)-IF(Inputs!$C$14="Yes",MAX(0,WEEKDAY(DATE(YEAR(B26),MONTH(B26)+1,Inputs!$C$13),2)-5),0))),R27)</f>
        <v/>
      </c>
      <c r="C27" s="64">
        <f>EOMONTH(B27,0)</f>
        <v/>
      </c>
      <c r="D27" s="81">
        <f>Inputs!$C$12</f>
        <v/>
      </c>
      <c r="E27" s="61">
        <f>IF(Inputs!$C$19="Recoverable",Inputs!$C$34*12/Inputs!$C$21,0)</f>
        <v/>
      </c>
      <c r="F27" s="61">
        <f>D27+E27</f>
        <v/>
      </c>
      <c r="G27" s="61">
        <f>G26+F27</f>
        <v/>
      </c>
      <c r="H27" s="81">
        <f>SUMIFS('Deal Log'!$G$8:$G$257,'Deal Log'!$A$8:$A$257,"&gt;"&amp;B26,'Deal Log'!$A$8:$A$257,"&lt;="&amp;B27,'Deal Log'!$I$8:$I$257,"Funded")</f>
        <v/>
      </c>
      <c r="I27" s="61">
        <f>I26+H27</f>
        <v/>
      </c>
      <c r="J27" s="61">
        <f>L26</f>
        <v/>
      </c>
      <c r="K27" s="61">
        <f>MIN(J27+F27,H27)</f>
        <v/>
      </c>
      <c r="L27" s="82">
        <f>MAX(0,J27+F27-H27)</f>
        <v/>
      </c>
      <c r="M27" s="61">
        <f>D27+MAX(0,H27-(J27+F27))</f>
        <v/>
      </c>
      <c r="N27" s="61">
        <f>MAX(D27,H27)</f>
        <v/>
      </c>
      <c r="O27" s="61">
        <f>D27+H27</f>
        <v/>
      </c>
      <c r="P27" s="50">
        <f>IF(Inputs!$C$17="Yes",M27,IF(Inputs!$C$18="Stacked",O27,N27))</f>
        <v/>
      </c>
      <c r="Q27" s="83">
        <f>IF(B27&lt;=Inputs!$C$7,"paid","future")</f>
        <v/>
      </c>
      <c r="R27" s="91" t="n"/>
    </row>
    <row r="28">
      <c r="A28" s="84" t="n">
        <v>20</v>
      </c>
      <c r="B28" s="85">
        <f>IF(R28="",IF(DAY(B27)&lt;=20,(EOMONTH(B27,0)-IF(Inputs!$C$14="Yes",MAX(0,WEEKDAY(EOMONTH(B27,0),2)-5),0)),(DATE(YEAR(B27),MONTH(B27)+1,Inputs!$C$13)-IF(Inputs!$C$14="Yes",MAX(0,WEEKDAY(DATE(YEAR(B27),MONTH(B27)+1,Inputs!$C$13),2)-5),0))),R28)</f>
        <v/>
      </c>
      <c r="C28" s="67">
        <f>EOMONTH(B28,0)</f>
        <v/>
      </c>
      <c r="D28" s="86">
        <f>Inputs!$C$12</f>
        <v/>
      </c>
      <c r="E28" s="66">
        <f>IF(Inputs!$C$19="Recoverable",Inputs!$C$34*12/Inputs!$C$21,0)</f>
        <v/>
      </c>
      <c r="F28" s="66">
        <f>D28+E28</f>
        <v/>
      </c>
      <c r="G28" s="66">
        <f>G27+F28</f>
        <v/>
      </c>
      <c r="H28" s="86">
        <f>SUMIFS('Deal Log'!$G$8:$G$257,'Deal Log'!$A$8:$A$257,"&gt;"&amp;B27,'Deal Log'!$A$8:$A$257,"&lt;="&amp;B28,'Deal Log'!$I$8:$I$257,"Funded")</f>
        <v/>
      </c>
      <c r="I28" s="66">
        <f>I27+H28</f>
        <v/>
      </c>
      <c r="J28" s="66">
        <f>L27</f>
        <v/>
      </c>
      <c r="K28" s="66">
        <f>MIN(J28+F28,H28)</f>
        <v/>
      </c>
      <c r="L28" s="87">
        <f>MAX(0,J28+F28-H28)</f>
        <v/>
      </c>
      <c r="M28" s="88">
        <f>D28+MAX(0,H28-(J28+F28))</f>
        <v/>
      </c>
      <c r="N28" s="66">
        <f>MAX(D28,H28)</f>
        <v/>
      </c>
      <c r="O28" s="66">
        <f>D28+H28</f>
        <v/>
      </c>
      <c r="P28" s="50">
        <f>IF(Inputs!$C$17="Yes",M28,IF(Inputs!$C$18="Stacked",O28,N28))</f>
        <v/>
      </c>
      <c r="Q28" s="89">
        <f>IF(B28&lt;=Inputs!$C$7,"paid","future")</f>
        <v/>
      </c>
      <c r="R28" s="90" t="n"/>
    </row>
    <row r="29">
      <c r="A29" s="79" t="n">
        <v>21</v>
      </c>
      <c r="B29" s="80">
        <f>IF(R29="",IF(DAY(B28)&lt;=20,(EOMONTH(B28,0)-IF(Inputs!$C$14="Yes",MAX(0,WEEKDAY(EOMONTH(B28,0),2)-5),0)),(DATE(YEAR(B28),MONTH(B28)+1,Inputs!$C$13)-IF(Inputs!$C$14="Yes",MAX(0,WEEKDAY(DATE(YEAR(B28),MONTH(B28)+1,Inputs!$C$13),2)-5),0))),R29)</f>
        <v/>
      </c>
      <c r="C29" s="64">
        <f>EOMONTH(B29,0)</f>
        <v/>
      </c>
      <c r="D29" s="81">
        <f>Inputs!$C$12</f>
        <v/>
      </c>
      <c r="E29" s="61">
        <f>IF(Inputs!$C$19="Recoverable",Inputs!$C$34*12/Inputs!$C$21,0)</f>
        <v/>
      </c>
      <c r="F29" s="61">
        <f>D29+E29</f>
        <v/>
      </c>
      <c r="G29" s="61">
        <f>G28+F29</f>
        <v/>
      </c>
      <c r="H29" s="81">
        <f>SUMIFS('Deal Log'!$G$8:$G$257,'Deal Log'!$A$8:$A$257,"&gt;"&amp;B28,'Deal Log'!$A$8:$A$257,"&lt;="&amp;B29,'Deal Log'!$I$8:$I$257,"Funded")</f>
        <v/>
      </c>
      <c r="I29" s="61">
        <f>I28+H29</f>
        <v/>
      </c>
      <c r="J29" s="61">
        <f>L28</f>
        <v/>
      </c>
      <c r="K29" s="61">
        <f>MIN(J29+F29,H29)</f>
        <v/>
      </c>
      <c r="L29" s="82">
        <f>MAX(0,J29+F29-H29)</f>
        <v/>
      </c>
      <c r="M29" s="61">
        <f>D29+MAX(0,H29-(J29+F29))</f>
        <v/>
      </c>
      <c r="N29" s="61">
        <f>MAX(D29,H29)</f>
        <v/>
      </c>
      <c r="O29" s="61">
        <f>D29+H29</f>
        <v/>
      </c>
      <c r="P29" s="50">
        <f>IF(Inputs!$C$17="Yes",M29,IF(Inputs!$C$18="Stacked",O29,N29))</f>
        <v/>
      </c>
      <c r="Q29" s="83">
        <f>IF(B29&lt;=Inputs!$C$7,"paid","future")</f>
        <v/>
      </c>
      <c r="R29" s="91" t="n"/>
    </row>
    <row r="30">
      <c r="A30" s="84" t="n">
        <v>22</v>
      </c>
      <c r="B30" s="85">
        <f>IF(R30="",IF(DAY(B29)&lt;=20,(EOMONTH(B29,0)-IF(Inputs!$C$14="Yes",MAX(0,WEEKDAY(EOMONTH(B29,0),2)-5),0)),(DATE(YEAR(B29),MONTH(B29)+1,Inputs!$C$13)-IF(Inputs!$C$14="Yes",MAX(0,WEEKDAY(DATE(YEAR(B29),MONTH(B29)+1,Inputs!$C$13),2)-5),0))),R30)</f>
        <v/>
      </c>
      <c r="C30" s="67">
        <f>EOMONTH(B30,0)</f>
        <v/>
      </c>
      <c r="D30" s="86">
        <f>Inputs!$C$12</f>
        <v/>
      </c>
      <c r="E30" s="66">
        <f>IF(Inputs!$C$19="Recoverable",Inputs!$C$34*12/Inputs!$C$21,0)</f>
        <v/>
      </c>
      <c r="F30" s="66">
        <f>D30+E30</f>
        <v/>
      </c>
      <c r="G30" s="66">
        <f>G29+F30</f>
        <v/>
      </c>
      <c r="H30" s="86">
        <f>SUMIFS('Deal Log'!$G$8:$G$257,'Deal Log'!$A$8:$A$257,"&gt;"&amp;B29,'Deal Log'!$A$8:$A$257,"&lt;="&amp;B30,'Deal Log'!$I$8:$I$257,"Funded")</f>
        <v/>
      </c>
      <c r="I30" s="66">
        <f>I29+H30</f>
        <v/>
      </c>
      <c r="J30" s="66">
        <f>L29</f>
        <v/>
      </c>
      <c r="K30" s="66">
        <f>MIN(J30+F30,H30)</f>
        <v/>
      </c>
      <c r="L30" s="87">
        <f>MAX(0,J30+F30-H30)</f>
        <v/>
      </c>
      <c r="M30" s="88">
        <f>D30+MAX(0,H30-(J30+F30))</f>
        <v/>
      </c>
      <c r="N30" s="66">
        <f>MAX(D30,H30)</f>
        <v/>
      </c>
      <c r="O30" s="66">
        <f>D30+H30</f>
        <v/>
      </c>
      <c r="P30" s="50">
        <f>IF(Inputs!$C$17="Yes",M30,IF(Inputs!$C$18="Stacked",O30,N30))</f>
        <v/>
      </c>
      <c r="Q30" s="89">
        <f>IF(B30&lt;=Inputs!$C$7,"paid","future")</f>
        <v/>
      </c>
      <c r="R30" s="90" t="n"/>
    </row>
    <row r="31">
      <c r="A31" s="79" t="n">
        <v>23</v>
      </c>
      <c r="B31" s="80">
        <f>IF(R31="",IF(DAY(B30)&lt;=20,(EOMONTH(B30,0)-IF(Inputs!$C$14="Yes",MAX(0,WEEKDAY(EOMONTH(B30,0),2)-5),0)),(DATE(YEAR(B30),MONTH(B30)+1,Inputs!$C$13)-IF(Inputs!$C$14="Yes",MAX(0,WEEKDAY(DATE(YEAR(B30),MONTH(B30)+1,Inputs!$C$13),2)-5),0))),R31)</f>
        <v/>
      </c>
      <c r="C31" s="64">
        <f>EOMONTH(B31,0)</f>
        <v/>
      </c>
      <c r="D31" s="81">
        <f>Inputs!$C$12</f>
        <v/>
      </c>
      <c r="E31" s="61">
        <f>IF(Inputs!$C$19="Recoverable",Inputs!$C$34*12/Inputs!$C$21,0)</f>
        <v/>
      </c>
      <c r="F31" s="61">
        <f>D31+E31</f>
        <v/>
      </c>
      <c r="G31" s="61">
        <f>G30+F31</f>
        <v/>
      </c>
      <c r="H31" s="81">
        <f>SUMIFS('Deal Log'!$G$8:$G$257,'Deal Log'!$A$8:$A$257,"&gt;"&amp;B30,'Deal Log'!$A$8:$A$257,"&lt;="&amp;B31,'Deal Log'!$I$8:$I$257,"Funded")</f>
        <v/>
      </c>
      <c r="I31" s="61">
        <f>I30+H31</f>
        <v/>
      </c>
      <c r="J31" s="61">
        <f>L30</f>
        <v/>
      </c>
      <c r="K31" s="61">
        <f>MIN(J31+F31,H31)</f>
        <v/>
      </c>
      <c r="L31" s="82">
        <f>MAX(0,J31+F31-H31)</f>
        <v/>
      </c>
      <c r="M31" s="61">
        <f>D31+MAX(0,H31-(J31+F31))</f>
        <v/>
      </c>
      <c r="N31" s="61">
        <f>MAX(D31,H31)</f>
        <v/>
      </c>
      <c r="O31" s="61">
        <f>D31+H31</f>
        <v/>
      </c>
      <c r="P31" s="50">
        <f>IF(Inputs!$C$17="Yes",M31,IF(Inputs!$C$18="Stacked",O31,N31))</f>
        <v/>
      </c>
      <c r="Q31" s="83">
        <f>IF(B31&lt;=Inputs!$C$7,"paid","future")</f>
        <v/>
      </c>
      <c r="R31" s="91" t="n"/>
    </row>
    <row r="32">
      <c r="A32" s="84" t="n">
        <v>24</v>
      </c>
      <c r="B32" s="85">
        <f>IF(R32="",IF(DAY(B31)&lt;=20,(EOMONTH(B31,0)-IF(Inputs!$C$14="Yes",MAX(0,WEEKDAY(EOMONTH(B31,0),2)-5),0)),(DATE(YEAR(B31),MONTH(B31)+1,Inputs!$C$13)-IF(Inputs!$C$14="Yes",MAX(0,WEEKDAY(DATE(YEAR(B31),MONTH(B31)+1,Inputs!$C$13),2)-5),0))),R32)</f>
        <v/>
      </c>
      <c r="C32" s="67">
        <f>EOMONTH(B32,0)</f>
        <v/>
      </c>
      <c r="D32" s="86">
        <f>Inputs!$C$12</f>
        <v/>
      </c>
      <c r="E32" s="66">
        <f>IF(Inputs!$C$19="Recoverable",Inputs!$C$34*12/Inputs!$C$21,0)</f>
        <v/>
      </c>
      <c r="F32" s="66">
        <f>D32+E32</f>
        <v/>
      </c>
      <c r="G32" s="66">
        <f>G31+F32</f>
        <v/>
      </c>
      <c r="H32" s="86">
        <f>SUMIFS('Deal Log'!$G$8:$G$257,'Deal Log'!$A$8:$A$257,"&gt;"&amp;B31,'Deal Log'!$A$8:$A$257,"&lt;="&amp;B32,'Deal Log'!$I$8:$I$257,"Funded")</f>
        <v/>
      </c>
      <c r="I32" s="66">
        <f>I31+H32</f>
        <v/>
      </c>
      <c r="J32" s="66">
        <f>L31</f>
        <v/>
      </c>
      <c r="K32" s="66">
        <f>MIN(J32+F32,H32)</f>
        <v/>
      </c>
      <c r="L32" s="87">
        <f>MAX(0,J32+F32-H32)</f>
        <v/>
      </c>
      <c r="M32" s="88">
        <f>D32+MAX(0,H32-(J32+F32))</f>
        <v/>
      </c>
      <c r="N32" s="66">
        <f>MAX(D32,H32)</f>
        <v/>
      </c>
      <c r="O32" s="66">
        <f>D32+H32</f>
        <v/>
      </c>
      <c r="P32" s="50">
        <f>IF(Inputs!$C$17="Yes",M32,IF(Inputs!$C$18="Stacked",O32,N32))</f>
        <v/>
      </c>
      <c r="Q32" s="89">
        <f>IF(B32&lt;=Inputs!$C$7,"paid","future")</f>
        <v/>
      </c>
      <c r="R32" s="90" t="n"/>
    </row>
    <row r="33">
      <c r="A33" s="79" t="n">
        <v>25</v>
      </c>
      <c r="B33" s="80">
        <f>IF(R33="",IF(DAY(B32)&lt;=20,(EOMONTH(B32,0)-IF(Inputs!$C$14="Yes",MAX(0,WEEKDAY(EOMONTH(B32,0),2)-5),0)),(DATE(YEAR(B32),MONTH(B32)+1,Inputs!$C$13)-IF(Inputs!$C$14="Yes",MAX(0,WEEKDAY(DATE(YEAR(B32),MONTH(B32)+1,Inputs!$C$13),2)-5),0))),R33)</f>
        <v/>
      </c>
      <c r="C33" s="64">
        <f>EOMONTH(B33,0)</f>
        <v/>
      </c>
      <c r="D33" s="81">
        <f>Inputs!$C$12</f>
        <v/>
      </c>
      <c r="E33" s="61">
        <f>IF(Inputs!$C$19="Recoverable",Inputs!$C$34*12/Inputs!$C$21,0)</f>
        <v/>
      </c>
      <c r="F33" s="61">
        <f>D33+E33</f>
        <v/>
      </c>
      <c r="G33" s="61">
        <f>G32+F33</f>
        <v/>
      </c>
      <c r="H33" s="81">
        <f>SUMIFS('Deal Log'!$G$8:$G$257,'Deal Log'!$A$8:$A$257,"&gt;"&amp;B32,'Deal Log'!$A$8:$A$257,"&lt;="&amp;B33,'Deal Log'!$I$8:$I$257,"Funded")</f>
        <v/>
      </c>
      <c r="I33" s="61">
        <f>I32+H33</f>
        <v/>
      </c>
      <c r="J33" s="61">
        <f>L32</f>
        <v/>
      </c>
      <c r="K33" s="61">
        <f>MIN(J33+F33,H33)</f>
        <v/>
      </c>
      <c r="L33" s="82">
        <f>MAX(0,J33+F33-H33)</f>
        <v/>
      </c>
      <c r="M33" s="61">
        <f>D33+MAX(0,H33-(J33+F33))</f>
        <v/>
      </c>
      <c r="N33" s="61">
        <f>MAX(D33,H33)</f>
        <v/>
      </c>
      <c r="O33" s="61">
        <f>D33+H33</f>
        <v/>
      </c>
      <c r="P33" s="50">
        <f>IF(Inputs!$C$17="Yes",M33,IF(Inputs!$C$18="Stacked",O33,N33))</f>
        <v/>
      </c>
      <c r="Q33" s="83">
        <f>IF(B33&lt;=Inputs!$C$7,"paid","future")</f>
        <v/>
      </c>
      <c r="R33" s="91" t="n"/>
    </row>
    <row r="34">
      <c r="A34" s="84" t="n">
        <v>26</v>
      </c>
      <c r="B34" s="85">
        <f>IF(R34="",IF(DAY(B33)&lt;=20,(EOMONTH(B33,0)-IF(Inputs!$C$14="Yes",MAX(0,WEEKDAY(EOMONTH(B33,0),2)-5),0)),(DATE(YEAR(B33),MONTH(B33)+1,Inputs!$C$13)-IF(Inputs!$C$14="Yes",MAX(0,WEEKDAY(DATE(YEAR(B33),MONTH(B33)+1,Inputs!$C$13),2)-5),0))),R34)</f>
        <v/>
      </c>
      <c r="C34" s="67">
        <f>EOMONTH(B34,0)</f>
        <v/>
      </c>
      <c r="D34" s="86">
        <f>Inputs!$C$12</f>
        <v/>
      </c>
      <c r="E34" s="66">
        <f>IF(Inputs!$C$19="Recoverable",Inputs!$C$34*12/Inputs!$C$21,0)</f>
        <v/>
      </c>
      <c r="F34" s="66">
        <f>D34+E34</f>
        <v/>
      </c>
      <c r="G34" s="66">
        <f>G33+F34</f>
        <v/>
      </c>
      <c r="H34" s="86">
        <f>SUMIFS('Deal Log'!$G$8:$G$257,'Deal Log'!$A$8:$A$257,"&gt;"&amp;B33,'Deal Log'!$A$8:$A$257,"&lt;="&amp;B34,'Deal Log'!$I$8:$I$257,"Funded")</f>
        <v/>
      </c>
      <c r="I34" s="66">
        <f>I33+H34</f>
        <v/>
      </c>
      <c r="J34" s="66">
        <f>L33</f>
        <v/>
      </c>
      <c r="K34" s="66">
        <f>MIN(J34+F34,H34)</f>
        <v/>
      </c>
      <c r="L34" s="87">
        <f>MAX(0,J34+F34-H34)</f>
        <v/>
      </c>
      <c r="M34" s="88">
        <f>D34+MAX(0,H34-(J34+F34))</f>
        <v/>
      </c>
      <c r="N34" s="66">
        <f>MAX(D34,H34)</f>
        <v/>
      </c>
      <c r="O34" s="66">
        <f>D34+H34</f>
        <v/>
      </c>
      <c r="P34" s="50">
        <f>IF(Inputs!$C$17="Yes",M34,IF(Inputs!$C$18="Stacked",O34,N34))</f>
        <v/>
      </c>
      <c r="Q34" s="89">
        <f>IF(B34&lt;=Inputs!$C$7,"paid","future")</f>
        <v/>
      </c>
      <c r="R34" s="90" t="n"/>
    </row>
    <row r="35">
      <c r="A35" s="79" t="n">
        <v>27</v>
      </c>
      <c r="B35" s="80">
        <f>IF(R35="",IF(DAY(B34)&lt;=20,(EOMONTH(B34,0)-IF(Inputs!$C$14="Yes",MAX(0,WEEKDAY(EOMONTH(B34,0),2)-5),0)),(DATE(YEAR(B34),MONTH(B34)+1,Inputs!$C$13)-IF(Inputs!$C$14="Yes",MAX(0,WEEKDAY(DATE(YEAR(B34),MONTH(B34)+1,Inputs!$C$13),2)-5),0))),R35)</f>
        <v/>
      </c>
      <c r="C35" s="64">
        <f>EOMONTH(B35,0)</f>
        <v/>
      </c>
      <c r="D35" s="81">
        <f>Inputs!$C$12</f>
        <v/>
      </c>
      <c r="E35" s="61">
        <f>IF(Inputs!$C$19="Recoverable",Inputs!$C$34*12/Inputs!$C$21,0)</f>
        <v/>
      </c>
      <c r="F35" s="61">
        <f>D35+E35</f>
        <v/>
      </c>
      <c r="G35" s="61">
        <f>G34+F35</f>
        <v/>
      </c>
      <c r="H35" s="81">
        <f>SUMIFS('Deal Log'!$G$8:$G$257,'Deal Log'!$A$8:$A$257,"&gt;"&amp;B34,'Deal Log'!$A$8:$A$257,"&lt;="&amp;B35,'Deal Log'!$I$8:$I$257,"Funded")</f>
        <v/>
      </c>
      <c r="I35" s="61">
        <f>I34+H35</f>
        <v/>
      </c>
      <c r="J35" s="61">
        <f>L34</f>
        <v/>
      </c>
      <c r="K35" s="61">
        <f>MIN(J35+F35,H35)</f>
        <v/>
      </c>
      <c r="L35" s="82">
        <f>MAX(0,J35+F35-H35)</f>
        <v/>
      </c>
      <c r="M35" s="61">
        <f>D35+MAX(0,H35-(J35+F35))</f>
        <v/>
      </c>
      <c r="N35" s="61">
        <f>MAX(D35,H35)</f>
        <v/>
      </c>
      <c r="O35" s="61">
        <f>D35+H35</f>
        <v/>
      </c>
      <c r="P35" s="50">
        <f>IF(Inputs!$C$17="Yes",M35,IF(Inputs!$C$18="Stacked",O35,N35))</f>
        <v/>
      </c>
      <c r="Q35" s="83">
        <f>IF(B35&lt;=Inputs!$C$7,"paid","future")</f>
        <v/>
      </c>
      <c r="R35" s="91" t="n"/>
    </row>
    <row r="36">
      <c r="A36" s="84" t="n">
        <v>28</v>
      </c>
      <c r="B36" s="85">
        <f>IF(R36="",IF(DAY(B35)&lt;=20,(EOMONTH(B35,0)-IF(Inputs!$C$14="Yes",MAX(0,WEEKDAY(EOMONTH(B35,0),2)-5),0)),(DATE(YEAR(B35),MONTH(B35)+1,Inputs!$C$13)-IF(Inputs!$C$14="Yes",MAX(0,WEEKDAY(DATE(YEAR(B35),MONTH(B35)+1,Inputs!$C$13),2)-5),0))),R36)</f>
        <v/>
      </c>
      <c r="C36" s="67">
        <f>EOMONTH(B36,0)</f>
        <v/>
      </c>
      <c r="D36" s="86">
        <f>Inputs!$C$12</f>
        <v/>
      </c>
      <c r="E36" s="66">
        <f>IF(Inputs!$C$19="Recoverable",Inputs!$C$34*12/Inputs!$C$21,0)</f>
        <v/>
      </c>
      <c r="F36" s="66">
        <f>D36+E36</f>
        <v/>
      </c>
      <c r="G36" s="66">
        <f>G35+F36</f>
        <v/>
      </c>
      <c r="H36" s="86">
        <f>SUMIFS('Deal Log'!$G$8:$G$257,'Deal Log'!$A$8:$A$257,"&gt;"&amp;B35,'Deal Log'!$A$8:$A$257,"&lt;="&amp;B36,'Deal Log'!$I$8:$I$257,"Funded")</f>
        <v/>
      </c>
      <c r="I36" s="66">
        <f>I35+H36</f>
        <v/>
      </c>
      <c r="J36" s="66">
        <f>L35</f>
        <v/>
      </c>
      <c r="K36" s="66">
        <f>MIN(J36+F36,H36)</f>
        <v/>
      </c>
      <c r="L36" s="87">
        <f>MAX(0,J36+F36-H36)</f>
        <v/>
      </c>
      <c r="M36" s="88">
        <f>D36+MAX(0,H36-(J36+F36))</f>
        <v/>
      </c>
      <c r="N36" s="66">
        <f>MAX(D36,H36)</f>
        <v/>
      </c>
      <c r="O36" s="66">
        <f>D36+H36</f>
        <v/>
      </c>
      <c r="P36" s="50">
        <f>IF(Inputs!$C$17="Yes",M36,IF(Inputs!$C$18="Stacked",O36,N36))</f>
        <v/>
      </c>
      <c r="Q36" s="89">
        <f>IF(B36&lt;=Inputs!$C$7,"paid","future")</f>
        <v/>
      </c>
      <c r="R36" s="90" t="n"/>
    </row>
    <row r="37">
      <c r="A37" s="79" t="n">
        <v>29</v>
      </c>
      <c r="B37" s="80">
        <f>IF(R37="",IF(DAY(B36)&lt;=20,(EOMONTH(B36,0)-IF(Inputs!$C$14="Yes",MAX(0,WEEKDAY(EOMONTH(B36,0),2)-5),0)),(DATE(YEAR(B36),MONTH(B36)+1,Inputs!$C$13)-IF(Inputs!$C$14="Yes",MAX(0,WEEKDAY(DATE(YEAR(B36),MONTH(B36)+1,Inputs!$C$13),2)-5),0))),R37)</f>
        <v/>
      </c>
      <c r="C37" s="64">
        <f>EOMONTH(B37,0)</f>
        <v/>
      </c>
      <c r="D37" s="81">
        <f>Inputs!$C$12</f>
        <v/>
      </c>
      <c r="E37" s="61">
        <f>IF(Inputs!$C$19="Recoverable",Inputs!$C$34*12/Inputs!$C$21,0)</f>
        <v/>
      </c>
      <c r="F37" s="61">
        <f>D37+E37</f>
        <v/>
      </c>
      <c r="G37" s="61">
        <f>G36+F37</f>
        <v/>
      </c>
      <c r="H37" s="81">
        <f>SUMIFS('Deal Log'!$G$8:$G$257,'Deal Log'!$A$8:$A$257,"&gt;"&amp;B36,'Deal Log'!$A$8:$A$257,"&lt;="&amp;B37,'Deal Log'!$I$8:$I$257,"Funded")</f>
        <v/>
      </c>
      <c r="I37" s="61">
        <f>I36+H37</f>
        <v/>
      </c>
      <c r="J37" s="61">
        <f>L36</f>
        <v/>
      </c>
      <c r="K37" s="61">
        <f>MIN(J37+F37,H37)</f>
        <v/>
      </c>
      <c r="L37" s="82">
        <f>MAX(0,J37+F37-H37)</f>
        <v/>
      </c>
      <c r="M37" s="61">
        <f>D37+MAX(0,H37-(J37+F37))</f>
        <v/>
      </c>
      <c r="N37" s="61">
        <f>MAX(D37,H37)</f>
        <v/>
      </c>
      <c r="O37" s="61">
        <f>D37+H37</f>
        <v/>
      </c>
      <c r="P37" s="50">
        <f>IF(Inputs!$C$17="Yes",M37,IF(Inputs!$C$18="Stacked",O37,N37))</f>
        <v/>
      </c>
      <c r="Q37" s="83">
        <f>IF(B37&lt;=Inputs!$C$7,"paid","future")</f>
        <v/>
      </c>
      <c r="R37" s="91" t="n"/>
    </row>
    <row r="38">
      <c r="A38" s="84" t="n">
        <v>30</v>
      </c>
      <c r="B38" s="85">
        <f>IF(R38="",IF(DAY(B37)&lt;=20,(EOMONTH(B37,0)-IF(Inputs!$C$14="Yes",MAX(0,WEEKDAY(EOMONTH(B37,0),2)-5),0)),(DATE(YEAR(B37),MONTH(B37)+1,Inputs!$C$13)-IF(Inputs!$C$14="Yes",MAX(0,WEEKDAY(DATE(YEAR(B37),MONTH(B37)+1,Inputs!$C$13),2)-5),0))),R38)</f>
        <v/>
      </c>
      <c r="C38" s="67">
        <f>EOMONTH(B38,0)</f>
        <v/>
      </c>
      <c r="D38" s="86">
        <f>Inputs!$C$12</f>
        <v/>
      </c>
      <c r="E38" s="66">
        <f>IF(Inputs!$C$19="Recoverable",Inputs!$C$34*12/Inputs!$C$21,0)</f>
        <v/>
      </c>
      <c r="F38" s="66">
        <f>D38+E38</f>
        <v/>
      </c>
      <c r="G38" s="66">
        <f>G37+F38</f>
        <v/>
      </c>
      <c r="H38" s="86">
        <f>SUMIFS('Deal Log'!$G$8:$G$257,'Deal Log'!$A$8:$A$257,"&gt;"&amp;B37,'Deal Log'!$A$8:$A$257,"&lt;="&amp;B38,'Deal Log'!$I$8:$I$257,"Funded")</f>
        <v/>
      </c>
      <c r="I38" s="66">
        <f>I37+H38</f>
        <v/>
      </c>
      <c r="J38" s="66">
        <f>L37</f>
        <v/>
      </c>
      <c r="K38" s="66">
        <f>MIN(J38+F38,H38)</f>
        <v/>
      </c>
      <c r="L38" s="87">
        <f>MAX(0,J38+F38-H38)</f>
        <v/>
      </c>
      <c r="M38" s="88">
        <f>D38+MAX(0,H38-(J38+F38))</f>
        <v/>
      </c>
      <c r="N38" s="66">
        <f>MAX(D38,H38)</f>
        <v/>
      </c>
      <c r="O38" s="66">
        <f>D38+H38</f>
        <v/>
      </c>
      <c r="P38" s="50">
        <f>IF(Inputs!$C$17="Yes",M38,IF(Inputs!$C$18="Stacked",O38,N38))</f>
        <v/>
      </c>
      <c r="Q38" s="89">
        <f>IF(B38&lt;=Inputs!$C$7,"paid","future")</f>
        <v/>
      </c>
      <c r="R38" s="90" t="n"/>
    </row>
    <row r="39">
      <c r="A39" s="79" t="n">
        <v>31</v>
      </c>
      <c r="B39" s="80">
        <f>IF(R39="",IF(DAY(B38)&lt;=20,(EOMONTH(B38,0)-IF(Inputs!$C$14="Yes",MAX(0,WEEKDAY(EOMONTH(B38,0),2)-5),0)),(DATE(YEAR(B38),MONTH(B38)+1,Inputs!$C$13)-IF(Inputs!$C$14="Yes",MAX(0,WEEKDAY(DATE(YEAR(B38),MONTH(B38)+1,Inputs!$C$13),2)-5),0))),R39)</f>
        <v/>
      </c>
      <c r="C39" s="64">
        <f>EOMONTH(B39,0)</f>
        <v/>
      </c>
      <c r="D39" s="81">
        <f>Inputs!$C$12</f>
        <v/>
      </c>
      <c r="E39" s="61">
        <f>IF(Inputs!$C$19="Recoverable",Inputs!$C$34*12/Inputs!$C$21,0)</f>
        <v/>
      </c>
      <c r="F39" s="61">
        <f>D39+E39</f>
        <v/>
      </c>
      <c r="G39" s="61">
        <f>G38+F39</f>
        <v/>
      </c>
      <c r="H39" s="81">
        <f>SUMIFS('Deal Log'!$G$8:$G$257,'Deal Log'!$A$8:$A$257,"&gt;"&amp;B38,'Deal Log'!$A$8:$A$257,"&lt;="&amp;B39,'Deal Log'!$I$8:$I$257,"Funded")</f>
        <v/>
      </c>
      <c r="I39" s="61">
        <f>I38+H39</f>
        <v/>
      </c>
      <c r="J39" s="61">
        <f>L38</f>
        <v/>
      </c>
      <c r="K39" s="61">
        <f>MIN(J39+F39,H39)</f>
        <v/>
      </c>
      <c r="L39" s="82">
        <f>MAX(0,J39+F39-H39)</f>
        <v/>
      </c>
      <c r="M39" s="61">
        <f>D39+MAX(0,H39-(J39+F39))</f>
        <v/>
      </c>
      <c r="N39" s="61">
        <f>MAX(D39,H39)</f>
        <v/>
      </c>
      <c r="O39" s="61">
        <f>D39+H39</f>
        <v/>
      </c>
      <c r="P39" s="50">
        <f>IF(Inputs!$C$17="Yes",M39,IF(Inputs!$C$18="Stacked",O39,N39))</f>
        <v/>
      </c>
      <c r="Q39" s="83">
        <f>IF(B39&lt;=Inputs!$C$7,"paid","future")</f>
        <v/>
      </c>
      <c r="R39" s="91" t="n"/>
    </row>
    <row r="40">
      <c r="A40" s="84" t="n">
        <v>32</v>
      </c>
      <c r="B40" s="85">
        <f>IF(R40="",IF(DAY(B39)&lt;=20,(EOMONTH(B39,0)-IF(Inputs!$C$14="Yes",MAX(0,WEEKDAY(EOMONTH(B39,0),2)-5),0)),(DATE(YEAR(B39),MONTH(B39)+1,Inputs!$C$13)-IF(Inputs!$C$14="Yes",MAX(0,WEEKDAY(DATE(YEAR(B39),MONTH(B39)+1,Inputs!$C$13),2)-5),0))),R40)</f>
        <v/>
      </c>
      <c r="C40" s="67">
        <f>EOMONTH(B40,0)</f>
        <v/>
      </c>
      <c r="D40" s="86">
        <f>Inputs!$C$12</f>
        <v/>
      </c>
      <c r="E40" s="66">
        <f>IF(Inputs!$C$19="Recoverable",Inputs!$C$34*12/Inputs!$C$21,0)</f>
        <v/>
      </c>
      <c r="F40" s="66">
        <f>D40+E40</f>
        <v/>
      </c>
      <c r="G40" s="66">
        <f>G39+F40</f>
        <v/>
      </c>
      <c r="H40" s="86">
        <f>SUMIFS('Deal Log'!$G$8:$G$257,'Deal Log'!$A$8:$A$257,"&gt;"&amp;B39,'Deal Log'!$A$8:$A$257,"&lt;="&amp;B40,'Deal Log'!$I$8:$I$257,"Funded")</f>
        <v/>
      </c>
      <c r="I40" s="66">
        <f>I39+H40</f>
        <v/>
      </c>
      <c r="J40" s="66">
        <f>L39</f>
        <v/>
      </c>
      <c r="K40" s="66">
        <f>MIN(J40+F40,H40)</f>
        <v/>
      </c>
      <c r="L40" s="87">
        <f>MAX(0,J40+F40-H40)</f>
        <v/>
      </c>
      <c r="M40" s="88">
        <f>D40+MAX(0,H40-(J40+F40))</f>
        <v/>
      </c>
      <c r="N40" s="66">
        <f>MAX(D40,H40)</f>
        <v/>
      </c>
      <c r="O40" s="66">
        <f>D40+H40</f>
        <v/>
      </c>
      <c r="P40" s="50">
        <f>IF(Inputs!$C$17="Yes",M40,IF(Inputs!$C$18="Stacked",O40,N40))</f>
        <v/>
      </c>
      <c r="Q40" s="89">
        <f>IF(B40&lt;=Inputs!$C$7,"paid","future")</f>
        <v/>
      </c>
      <c r="R40" s="90" t="n"/>
    </row>
    <row r="41">
      <c r="A41" s="79" t="n">
        <v>33</v>
      </c>
      <c r="B41" s="80">
        <f>IF(R41="",IF(DAY(B40)&lt;=20,(EOMONTH(B40,0)-IF(Inputs!$C$14="Yes",MAX(0,WEEKDAY(EOMONTH(B40,0),2)-5),0)),(DATE(YEAR(B40),MONTH(B40)+1,Inputs!$C$13)-IF(Inputs!$C$14="Yes",MAX(0,WEEKDAY(DATE(YEAR(B40),MONTH(B40)+1,Inputs!$C$13),2)-5),0))),R41)</f>
        <v/>
      </c>
      <c r="C41" s="64">
        <f>EOMONTH(B41,0)</f>
        <v/>
      </c>
      <c r="D41" s="81">
        <f>Inputs!$C$12</f>
        <v/>
      </c>
      <c r="E41" s="61">
        <f>IF(Inputs!$C$19="Recoverable",Inputs!$C$34*12/Inputs!$C$21,0)</f>
        <v/>
      </c>
      <c r="F41" s="61">
        <f>D41+E41</f>
        <v/>
      </c>
      <c r="G41" s="61">
        <f>G40+F41</f>
        <v/>
      </c>
      <c r="H41" s="81">
        <f>SUMIFS('Deal Log'!$G$8:$G$257,'Deal Log'!$A$8:$A$257,"&gt;"&amp;B40,'Deal Log'!$A$8:$A$257,"&lt;="&amp;B41,'Deal Log'!$I$8:$I$257,"Funded")</f>
        <v/>
      </c>
      <c r="I41" s="61">
        <f>I40+H41</f>
        <v/>
      </c>
      <c r="J41" s="61">
        <f>L40</f>
        <v/>
      </c>
      <c r="K41" s="61">
        <f>MIN(J41+F41,H41)</f>
        <v/>
      </c>
      <c r="L41" s="82">
        <f>MAX(0,J41+F41-H41)</f>
        <v/>
      </c>
      <c r="M41" s="61">
        <f>D41+MAX(0,H41-(J41+F41))</f>
        <v/>
      </c>
      <c r="N41" s="61">
        <f>MAX(D41,H41)</f>
        <v/>
      </c>
      <c r="O41" s="61">
        <f>D41+H41</f>
        <v/>
      </c>
      <c r="P41" s="50">
        <f>IF(Inputs!$C$17="Yes",M41,IF(Inputs!$C$18="Stacked",O41,N41))</f>
        <v/>
      </c>
      <c r="Q41" s="83">
        <f>IF(B41&lt;=Inputs!$C$7,"paid","future")</f>
        <v/>
      </c>
      <c r="R41" s="91" t="n"/>
    </row>
    <row r="42">
      <c r="A42" s="84" t="n">
        <v>34</v>
      </c>
      <c r="B42" s="85">
        <f>IF(R42="",IF(DAY(B41)&lt;=20,(EOMONTH(B41,0)-IF(Inputs!$C$14="Yes",MAX(0,WEEKDAY(EOMONTH(B41,0),2)-5),0)),(DATE(YEAR(B41),MONTH(B41)+1,Inputs!$C$13)-IF(Inputs!$C$14="Yes",MAX(0,WEEKDAY(DATE(YEAR(B41),MONTH(B41)+1,Inputs!$C$13),2)-5),0))),R42)</f>
        <v/>
      </c>
      <c r="C42" s="67">
        <f>EOMONTH(B42,0)</f>
        <v/>
      </c>
      <c r="D42" s="86">
        <f>Inputs!$C$12</f>
        <v/>
      </c>
      <c r="E42" s="66">
        <f>IF(Inputs!$C$19="Recoverable",Inputs!$C$34*12/Inputs!$C$21,0)</f>
        <v/>
      </c>
      <c r="F42" s="66">
        <f>D42+E42</f>
        <v/>
      </c>
      <c r="G42" s="66">
        <f>G41+F42</f>
        <v/>
      </c>
      <c r="H42" s="86">
        <f>SUMIFS('Deal Log'!$G$8:$G$257,'Deal Log'!$A$8:$A$257,"&gt;"&amp;B41,'Deal Log'!$A$8:$A$257,"&lt;="&amp;B42,'Deal Log'!$I$8:$I$257,"Funded")</f>
        <v/>
      </c>
      <c r="I42" s="66">
        <f>I41+H42</f>
        <v/>
      </c>
      <c r="J42" s="66">
        <f>L41</f>
        <v/>
      </c>
      <c r="K42" s="66">
        <f>MIN(J42+F42,H42)</f>
        <v/>
      </c>
      <c r="L42" s="87">
        <f>MAX(0,J42+F42-H42)</f>
        <v/>
      </c>
      <c r="M42" s="88">
        <f>D42+MAX(0,H42-(J42+F42))</f>
        <v/>
      </c>
      <c r="N42" s="66">
        <f>MAX(D42,H42)</f>
        <v/>
      </c>
      <c r="O42" s="66">
        <f>D42+H42</f>
        <v/>
      </c>
      <c r="P42" s="50">
        <f>IF(Inputs!$C$17="Yes",M42,IF(Inputs!$C$18="Stacked",O42,N42))</f>
        <v/>
      </c>
      <c r="Q42" s="89">
        <f>IF(B42&lt;=Inputs!$C$7,"paid","future")</f>
        <v/>
      </c>
      <c r="R42" s="90" t="n"/>
    </row>
    <row r="43">
      <c r="A43" s="79" t="n">
        <v>35</v>
      </c>
      <c r="B43" s="80">
        <f>IF(R43="",IF(DAY(B42)&lt;=20,(EOMONTH(B42,0)-IF(Inputs!$C$14="Yes",MAX(0,WEEKDAY(EOMONTH(B42,0),2)-5),0)),(DATE(YEAR(B42),MONTH(B42)+1,Inputs!$C$13)-IF(Inputs!$C$14="Yes",MAX(0,WEEKDAY(DATE(YEAR(B42),MONTH(B42)+1,Inputs!$C$13),2)-5),0))),R43)</f>
        <v/>
      </c>
      <c r="C43" s="64">
        <f>EOMONTH(B43,0)</f>
        <v/>
      </c>
      <c r="D43" s="81">
        <f>Inputs!$C$12</f>
        <v/>
      </c>
      <c r="E43" s="61">
        <f>IF(Inputs!$C$19="Recoverable",Inputs!$C$34*12/Inputs!$C$21,0)</f>
        <v/>
      </c>
      <c r="F43" s="61">
        <f>D43+E43</f>
        <v/>
      </c>
      <c r="G43" s="61">
        <f>G42+F43</f>
        <v/>
      </c>
      <c r="H43" s="81">
        <f>SUMIFS('Deal Log'!$G$8:$G$257,'Deal Log'!$A$8:$A$257,"&gt;"&amp;B42,'Deal Log'!$A$8:$A$257,"&lt;="&amp;B43,'Deal Log'!$I$8:$I$257,"Funded")</f>
        <v/>
      </c>
      <c r="I43" s="61">
        <f>I42+H43</f>
        <v/>
      </c>
      <c r="J43" s="61">
        <f>L42</f>
        <v/>
      </c>
      <c r="K43" s="61">
        <f>MIN(J43+F43,H43)</f>
        <v/>
      </c>
      <c r="L43" s="82">
        <f>MAX(0,J43+F43-H43)</f>
        <v/>
      </c>
      <c r="M43" s="61">
        <f>D43+MAX(0,H43-(J43+F43))</f>
        <v/>
      </c>
      <c r="N43" s="61">
        <f>MAX(D43,H43)</f>
        <v/>
      </c>
      <c r="O43" s="61">
        <f>D43+H43</f>
        <v/>
      </c>
      <c r="P43" s="50">
        <f>IF(Inputs!$C$17="Yes",M43,IF(Inputs!$C$18="Stacked",O43,N43))</f>
        <v/>
      </c>
      <c r="Q43" s="83">
        <f>IF(B43&lt;=Inputs!$C$7,"paid","future")</f>
        <v/>
      </c>
      <c r="R43" s="91" t="n"/>
    </row>
    <row r="44">
      <c r="A44" s="84" t="n">
        <v>36</v>
      </c>
      <c r="B44" s="85">
        <f>IF(R44="",IF(DAY(B43)&lt;=20,(EOMONTH(B43,0)-IF(Inputs!$C$14="Yes",MAX(0,WEEKDAY(EOMONTH(B43,0),2)-5),0)),(DATE(YEAR(B43),MONTH(B43)+1,Inputs!$C$13)-IF(Inputs!$C$14="Yes",MAX(0,WEEKDAY(DATE(YEAR(B43),MONTH(B43)+1,Inputs!$C$13),2)-5),0))),R44)</f>
        <v/>
      </c>
      <c r="C44" s="67">
        <f>EOMONTH(B44,0)</f>
        <v/>
      </c>
      <c r="D44" s="86">
        <f>Inputs!$C$12</f>
        <v/>
      </c>
      <c r="E44" s="66">
        <f>IF(Inputs!$C$19="Recoverable",Inputs!$C$34*12/Inputs!$C$21,0)</f>
        <v/>
      </c>
      <c r="F44" s="66">
        <f>D44+E44</f>
        <v/>
      </c>
      <c r="G44" s="66">
        <f>G43+F44</f>
        <v/>
      </c>
      <c r="H44" s="86">
        <f>SUMIFS('Deal Log'!$G$8:$G$257,'Deal Log'!$A$8:$A$257,"&gt;"&amp;B43,'Deal Log'!$A$8:$A$257,"&lt;="&amp;B44,'Deal Log'!$I$8:$I$257,"Funded")</f>
        <v/>
      </c>
      <c r="I44" s="66">
        <f>I43+H44</f>
        <v/>
      </c>
      <c r="J44" s="66">
        <f>L43</f>
        <v/>
      </c>
      <c r="K44" s="66">
        <f>MIN(J44+F44,H44)</f>
        <v/>
      </c>
      <c r="L44" s="87">
        <f>MAX(0,J44+F44-H44)</f>
        <v/>
      </c>
      <c r="M44" s="88">
        <f>D44+MAX(0,H44-(J44+F44))</f>
        <v/>
      </c>
      <c r="N44" s="66">
        <f>MAX(D44,H44)</f>
        <v/>
      </c>
      <c r="O44" s="66">
        <f>D44+H44</f>
        <v/>
      </c>
      <c r="P44" s="50">
        <f>IF(Inputs!$C$17="Yes",M44,IF(Inputs!$C$18="Stacked",O44,N44))</f>
        <v/>
      </c>
      <c r="Q44" s="89">
        <f>IF(B44&lt;=Inputs!$C$7,"paid","future")</f>
        <v/>
      </c>
      <c r="R44" s="90" t="n"/>
    </row>
    <row r="45">
      <c r="A45" s="79" t="n">
        <v>37</v>
      </c>
      <c r="B45" s="80">
        <f>IF(R45="",IF(DAY(B44)&lt;=20,(EOMONTH(B44,0)-IF(Inputs!$C$14="Yes",MAX(0,WEEKDAY(EOMONTH(B44,0),2)-5),0)),(DATE(YEAR(B44),MONTH(B44)+1,Inputs!$C$13)-IF(Inputs!$C$14="Yes",MAX(0,WEEKDAY(DATE(YEAR(B44),MONTH(B44)+1,Inputs!$C$13),2)-5),0))),R45)</f>
        <v/>
      </c>
      <c r="C45" s="64">
        <f>EOMONTH(B45,0)</f>
        <v/>
      </c>
      <c r="D45" s="81">
        <f>Inputs!$C$12</f>
        <v/>
      </c>
      <c r="E45" s="61">
        <f>IF(Inputs!$C$19="Recoverable",Inputs!$C$34*12/Inputs!$C$21,0)</f>
        <v/>
      </c>
      <c r="F45" s="61">
        <f>D45+E45</f>
        <v/>
      </c>
      <c r="G45" s="61">
        <f>G44+F45</f>
        <v/>
      </c>
      <c r="H45" s="81">
        <f>SUMIFS('Deal Log'!$G$8:$G$257,'Deal Log'!$A$8:$A$257,"&gt;"&amp;B44,'Deal Log'!$A$8:$A$257,"&lt;="&amp;B45,'Deal Log'!$I$8:$I$257,"Funded")</f>
        <v/>
      </c>
      <c r="I45" s="61">
        <f>I44+H45</f>
        <v/>
      </c>
      <c r="J45" s="61">
        <f>L44</f>
        <v/>
      </c>
      <c r="K45" s="61">
        <f>MIN(J45+F45,H45)</f>
        <v/>
      </c>
      <c r="L45" s="82">
        <f>MAX(0,J45+F45-H45)</f>
        <v/>
      </c>
      <c r="M45" s="61">
        <f>D45+MAX(0,H45-(J45+F45))</f>
        <v/>
      </c>
      <c r="N45" s="61">
        <f>MAX(D45,H45)</f>
        <v/>
      </c>
      <c r="O45" s="61">
        <f>D45+H45</f>
        <v/>
      </c>
      <c r="P45" s="50">
        <f>IF(Inputs!$C$17="Yes",M45,IF(Inputs!$C$18="Stacked",O45,N45))</f>
        <v/>
      </c>
      <c r="Q45" s="83">
        <f>IF(B45&lt;=Inputs!$C$7,"paid","future")</f>
        <v/>
      </c>
      <c r="R45" s="91" t="n"/>
    </row>
    <row r="46">
      <c r="A46" s="84" t="n">
        <v>38</v>
      </c>
      <c r="B46" s="85">
        <f>IF(R46="",IF(DAY(B45)&lt;=20,(EOMONTH(B45,0)-IF(Inputs!$C$14="Yes",MAX(0,WEEKDAY(EOMONTH(B45,0),2)-5),0)),(DATE(YEAR(B45),MONTH(B45)+1,Inputs!$C$13)-IF(Inputs!$C$14="Yes",MAX(0,WEEKDAY(DATE(YEAR(B45),MONTH(B45)+1,Inputs!$C$13),2)-5),0))),R46)</f>
        <v/>
      </c>
      <c r="C46" s="67">
        <f>EOMONTH(B46,0)</f>
        <v/>
      </c>
      <c r="D46" s="86">
        <f>Inputs!$C$12</f>
        <v/>
      </c>
      <c r="E46" s="66">
        <f>IF(Inputs!$C$19="Recoverable",Inputs!$C$34*12/Inputs!$C$21,0)</f>
        <v/>
      </c>
      <c r="F46" s="66">
        <f>D46+E46</f>
        <v/>
      </c>
      <c r="G46" s="66">
        <f>G45+F46</f>
        <v/>
      </c>
      <c r="H46" s="86">
        <f>SUMIFS('Deal Log'!$G$8:$G$257,'Deal Log'!$A$8:$A$257,"&gt;"&amp;B45,'Deal Log'!$A$8:$A$257,"&lt;="&amp;B46,'Deal Log'!$I$8:$I$257,"Funded")</f>
        <v/>
      </c>
      <c r="I46" s="66">
        <f>I45+H46</f>
        <v/>
      </c>
      <c r="J46" s="66">
        <f>L45</f>
        <v/>
      </c>
      <c r="K46" s="66">
        <f>MIN(J46+F46,H46)</f>
        <v/>
      </c>
      <c r="L46" s="87">
        <f>MAX(0,J46+F46-H46)</f>
        <v/>
      </c>
      <c r="M46" s="88">
        <f>D46+MAX(0,H46-(J46+F46))</f>
        <v/>
      </c>
      <c r="N46" s="66">
        <f>MAX(D46,H46)</f>
        <v/>
      </c>
      <c r="O46" s="66">
        <f>D46+H46</f>
        <v/>
      </c>
      <c r="P46" s="50">
        <f>IF(Inputs!$C$17="Yes",M46,IF(Inputs!$C$18="Stacked",O46,N46))</f>
        <v/>
      </c>
      <c r="Q46" s="89">
        <f>IF(B46&lt;=Inputs!$C$7,"paid","future")</f>
        <v/>
      </c>
      <c r="R46" s="90" t="n"/>
    </row>
    <row r="47">
      <c r="A47" s="79" t="n">
        <v>39</v>
      </c>
      <c r="B47" s="80">
        <f>IF(R47="",IF(DAY(B46)&lt;=20,(EOMONTH(B46,0)-IF(Inputs!$C$14="Yes",MAX(0,WEEKDAY(EOMONTH(B46,0),2)-5),0)),(DATE(YEAR(B46),MONTH(B46)+1,Inputs!$C$13)-IF(Inputs!$C$14="Yes",MAX(0,WEEKDAY(DATE(YEAR(B46),MONTH(B46)+1,Inputs!$C$13),2)-5),0))),R47)</f>
        <v/>
      </c>
      <c r="C47" s="64">
        <f>EOMONTH(B47,0)</f>
        <v/>
      </c>
      <c r="D47" s="81">
        <f>Inputs!$C$12</f>
        <v/>
      </c>
      <c r="E47" s="61">
        <f>IF(Inputs!$C$19="Recoverable",Inputs!$C$34*12/Inputs!$C$21,0)</f>
        <v/>
      </c>
      <c r="F47" s="61">
        <f>D47+E47</f>
        <v/>
      </c>
      <c r="G47" s="61">
        <f>G46+F47</f>
        <v/>
      </c>
      <c r="H47" s="81">
        <f>SUMIFS('Deal Log'!$G$8:$G$257,'Deal Log'!$A$8:$A$257,"&gt;"&amp;B46,'Deal Log'!$A$8:$A$257,"&lt;="&amp;B47,'Deal Log'!$I$8:$I$257,"Funded")</f>
        <v/>
      </c>
      <c r="I47" s="61">
        <f>I46+H47</f>
        <v/>
      </c>
      <c r="J47" s="61">
        <f>L46</f>
        <v/>
      </c>
      <c r="K47" s="61">
        <f>MIN(J47+F47,H47)</f>
        <v/>
      </c>
      <c r="L47" s="82">
        <f>MAX(0,J47+F47-H47)</f>
        <v/>
      </c>
      <c r="M47" s="61">
        <f>D47+MAX(0,H47-(J47+F47))</f>
        <v/>
      </c>
      <c r="N47" s="61">
        <f>MAX(D47,H47)</f>
        <v/>
      </c>
      <c r="O47" s="61">
        <f>D47+H47</f>
        <v/>
      </c>
      <c r="P47" s="50">
        <f>IF(Inputs!$C$17="Yes",M47,IF(Inputs!$C$18="Stacked",O47,N47))</f>
        <v/>
      </c>
      <c r="Q47" s="83">
        <f>IF(B47&lt;=Inputs!$C$7,"paid","future")</f>
        <v/>
      </c>
      <c r="R47" s="91" t="n"/>
    </row>
    <row r="48">
      <c r="A48" s="84" t="n">
        <v>40</v>
      </c>
      <c r="B48" s="85">
        <f>IF(R48="",IF(DAY(B47)&lt;=20,(EOMONTH(B47,0)-IF(Inputs!$C$14="Yes",MAX(0,WEEKDAY(EOMONTH(B47,0),2)-5),0)),(DATE(YEAR(B47),MONTH(B47)+1,Inputs!$C$13)-IF(Inputs!$C$14="Yes",MAX(0,WEEKDAY(DATE(YEAR(B47),MONTH(B47)+1,Inputs!$C$13),2)-5),0))),R48)</f>
        <v/>
      </c>
      <c r="C48" s="67">
        <f>EOMONTH(B48,0)</f>
        <v/>
      </c>
      <c r="D48" s="86">
        <f>Inputs!$C$12</f>
        <v/>
      </c>
      <c r="E48" s="66">
        <f>IF(Inputs!$C$19="Recoverable",Inputs!$C$34*12/Inputs!$C$21,0)</f>
        <v/>
      </c>
      <c r="F48" s="66">
        <f>D48+E48</f>
        <v/>
      </c>
      <c r="G48" s="66">
        <f>G47+F48</f>
        <v/>
      </c>
      <c r="H48" s="86">
        <f>SUMIFS('Deal Log'!$G$8:$G$257,'Deal Log'!$A$8:$A$257,"&gt;"&amp;B47,'Deal Log'!$A$8:$A$257,"&lt;="&amp;B48,'Deal Log'!$I$8:$I$257,"Funded")</f>
        <v/>
      </c>
      <c r="I48" s="66">
        <f>I47+H48</f>
        <v/>
      </c>
      <c r="J48" s="66">
        <f>L47</f>
        <v/>
      </c>
      <c r="K48" s="66">
        <f>MIN(J48+F48,H48)</f>
        <v/>
      </c>
      <c r="L48" s="87">
        <f>MAX(0,J48+F48-H48)</f>
        <v/>
      </c>
      <c r="M48" s="88">
        <f>D48+MAX(0,H48-(J48+F48))</f>
        <v/>
      </c>
      <c r="N48" s="66">
        <f>MAX(D48,H48)</f>
        <v/>
      </c>
      <c r="O48" s="66">
        <f>D48+H48</f>
        <v/>
      </c>
      <c r="P48" s="50">
        <f>IF(Inputs!$C$17="Yes",M48,IF(Inputs!$C$18="Stacked",O48,N48))</f>
        <v/>
      </c>
      <c r="Q48" s="89">
        <f>IF(B48&lt;=Inputs!$C$7,"paid","future")</f>
        <v/>
      </c>
      <c r="R48" s="90" t="n"/>
    </row>
    <row r="49">
      <c r="A49" s="79" t="n">
        <v>41</v>
      </c>
      <c r="B49" s="80">
        <f>IF(R49="",IF(DAY(B48)&lt;=20,(EOMONTH(B48,0)-IF(Inputs!$C$14="Yes",MAX(0,WEEKDAY(EOMONTH(B48,0),2)-5),0)),(DATE(YEAR(B48),MONTH(B48)+1,Inputs!$C$13)-IF(Inputs!$C$14="Yes",MAX(0,WEEKDAY(DATE(YEAR(B48),MONTH(B48)+1,Inputs!$C$13),2)-5),0))),R49)</f>
        <v/>
      </c>
      <c r="C49" s="64">
        <f>EOMONTH(B49,0)</f>
        <v/>
      </c>
      <c r="D49" s="81">
        <f>Inputs!$C$12</f>
        <v/>
      </c>
      <c r="E49" s="61">
        <f>IF(Inputs!$C$19="Recoverable",Inputs!$C$34*12/Inputs!$C$21,0)</f>
        <v/>
      </c>
      <c r="F49" s="61">
        <f>D49+E49</f>
        <v/>
      </c>
      <c r="G49" s="61">
        <f>G48+F49</f>
        <v/>
      </c>
      <c r="H49" s="81">
        <f>SUMIFS('Deal Log'!$G$8:$G$257,'Deal Log'!$A$8:$A$257,"&gt;"&amp;B48,'Deal Log'!$A$8:$A$257,"&lt;="&amp;B49,'Deal Log'!$I$8:$I$257,"Funded")</f>
        <v/>
      </c>
      <c r="I49" s="61">
        <f>I48+H49</f>
        <v/>
      </c>
      <c r="J49" s="61">
        <f>L48</f>
        <v/>
      </c>
      <c r="K49" s="61">
        <f>MIN(J49+F49,H49)</f>
        <v/>
      </c>
      <c r="L49" s="82">
        <f>MAX(0,J49+F49-H49)</f>
        <v/>
      </c>
      <c r="M49" s="61">
        <f>D49+MAX(0,H49-(J49+F49))</f>
        <v/>
      </c>
      <c r="N49" s="61">
        <f>MAX(D49,H49)</f>
        <v/>
      </c>
      <c r="O49" s="61">
        <f>D49+H49</f>
        <v/>
      </c>
      <c r="P49" s="50">
        <f>IF(Inputs!$C$17="Yes",M49,IF(Inputs!$C$18="Stacked",O49,N49))</f>
        <v/>
      </c>
      <c r="Q49" s="83">
        <f>IF(B49&lt;=Inputs!$C$7,"paid","future")</f>
        <v/>
      </c>
      <c r="R49" s="91" t="n"/>
    </row>
    <row r="50">
      <c r="A50" s="84" t="n">
        <v>42</v>
      </c>
      <c r="B50" s="85">
        <f>IF(R50="",IF(DAY(B49)&lt;=20,(EOMONTH(B49,0)-IF(Inputs!$C$14="Yes",MAX(0,WEEKDAY(EOMONTH(B49,0),2)-5),0)),(DATE(YEAR(B49),MONTH(B49)+1,Inputs!$C$13)-IF(Inputs!$C$14="Yes",MAX(0,WEEKDAY(DATE(YEAR(B49),MONTH(B49)+1,Inputs!$C$13),2)-5),0))),R50)</f>
        <v/>
      </c>
      <c r="C50" s="67">
        <f>EOMONTH(B50,0)</f>
        <v/>
      </c>
      <c r="D50" s="86">
        <f>Inputs!$C$12</f>
        <v/>
      </c>
      <c r="E50" s="66">
        <f>IF(Inputs!$C$19="Recoverable",Inputs!$C$34*12/Inputs!$C$21,0)</f>
        <v/>
      </c>
      <c r="F50" s="66">
        <f>D50+E50</f>
        <v/>
      </c>
      <c r="G50" s="66">
        <f>G49+F50</f>
        <v/>
      </c>
      <c r="H50" s="86">
        <f>SUMIFS('Deal Log'!$G$8:$G$257,'Deal Log'!$A$8:$A$257,"&gt;"&amp;B49,'Deal Log'!$A$8:$A$257,"&lt;="&amp;B50,'Deal Log'!$I$8:$I$257,"Funded")</f>
        <v/>
      </c>
      <c r="I50" s="66">
        <f>I49+H50</f>
        <v/>
      </c>
      <c r="J50" s="66">
        <f>L49</f>
        <v/>
      </c>
      <c r="K50" s="66">
        <f>MIN(J50+F50,H50)</f>
        <v/>
      </c>
      <c r="L50" s="87">
        <f>MAX(0,J50+F50-H50)</f>
        <v/>
      </c>
      <c r="M50" s="88">
        <f>D50+MAX(0,H50-(J50+F50))</f>
        <v/>
      </c>
      <c r="N50" s="66">
        <f>MAX(D50,H50)</f>
        <v/>
      </c>
      <c r="O50" s="66">
        <f>D50+H50</f>
        <v/>
      </c>
      <c r="P50" s="50">
        <f>IF(Inputs!$C$17="Yes",M50,IF(Inputs!$C$18="Stacked",O50,N50))</f>
        <v/>
      </c>
      <c r="Q50" s="89">
        <f>IF(B50&lt;=Inputs!$C$7,"paid","future")</f>
        <v/>
      </c>
      <c r="R50" s="90" t="n"/>
    </row>
    <row r="51">
      <c r="A51" s="79" t="n">
        <v>43</v>
      </c>
      <c r="B51" s="80">
        <f>IF(R51="",IF(DAY(B50)&lt;=20,(EOMONTH(B50,0)-IF(Inputs!$C$14="Yes",MAX(0,WEEKDAY(EOMONTH(B50,0),2)-5),0)),(DATE(YEAR(B50),MONTH(B50)+1,Inputs!$C$13)-IF(Inputs!$C$14="Yes",MAX(0,WEEKDAY(DATE(YEAR(B50),MONTH(B50)+1,Inputs!$C$13),2)-5),0))),R51)</f>
        <v/>
      </c>
      <c r="C51" s="64">
        <f>EOMONTH(B51,0)</f>
        <v/>
      </c>
      <c r="D51" s="81">
        <f>Inputs!$C$12</f>
        <v/>
      </c>
      <c r="E51" s="61">
        <f>IF(Inputs!$C$19="Recoverable",Inputs!$C$34*12/Inputs!$C$21,0)</f>
        <v/>
      </c>
      <c r="F51" s="61">
        <f>D51+E51</f>
        <v/>
      </c>
      <c r="G51" s="61">
        <f>G50+F51</f>
        <v/>
      </c>
      <c r="H51" s="81">
        <f>SUMIFS('Deal Log'!$G$8:$G$257,'Deal Log'!$A$8:$A$257,"&gt;"&amp;B50,'Deal Log'!$A$8:$A$257,"&lt;="&amp;B51,'Deal Log'!$I$8:$I$257,"Funded")</f>
        <v/>
      </c>
      <c r="I51" s="61">
        <f>I50+H51</f>
        <v/>
      </c>
      <c r="J51" s="61">
        <f>L50</f>
        <v/>
      </c>
      <c r="K51" s="61">
        <f>MIN(J51+F51,H51)</f>
        <v/>
      </c>
      <c r="L51" s="82">
        <f>MAX(0,J51+F51-H51)</f>
        <v/>
      </c>
      <c r="M51" s="61">
        <f>D51+MAX(0,H51-(J51+F51))</f>
        <v/>
      </c>
      <c r="N51" s="61">
        <f>MAX(D51,H51)</f>
        <v/>
      </c>
      <c r="O51" s="61">
        <f>D51+H51</f>
        <v/>
      </c>
      <c r="P51" s="50">
        <f>IF(Inputs!$C$17="Yes",M51,IF(Inputs!$C$18="Stacked",O51,N51))</f>
        <v/>
      </c>
      <c r="Q51" s="83">
        <f>IF(B51&lt;=Inputs!$C$7,"paid","future")</f>
        <v/>
      </c>
      <c r="R51" s="91" t="n"/>
    </row>
    <row r="52">
      <c r="A52" s="84" t="n">
        <v>44</v>
      </c>
      <c r="B52" s="85">
        <f>IF(R52="",IF(DAY(B51)&lt;=20,(EOMONTH(B51,0)-IF(Inputs!$C$14="Yes",MAX(0,WEEKDAY(EOMONTH(B51,0),2)-5),0)),(DATE(YEAR(B51),MONTH(B51)+1,Inputs!$C$13)-IF(Inputs!$C$14="Yes",MAX(0,WEEKDAY(DATE(YEAR(B51),MONTH(B51)+1,Inputs!$C$13),2)-5),0))),R52)</f>
        <v/>
      </c>
      <c r="C52" s="67">
        <f>EOMONTH(B52,0)</f>
        <v/>
      </c>
      <c r="D52" s="86">
        <f>Inputs!$C$12</f>
        <v/>
      </c>
      <c r="E52" s="66">
        <f>IF(Inputs!$C$19="Recoverable",Inputs!$C$34*12/Inputs!$C$21,0)</f>
        <v/>
      </c>
      <c r="F52" s="66">
        <f>D52+E52</f>
        <v/>
      </c>
      <c r="G52" s="66">
        <f>G51+F52</f>
        <v/>
      </c>
      <c r="H52" s="86">
        <f>SUMIFS('Deal Log'!$G$8:$G$257,'Deal Log'!$A$8:$A$257,"&gt;"&amp;B51,'Deal Log'!$A$8:$A$257,"&lt;="&amp;B52,'Deal Log'!$I$8:$I$257,"Funded")</f>
        <v/>
      </c>
      <c r="I52" s="66">
        <f>I51+H52</f>
        <v/>
      </c>
      <c r="J52" s="66">
        <f>L51</f>
        <v/>
      </c>
      <c r="K52" s="66">
        <f>MIN(J52+F52,H52)</f>
        <v/>
      </c>
      <c r="L52" s="87">
        <f>MAX(0,J52+F52-H52)</f>
        <v/>
      </c>
      <c r="M52" s="88">
        <f>D52+MAX(0,H52-(J52+F52))</f>
        <v/>
      </c>
      <c r="N52" s="66">
        <f>MAX(D52,H52)</f>
        <v/>
      </c>
      <c r="O52" s="66">
        <f>D52+H52</f>
        <v/>
      </c>
      <c r="P52" s="50">
        <f>IF(Inputs!$C$17="Yes",M52,IF(Inputs!$C$18="Stacked",O52,N52))</f>
        <v/>
      </c>
      <c r="Q52" s="89">
        <f>IF(B52&lt;=Inputs!$C$7,"paid","future")</f>
        <v/>
      </c>
      <c r="R52" s="90" t="n"/>
    </row>
    <row r="53">
      <c r="A53" s="79" t="n">
        <v>45</v>
      </c>
      <c r="B53" s="80">
        <f>IF(R53="",IF(DAY(B52)&lt;=20,(EOMONTH(B52,0)-IF(Inputs!$C$14="Yes",MAX(0,WEEKDAY(EOMONTH(B52,0),2)-5),0)),(DATE(YEAR(B52),MONTH(B52)+1,Inputs!$C$13)-IF(Inputs!$C$14="Yes",MAX(0,WEEKDAY(DATE(YEAR(B52),MONTH(B52)+1,Inputs!$C$13),2)-5),0))),R53)</f>
        <v/>
      </c>
      <c r="C53" s="64">
        <f>EOMONTH(B53,0)</f>
        <v/>
      </c>
      <c r="D53" s="81">
        <f>Inputs!$C$12</f>
        <v/>
      </c>
      <c r="E53" s="61">
        <f>IF(Inputs!$C$19="Recoverable",Inputs!$C$34*12/Inputs!$C$21,0)</f>
        <v/>
      </c>
      <c r="F53" s="61">
        <f>D53+E53</f>
        <v/>
      </c>
      <c r="G53" s="61">
        <f>G52+F53</f>
        <v/>
      </c>
      <c r="H53" s="81">
        <f>SUMIFS('Deal Log'!$G$8:$G$257,'Deal Log'!$A$8:$A$257,"&gt;"&amp;B52,'Deal Log'!$A$8:$A$257,"&lt;="&amp;B53,'Deal Log'!$I$8:$I$257,"Funded")</f>
        <v/>
      </c>
      <c r="I53" s="61">
        <f>I52+H53</f>
        <v/>
      </c>
      <c r="J53" s="61">
        <f>L52</f>
        <v/>
      </c>
      <c r="K53" s="61">
        <f>MIN(J53+F53,H53)</f>
        <v/>
      </c>
      <c r="L53" s="82">
        <f>MAX(0,J53+F53-H53)</f>
        <v/>
      </c>
      <c r="M53" s="61">
        <f>D53+MAX(0,H53-(J53+F53))</f>
        <v/>
      </c>
      <c r="N53" s="61">
        <f>MAX(D53,H53)</f>
        <v/>
      </c>
      <c r="O53" s="61">
        <f>D53+H53</f>
        <v/>
      </c>
      <c r="P53" s="50">
        <f>IF(Inputs!$C$17="Yes",M53,IF(Inputs!$C$18="Stacked",O53,N53))</f>
        <v/>
      </c>
      <c r="Q53" s="83">
        <f>IF(B53&lt;=Inputs!$C$7,"paid","future")</f>
        <v/>
      </c>
      <c r="R53" s="91" t="n"/>
    </row>
    <row r="54">
      <c r="A54" s="84" t="n">
        <v>46</v>
      </c>
      <c r="B54" s="85">
        <f>IF(R54="",IF(DAY(B53)&lt;=20,(EOMONTH(B53,0)-IF(Inputs!$C$14="Yes",MAX(0,WEEKDAY(EOMONTH(B53,0),2)-5),0)),(DATE(YEAR(B53),MONTH(B53)+1,Inputs!$C$13)-IF(Inputs!$C$14="Yes",MAX(0,WEEKDAY(DATE(YEAR(B53),MONTH(B53)+1,Inputs!$C$13),2)-5),0))),R54)</f>
        <v/>
      </c>
      <c r="C54" s="67">
        <f>EOMONTH(B54,0)</f>
        <v/>
      </c>
      <c r="D54" s="86">
        <f>Inputs!$C$12</f>
        <v/>
      </c>
      <c r="E54" s="66">
        <f>IF(Inputs!$C$19="Recoverable",Inputs!$C$34*12/Inputs!$C$21,0)</f>
        <v/>
      </c>
      <c r="F54" s="66">
        <f>D54+E54</f>
        <v/>
      </c>
      <c r="G54" s="66">
        <f>G53+F54</f>
        <v/>
      </c>
      <c r="H54" s="86">
        <f>SUMIFS('Deal Log'!$G$8:$G$257,'Deal Log'!$A$8:$A$257,"&gt;"&amp;B53,'Deal Log'!$A$8:$A$257,"&lt;="&amp;B54,'Deal Log'!$I$8:$I$257,"Funded")</f>
        <v/>
      </c>
      <c r="I54" s="66">
        <f>I53+H54</f>
        <v/>
      </c>
      <c r="J54" s="66">
        <f>L53</f>
        <v/>
      </c>
      <c r="K54" s="66">
        <f>MIN(J54+F54,H54)</f>
        <v/>
      </c>
      <c r="L54" s="87">
        <f>MAX(0,J54+F54-H54)</f>
        <v/>
      </c>
      <c r="M54" s="88">
        <f>D54+MAX(0,H54-(J54+F54))</f>
        <v/>
      </c>
      <c r="N54" s="66">
        <f>MAX(D54,H54)</f>
        <v/>
      </c>
      <c r="O54" s="66">
        <f>D54+H54</f>
        <v/>
      </c>
      <c r="P54" s="50">
        <f>IF(Inputs!$C$17="Yes",M54,IF(Inputs!$C$18="Stacked",O54,N54))</f>
        <v/>
      </c>
      <c r="Q54" s="89">
        <f>IF(B54&lt;=Inputs!$C$7,"paid","future")</f>
        <v/>
      </c>
      <c r="R54" s="90" t="n"/>
    </row>
    <row r="55">
      <c r="A55" s="79" t="n">
        <v>47</v>
      </c>
      <c r="B55" s="80">
        <f>IF(R55="",IF(DAY(B54)&lt;=20,(EOMONTH(B54,0)-IF(Inputs!$C$14="Yes",MAX(0,WEEKDAY(EOMONTH(B54,0),2)-5),0)),(DATE(YEAR(B54),MONTH(B54)+1,Inputs!$C$13)-IF(Inputs!$C$14="Yes",MAX(0,WEEKDAY(DATE(YEAR(B54),MONTH(B54)+1,Inputs!$C$13),2)-5),0))),R55)</f>
        <v/>
      </c>
      <c r="C55" s="64">
        <f>EOMONTH(B55,0)</f>
        <v/>
      </c>
      <c r="D55" s="81">
        <f>Inputs!$C$12</f>
        <v/>
      </c>
      <c r="E55" s="61">
        <f>IF(Inputs!$C$19="Recoverable",Inputs!$C$34*12/Inputs!$C$21,0)</f>
        <v/>
      </c>
      <c r="F55" s="61">
        <f>D55+E55</f>
        <v/>
      </c>
      <c r="G55" s="61">
        <f>G54+F55</f>
        <v/>
      </c>
      <c r="H55" s="81">
        <f>SUMIFS('Deal Log'!$G$8:$G$257,'Deal Log'!$A$8:$A$257,"&gt;"&amp;B54,'Deal Log'!$A$8:$A$257,"&lt;="&amp;B55,'Deal Log'!$I$8:$I$257,"Funded")</f>
        <v/>
      </c>
      <c r="I55" s="61">
        <f>I54+H55</f>
        <v/>
      </c>
      <c r="J55" s="61">
        <f>L54</f>
        <v/>
      </c>
      <c r="K55" s="61">
        <f>MIN(J55+F55,H55)</f>
        <v/>
      </c>
      <c r="L55" s="82">
        <f>MAX(0,J55+F55-H55)</f>
        <v/>
      </c>
      <c r="M55" s="61">
        <f>D55+MAX(0,H55-(J55+F55))</f>
        <v/>
      </c>
      <c r="N55" s="61">
        <f>MAX(D55,H55)</f>
        <v/>
      </c>
      <c r="O55" s="61">
        <f>D55+H55</f>
        <v/>
      </c>
      <c r="P55" s="50">
        <f>IF(Inputs!$C$17="Yes",M55,IF(Inputs!$C$18="Stacked",O55,N55))</f>
        <v/>
      </c>
      <c r="Q55" s="83">
        <f>IF(B55&lt;=Inputs!$C$7,"paid","future")</f>
        <v/>
      </c>
      <c r="R55" s="91" t="n"/>
    </row>
    <row r="56">
      <c r="A56" s="84" t="n">
        <v>48</v>
      </c>
      <c r="B56" s="85">
        <f>IF(R56="",IF(DAY(B55)&lt;=20,(EOMONTH(B55,0)-IF(Inputs!$C$14="Yes",MAX(0,WEEKDAY(EOMONTH(B55,0),2)-5),0)),(DATE(YEAR(B55),MONTH(B55)+1,Inputs!$C$13)-IF(Inputs!$C$14="Yes",MAX(0,WEEKDAY(DATE(YEAR(B55),MONTH(B55)+1,Inputs!$C$13),2)-5),0))),R56)</f>
        <v/>
      </c>
      <c r="C56" s="67">
        <f>EOMONTH(B56,0)</f>
        <v/>
      </c>
      <c r="D56" s="86">
        <f>Inputs!$C$12</f>
        <v/>
      </c>
      <c r="E56" s="66">
        <f>IF(Inputs!$C$19="Recoverable",Inputs!$C$34*12/Inputs!$C$21,0)</f>
        <v/>
      </c>
      <c r="F56" s="66">
        <f>D56+E56</f>
        <v/>
      </c>
      <c r="G56" s="66">
        <f>G55+F56</f>
        <v/>
      </c>
      <c r="H56" s="86">
        <f>SUMIFS('Deal Log'!$G$8:$G$257,'Deal Log'!$A$8:$A$257,"&gt;"&amp;B55,'Deal Log'!$A$8:$A$257,"&lt;="&amp;B56,'Deal Log'!$I$8:$I$257,"Funded")</f>
        <v/>
      </c>
      <c r="I56" s="66">
        <f>I55+H56</f>
        <v/>
      </c>
      <c r="J56" s="66">
        <f>L55</f>
        <v/>
      </c>
      <c r="K56" s="66">
        <f>MIN(J56+F56,H56)</f>
        <v/>
      </c>
      <c r="L56" s="87">
        <f>MAX(0,J56+F56-H56)</f>
        <v/>
      </c>
      <c r="M56" s="88">
        <f>D56+MAX(0,H56-(J56+F56))</f>
        <v/>
      </c>
      <c r="N56" s="66">
        <f>MAX(D56,H56)</f>
        <v/>
      </c>
      <c r="O56" s="66">
        <f>D56+H56</f>
        <v/>
      </c>
      <c r="P56" s="50">
        <f>IF(Inputs!$C$17="Yes",M56,IF(Inputs!$C$18="Stacked",O56,N56))</f>
        <v/>
      </c>
      <c r="Q56" s="89">
        <f>IF(B56&lt;=Inputs!$C$7,"paid","future")</f>
        <v/>
      </c>
      <c r="R56" s="90" t="n"/>
    </row>
    <row r="57">
      <c r="A57" s="79" t="n">
        <v>49</v>
      </c>
      <c r="B57" s="80">
        <f>IF(R57="",IF(DAY(B56)&lt;=20,(EOMONTH(B56,0)-IF(Inputs!$C$14="Yes",MAX(0,WEEKDAY(EOMONTH(B56,0),2)-5),0)),(DATE(YEAR(B56),MONTH(B56)+1,Inputs!$C$13)-IF(Inputs!$C$14="Yes",MAX(0,WEEKDAY(DATE(YEAR(B56),MONTH(B56)+1,Inputs!$C$13),2)-5),0))),R57)</f>
        <v/>
      </c>
      <c r="C57" s="64">
        <f>EOMONTH(B57,0)</f>
        <v/>
      </c>
      <c r="D57" s="81">
        <f>Inputs!$C$12</f>
        <v/>
      </c>
      <c r="E57" s="61">
        <f>IF(Inputs!$C$19="Recoverable",Inputs!$C$34*12/Inputs!$C$21,0)</f>
        <v/>
      </c>
      <c r="F57" s="61">
        <f>D57+E57</f>
        <v/>
      </c>
      <c r="G57" s="61">
        <f>G56+F57</f>
        <v/>
      </c>
      <c r="H57" s="81">
        <f>SUMIFS('Deal Log'!$G$8:$G$257,'Deal Log'!$A$8:$A$257,"&gt;"&amp;B56,'Deal Log'!$A$8:$A$257,"&lt;="&amp;B57,'Deal Log'!$I$8:$I$257,"Funded")</f>
        <v/>
      </c>
      <c r="I57" s="61">
        <f>I56+H57</f>
        <v/>
      </c>
      <c r="J57" s="61">
        <f>L56</f>
        <v/>
      </c>
      <c r="K57" s="61">
        <f>MIN(J57+F57,H57)</f>
        <v/>
      </c>
      <c r="L57" s="82">
        <f>MAX(0,J57+F57-H57)</f>
        <v/>
      </c>
      <c r="M57" s="61">
        <f>D57+MAX(0,H57-(J57+F57))</f>
        <v/>
      </c>
      <c r="N57" s="61">
        <f>MAX(D57,H57)</f>
        <v/>
      </c>
      <c r="O57" s="61">
        <f>D57+H57</f>
        <v/>
      </c>
      <c r="P57" s="50">
        <f>IF(Inputs!$C$17="Yes",M57,IF(Inputs!$C$18="Stacked",O57,N57))</f>
        <v/>
      </c>
      <c r="Q57" s="83">
        <f>IF(B57&lt;=Inputs!$C$7,"paid","future")</f>
        <v/>
      </c>
      <c r="R57" s="91" t="n"/>
    </row>
    <row r="58">
      <c r="A58" s="84" t="n">
        <v>50</v>
      </c>
      <c r="B58" s="85">
        <f>IF(R58="",IF(DAY(B57)&lt;=20,(EOMONTH(B57,0)-IF(Inputs!$C$14="Yes",MAX(0,WEEKDAY(EOMONTH(B57,0),2)-5),0)),(DATE(YEAR(B57),MONTH(B57)+1,Inputs!$C$13)-IF(Inputs!$C$14="Yes",MAX(0,WEEKDAY(DATE(YEAR(B57),MONTH(B57)+1,Inputs!$C$13),2)-5),0))),R58)</f>
        <v/>
      </c>
      <c r="C58" s="67">
        <f>EOMONTH(B58,0)</f>
        <v/>
      </c>
      <c r="D58" s="86">
        <f>Inputs!$C$12</f>
        <v/>
      </c>
      <c r="E58" s="66">
        <f>IF(Inputs!$C$19="Recoverable",Inputs!$C$34*12/Inputs!$C$21,0)</f>
        <v/>
      </c>
      <c r="F58" s="66">
        <f>D58+E58</f>
        <v/>
      </c>
      <c r="G58" s="66">
        <f>G57+F58</f>
        <v/>
      </c>
      <c r="H58" s="86">
        <f>SUMIFS('Deal Log'!$G$8:$G$257,'Deal Log'!$A$8:$A$257,"&gt;"&amp;B57,'Deal Log'!$A$8:$A$257,"&lt;="&amp;B58,'Deal Log'!$I$8:$I$257,"Funded")</f>
        <v/>
      </c>
      <c r="I58" s="66">
        <f>I57+H58</f>
        <v/>
      </c>
      <c r="J58" s="66">
        <f>L57</f>
        <v/>
      </c>
      <c r="K58" s="66">
        <f>MIN(J58+F58,H58)</f>
        <v/>
      </c>
      <c r="L58" s="87">
        <f>MAX(0,J58+F58-H58)</f>
        <v/>
      </c>
      <c r="M58" s="88">
        <f>D58+MAX(0,H58-(J58+F58))</f>
        <v/>
      </c>
      <c r="N58" s="66">
        <f>MAX(D58,H58)</f>
        <v/>
      </c>
      <c r="O58" s="66">
        <f>D58+H58</f>
        <v/>
      </c>
      <c r="P58" s="50">
        <f>IF(Inputs!$C$17="Yes",M58,IF(Inputs!$C$18="Stacked",O58,N58))</f>
        <v/>
      </c>
      <c r="Q58" s="89">
        <f>IF(B58&lt;=Inputs!$C$7,"paid","future")</f>
        <v/>
      </c>
      <c r="R58" s="90" t="n"/>
    </row>
    <row r="59">
      <c r="A59" s="79" t="n">
        <v>51</v>
      </c>
      <c r="B59" s="80">
        <f>IF(R59="",IF(DAY(B58)&lt;=20,(EOMONTH(B58,0)-IF(Inputs!$C$14="Yes",MAX(0,WEEKDAY(EOMONTH(B58,0),2)-5),0)),(DATE(YEAR(B58),MONTH(B58)+1,Inputs!$C$13)-IF(Inputs!$C$14="Yes",MAX(0,WEEKDAY(DATE(YEAR(B58),MONTH(B58)+1,Inputs!$C$13),2)-5),0))),R59)</f>
        <v/>
      </c>
      <c r="C59" s="64">
        <f>EOMONTH(B59,0)</f>
        <v/>
      </c>
      <c r="D59" s="81">
        <f>Inputs!$C$12</f>
        <v/>
      </c>
      <c r="E59" s="61">
        <f>IF(Inputs!$C$19="Recoverable",Inputs!$C$34*12/Inputs!$C$21,0)</f>
        <v/>
      </c>
      <c r="F59" s="61">
        <f>D59+E59</f>
        <v/>
      </c>
      <c r="G59" s="61">
        <f>G58+F59</f>
        <v/>
      </c>
      <c r="H59" s="81">
        <f>SUMIFS('Deal Log'!$G$8:$G$257,'Deal Log'!$A$8:$A$257,"&gt;"&amp;B58,'Deal Log'!$A$8:$A$257,"&lt;="&amp;B59,'Deal Log'!$I$8:$I$257,"Funded")</f>
        <v/>
      </c>
      <c r="I59" s="61">
        <f>I58+H59</f>
        <v/>
      </c>
      <c r="J59" s="61">
        <f>L58</f>
        <v/>
      </c>
      <c r="K59" s="61">
        <f>MIN(J59+F59,H59)</f>
        <v/>
      </c>
      <c r="L59" s="82">
        <f>MAX(0,J59+F59-H59)</f>
        <v/>
      </c>
      <c r="M59" s="61">
        <f>D59+MAX(0,H59-(J59+F59))</f>
        <v/>
      </c>
      <c r="N59" s="61">
        <f>MAX(D59,H59)</f>
        <v/>
      </c>
      <c r="O59" s="61">
        <f>D59+H59</f>
        <v/>
      </c>
      <c r="P59" s="50">
        <f>IF(Inputs!$C$17="Yes",M59,IF(Inputs!$C$18="Stacked",O59,N59))</f>
        <v/>
      </c>
      <c r="Q59" s="83">
        <f>IF(B59&lt;=Inputs!$C$7,"paid","future")</f>
        <v/>
      </c>
      <c r="R59" s="91" t="n"/>
    </row>
    <row r="60">
      <c r="A60" s="84" t="n">
        <v>52</v>
      </c>
      <c r="B60" s="85">
        <f>IF(R60="",IF(DAY(B59)&lt;=20,(EOMONTH(B59,0)-IF(Inputs!$C$14="Yes",MAX(0,WEEKDAY(EOMONTH(B59,0),2)-5),0)),(DATE(YEAR(B59),MONTH(B59)+1,Inputs!$C$13)-IF(Inputs!$C$14="Yes",MAX(0,WEEKDAY(DATE(YEAR(B59),MONTH(B59)+1,Inputs!$C$13),2)-5),0))),R60)</f>
        <v/>
      </c>
      <c r="C60" s="67">
        <f>EOMONTH(B60,0)</f>
        <v/>
      </c>
      <c r="D60" s="86">
        <f>Inputs!$C$12</f>
        <v/>
      </c>
      <c r="E60" s="66">
        <f>IF(Inputs!$C$19="Recoverable",Inputs!$C$34*12/Inputs!$C$21,0)</f>
        <v/>
      </c>
      <c r="F60" s="66">
        <f>D60+E60</f>
        <v/>
      </c>
      <c r="G60" s="66">
        <f>G59+F60</f>
        <v/>
      </c>
      <c r="H60" s="86">
        <f>SUMIFS('Deal Log'!$G$8:$G$257,'Deal Log'!$A$8:$A$257,"&gt;"&amp;B59,'Deal Log'!$A$8:$A$257,"&lt;="&amp;B60,'Deal Log'!$I$8:$I$257,"Funded")</f>
        <v/>
      </c>
      <c r="I60" s="66">
        <f>I59+H60</f>
        <v/>
      </c>
      <c r="J60" s="66">
        <f>L59</f>
        <v/>
      </c>
      <c r="K60" s="66">
        <f>MIN(J60+F60,H60)</f>
        <v/>
      </c>
      <c r="L60" s="87">
        <f>MAX(0,J60+F60-H60)</f>
        <v/>
      </c>
      <c r="M60" s="88">
        <f>D60+MAX(0,H60-(J60+F60))</f>
        <v/>
      </c>
      <c r="N60" s="66">
        <f>MAX(D60,H60)</f>
        <v/>
      </c>
      <c r="O60" s="66">
        <f>D60+H60</f>
        <v/>
      </c>
      <c r="P60" s="50">
        <f>IF(Inputs!$C$17="Yes",M60,IF(Inputs!$C$18="Stacked",O60,N60))</f>
        <v/>
      </c>
      <c r="Q60" s="89">
        <f>IF(B60&lt;=Inputs!$C$7,"paid","future")</f>
        <v/>
      </c>
      <c r="R60" s="90" t="n"/>
    </row>
    <row r="61">
      <c r="A61" s="79" t="n">
        <v>53</v>
      </c>
      <c r="B61" s="80">
        <f>IF(R61="",IF(DAY(B60)&lt;=20,(EOMONTH(B60,0)-IF(Inputs!$C$14="Yes",MAX(0,WEEKDAY(EOMONTH(B60,0),2)-5),0)),(DATE(YEAR(B60),MONTH(B60)+1,Inputs!$C$13)-IF(Inputs!$C$14="Yes",MAX(0,WEEKDAY(DATE(YEAR(B60),MONTH(B60)+1,Inputs!$C$13),2)-5),0))),R61)</f>
        <v/>
      </c>
      <c r="C61" s="64">
        <f>EOMONTH(B61,0)</f>
        <v/>
      </c>
      <c r="D61" s="81">
        <f>Inputs!$C$12</f>
        <v/>
      </c>
      <c r="E61" s="61">
        <f>IF(Inputs!$C$19="Recoverable",Inputs!$C$34*12/Inputs!$C$21,0)</f>
        <v/>
      </c>
      <c r="F61" s="61">
        <f>D61+E61</f>
        <v/>
      </c>
      <c r="G61" s="61">
        <f>G60+F61</f>
        <v/>
      </c>
      <c r="H61" s="81">
        <f>SUMIFS('Deal Log'!$G$8:$G$257,'Deal Log'!$A$8:$A$257,"&gt;"&amp;B60,'Deal Log'!$A$8:$A$257,"&lt;="&amp;B61,'Deal Log'!$I$8:$I$257,"Funded")</f>
        <v/>
      </c>
      <c r="I61" s="61">
        <f>I60+H61</f>
        <v/>
      </c>
      <c r="J61" s="61">
        <f>L60</f>
        <v/>
      </c>
      <c r="K61" s="61">
        <f>MIN(J61+F61,H61)</f>
        <v/>
      </c>
      <c r="L61" s="82">
        <f>MAX(0,J61+F61-H61)</f>
        <v/>
      </c>
      <c r="M61" s="61">
        <f>D61+MAX(0,H61-(J61+F61))</f>
        <v/>
      </c>
      <c r="N61" s="61">
        <f>MAX(D61,H61)</f>
        <v/>
      </c>
      <c r="O61" s="61">
        <f>D61+H61</f>
        <v/>
      </c>
      <c r="P61" s="50">
        <f>IF(Inputs!$C$17="Yes",M61,IF(Inputs!$C$18="Stacked",O61,N61))</f>
        <v/>
      </c>
      <c r="Q61" s="83">
        <f>IF(B61&lt;=Inputs!$C$7,"paid","future")</f>
        <v/>
      </c>
      <c r="R61" s="91" t="n"/>
    </row>
    <row r="62">
      <c r="A62" s="84" t="n">
        <v>54</v>
      </c>
      <c r="B62" s="85">
        <f>IF(R62="",IF(DAY(B61)&lt;=20,(EOMONTH(B61,0)-IF(Inputs!$C$14="Yes",MAX(0,WEEKDAY(EOMONTH(B61,0),2)-5),0)),(DATE(YEAR(B61),MONTH(B61)+1,Inputs!$C$13)-IF(Inputs!$C$14="Yes",MAX(0,WEEKDAY(DATE(YEAR(B61),MONTH(B61)+1,Inputs!$C$13),2)-5),0))),R62)</f>
        <v/>
      </c>
      <c r="C62" s="67">
        <f>EOMONTH(B62,0)</f>
        <v/>
      </c>
      <c r="D62" s="86">
        <f>Inputs!$C$12</f>
        <v/>
      </c>
      <c r="E62" s="66">
        <f>IF(Inputs!$C$19="Recoverable",Inputs!$C$34*12/Inputs!$C$21,0)</f>
        <v/>
      </c>
      <c r="F62" s="66">
        <f>D62+E62</f>
        <v/>
      </c>
      <c r="G62" s="66">
        <f>G61+F62</f>
        <v/>
      </c>
      <c r="H62" s="86">
        <f>SUMIFS('Deal Log'!$G$8:$G$257,'Deal Log'!$A$8:$A$257,"&gt;"&amp;B61,'Deal Log'!$A$8:$A$257,"&lt;="&amp;B62,'Deal Log'!$I$8:$I$257,"Funded")</f>
        <v/>
      </c>
      <c r="I62" s="66">
        <f>I61+H62</f>
        <v/>
      </c>
      <c r="J62" s="66">
        <f>L61</f>
        <v/>
      </c>
      <c r="K62" s="66">
        <f>MIN(J62+F62,H62)</f>
        <v/>
      </c>
      <c r="L62" s="87">
        <f>MAX(0,J62+F62-H62)</f>
        <v/>
      </c>
      <c r="M62" s="88">
        <f>D62+MAX(0,H62-(J62+F62))</f>
        <v/>
      </c>
      <c r="N62" s="66">
        <f>MAX(D62,H62)</f>
        <v/>
      </c>
      <c r="O62" s="66">
        <f>D62+H62</f>
        <v/>
      </c>
      <c r="P62" s="50">
        <f>IF(Inputs!$C$17="Yes",M62,IF(Inputs!$C$18="Stacked",O62,N62))</f>
        <v/>
      </c>
      <c r="Q62" s="89">
        <f>IF(B62&lt;=Inputs!$C$7,"paid","future")</f>
        <v/>
      </c>
      <c r="R62" s="90" t="n"/>
    </row>
    <row r="63">
      <c r="A63" s="79" t="n">
        <v>55</v>
      </c>
      <c r="B63" s="80">
        <f>IF(R63="",IF(DAY(B62)&lt;=20,(EOMONTH(B62,0)-IF(Inputs!$C$14="Yes",MAX(0,WEEKDAY(EOMONTH(B62,0),2)-5),0)),(DATE(YEAR(B62),MONTH(B62)+1,Inputs!$C$13)-IF(Inputs!$C$14="Yes",MAX(0,WEEKDAY(DATE(YEAR(B62),MONTH(B62)+1,Inputs!$C$13),2)-5),0))),R63)</f>
        <v/>
      </c>
      <c r="C63" s="64">
        <f>EOMONTH(B63,0)</f>
        <v/>
      </c>
      <c r="D63" s="81">
        <f>Inputs!$C$12</f>
        <v/>
      </c>
      <c r="E63" s="61">
        <f>IF(Inputs!$C$19="Recoverable",Inputs!$C$34*12/Inputs!$C$21,0)</f>
        <v/>
      </c>
      <c r="F63" s="61">
        <f>D63+E63</f>
        <v/>
      </c>
      <c r="G63" s="61">
        <f>G62+F63</f>
        <v/>
      </c>
      <c r="H63" s="81">
        <f>SUMIFS('Deal Log'!$G$8:$G$257,'Deal Log'!$A$8:$A$257,"&gt;"&amp;B62,'Deal Log'!$A$8:$A$257,"&lt;="&amp;B63,'Deal Log'!$I$8:$I$257,"Funded")</f>
        <v/>
      </c>
      <c r="I63" s="61">
        <f>I62+H63</f>
        <v/>
      </c>
      <c r="J63" s="61">
        <f>L62</f>
        <v/>
      </c>
      <c r="K63" s="61">
        <f>MIN(J63+F63,H63)</f>
        <v/>
      </c>
      <c r="L63" s="82">
        <f>MAX(0,J63+F63-H63)</f>
        <v/>
      </c>
      <c r="M63" s="61">
        <f>D63+MAX(0,H63-(J63+F63))</f>
        <v/>
      </c>
      <c r="N63" s="61">
        <f>MAX(D63,H63)</f>
        <v/>
      </c>
      <c r="O63" s="61">
        <f>D63+H63</f>
        <v/>
      </c>
      <c r="P63" s="50">
        <f>IF(Inputs!$C$17="Yes",M63,IF(Inputs!$C$18="Stacked",O63,N63))</f>
        <v/>
      </c>
      <c r="Q63" s="83">
        <f>IF(B63&lt;=Inputs!$C$7,"paid","future")</f>
        <v/>
      </c>
      <c r="R63" s="91" t="n"/>
    </row>
    <row r="64">
      <c r="A64" s="84" t="n">
        <v>56</v>
      </c>
      <c r="B64" s="85">
        <f>IF(R64="",IF(DAY(B63)&lt;=20,(EOMONTH(B63,0)-IF(Inputs!$C$14="Yes",MAX(0,WEEKDAY(EOMONTH(B63,0),2)-5),0)),(DATE(YEAR(B63),MONTH(B63)+1,Inputs!$C$13)-IF(Inputs!$C$14="Yes",MAX(0,WEEKDAY(DATE(YEAR(B63),MONTH(B63)+1,Inputs!$C$13),2)-5),0))),R64)</f>
        <v/>
      </c>
      <c r="C64" s="67">
        <f>EOMONTH(B64,0)</f>
        <v/>
      </c>
      <c r="D64" s="86">
        <f>Inputs!$C$12</f>
        <v/>
      </c>
      <c r="E64" s="66">
        <f>IF(Inputs!$C$19="Recoverable",Inputs!$C$34*12/Inputs!$C$21,0)</f>
        <v/>
      </c>
      <c r="F64" s="66">
        <f>D64+E64</f>
        <v/>
      </c>
      <c r="G64" s="66">
        <f>G63+F64</f>
        <v/>
      </c>
      <c r="H64" s="86">
        <f>SUMIFS('Deal Log'!$G$8:$G$257,'Deal Log'!$A$8:$A$257,"&gt;"&amp;B63,'Deal Log'!$A$8:$A$257,"&lt;="&amp;B64,'Deal Log'!$I$8:$I$257,"Funded")</f>
        <v/>
      </c>
      <c r="I64" s="66">
        <f>I63+H64</f>
        <v/>
      </c>
      <c r="J64" s="66">
        <f>L63</f>
        <v/>
      </c>
      <c r="K64" s="66">
        <f>MIN(J64+F64,H64)</f>
        <v/>
      </c>
      <c r="L64" s="87">
        <f>MAX(0,J64+F64-H64)</f>
        <v/>
      </c>
      <c r="M64" s="88">
        <f>D64+MAX(0,H64-(J64+F64))</f>
        <v/>
      </c>
      <c r="N64" s="66">
        <f>MAX(D64,H64)</f>
        <v/>
      </c>
      <c r="O64" s="66">
        <f>D64+H64</f>
        <v/>
      </c>
      <c r="P64" s="50">
        <f>IF(Inputs!$C$17="Yes",M64,IF(Inputs!$C$18="Stacked",O64,N64))</f>
        <v/>
      </c>
      <c r="Q64" s="89">
        <f>IF(B64&lt;=Inputs!$C$7,"paid","future")</f>
        <v/>
      </c>
      <c r="R64" s="90" t="n"/>
    </row>
    <row r="65">
      <c r="A65" s="79" t="n">
        <v>57</v>
      </c>
      <c r="B65" s="80">
        <f>IF(R65="",IF(DAY(B64)&lt;=20,(EOMONTH(B64,0)-IF(Inputs!$C$14="Yes",MAX(0,WEEKDAY(EOMONTH(B64,0),2)-5),0)),(DATE(YEAR(B64),MONTH(B64)+1,Inputs!$C$13)-IF(Inputs!$C$14="Yes",MAX(0,WEEKDAY(DATE(YEAR(B64),MONTH(B64)+1,Inputs!$C$13),2)-5),0))),R65)</f>
        <v/>
      </c>
      <c r="C65" s="64">
        <f>EOMONTH(B65,0)</f>
        <v/>
      </c>
      <c r="D65" s="81">
        <f>Inputs!$C$12</f>
        <v/>
      </c>
      <c r="E65" s="61">
        <f>IF(Inputs!$C$19="Recoverable",Inputs!$C$34*12/Inputs!$C$21,0)</f>
        <v/>
      </c>
      <c r="F65" s="61">
        <f>D65+E65</f>
        <v/>
      </c>
      <c r="G65" s="61">
        <f>G64+F65</f>
        <v/>
      </c>
      <c r="H65" s="81">
        <f>SUMIFS('Deal Log'!$G$8:$G$257,'Deal Log'!$A$8:$A$257,"&gt;"&amp;B64,'Deal Log'!$A$8:$A$257,"&lt;="&amp;B65,'Deal Log'!$I$8:$I$257,"Funded")</f>
        <v/>
      </c>
      <c r="I65" s="61">
        <f>I64+H65</f>
        <v/>
      </c>
      <c r="J65" s="61">
        <f>L64</f>
        <v/>
      </c>
      <c r="K65" s="61">
        <f>MIN(J65+F65,H65)</f>
        <v/>
      </c>
      <c r="L65" s="82">
        <f>MAX(0,J65+F65-H65)</f>
        <v/>
      </c>
      <c r="M65" s="61">
        <f>D65+MAX(0,H65-(J65+F65))</f>
        <v/>
      </c>
      <c r="N65" s="61">
        <f>MAX(D65,H65)</f>
        <v/>
      </c>
      <c r="O65" s="61">
        <f>D65+H65</f>
        <v/>
      </c>
      <c r="P65" s="50">
        <f>IF(Inputs!$C$17="Yes",M65,IF(Inputs!$C$18="Stacked",O65,N65))</f>
        <v/>
      </c>
      <c r="Q65" s="83">
        <f>IF(B65&lt;=Inputs!$C$7,"paid","future")</f>
        <v/>
      </c>
      <c r="R65" s="91" t="n"/>
    </row>
    <row r="66">
      <c r="A66" s="84" t="n">
        <v>58</v>
      </c>
      <c r="B66" s="85">
        <f>IF(R66="",IF(DAY(B65)&lt;=20,(EOMONTH(B65,0)-IF(Inputs!$C$14="Yes",MAX(0,WEEKDAY(EOMONTH(B65,0),2)-5),0)),(DATE(YEAR(B65),MONTH(B65)+1,Inputs!$C$13)-IF(Inputs!$C$14="Yes",MAX(0,WEEKDAY(DATE(YEAR(B65),MONTH(B65)+1,Inputs!$C$13),2)-5),0))),R66)</f>
        <v/>
      </c>
      <c r="C66" s="67">
        <f>EOMONTH(B66,0)</f>
        <v/>
      </c>
      <c r="D66" s="86">
        <f>Inputs!$C$12</f>
        <v/>
      </c>
      <c r="E66" s="66">
        <f>IF(Inputs!$C$19="Recoverable",Inputs!$C$34*12/Inputs!$C$21,0)</f>
        <v/>
      </c>
      <c r="F66" s="66">
        <f>D66+E66</f>
        <v/>
      </c>
      <c r="G66" s="66">
        <f>G65+F66</f>
        <v/>
      </c>
      <c r="H66" s="86">
        <f>SUMIFS('Deal Log'!$G$8:$G$257,'Deal Log'!$A$8:$A$257,"&gt;"&amp;B65,'Deal Log'!$A$8:$A$257,"&lt;="&amp;B66,'Deal Log'!$I$8:$I$257,"Funded")</f>
        <v/>
      </c>
      <c r="I66" s="66">
        <f>I65+H66</f>
        <v/>
      </c>
      <c r="J66" s="66">
        <f>L65</f>
        <v/>
      </c>
      <c r="K66" s="66">
        <f>MIN(J66+F66,H66)</f>
        <v/>
      </c>
      <c r="L66" s="87">
        <f>MAX(0,J66+F66-H66)</f>
        <v/>
      </c>
      <c r="M66" s="88">
        <f>D66+MAX(0,H66-(J66+F66))</f>
        <v/>
      </c>
      <c r="N66" s="66">
        <f>MAX(D66,H66)</f>
        <v/>
      </c>
      <c r="O66" s="66">
        <f>D66+H66</f>
        <v/>
      </c>
      <c r="P66" s="50">
        <f>IF(Inputs!$C$17="Yes",M66,IF(Inputs!$C$18="Stacked",O66,N66))</f>
        <v/>
      </c>
      <c r="Q66" s="89">
        <f>IF(B66&lt;=Inputs!$C$7,"paid","future")</f>
        <v/>
      </c>
      <c r="R66" s="90" t="n"/>
    </row>
    <row r="67">
      <c r="A67" s="79" t="n">
        <v>59</v>
      </c>
      <c r="B67" s="80">
        <f>IF(R67="",IF(DAY(B66)&lt;=20,(EOMONTH(B66,0)-IF(Inputs!$C$14="Yes",MAX(0,WEEKDAY(EOMONTH(B66,0),2)-5),0)),(DATE(YEAR(B66),MONTH(B66)+1,Inputs!$C$13)-IF(Inputs!$C$14="Yes",MAX(0,WEEKDAY(DATE(YEAR(B66),MONTH(B66)+1,Inputs!$C$13),2)-5),0))),R67)</f>
        <v/>
      </c>
      <c r="C67" s="64">
        <f>EOMONTH(B67,0)</f>
        <v/>
      </c>
      <c r="D67" s="81">
        <f>Inputs!$C$12</f>
        <v/>
      </c>
      <c r="E67" s="61">
        <f>IF(Inputs!$C$19="Recoverable",Inputs!$C$34*12/Inputs!$C$21,0)</f>
        <v/>
      </c>
      <c r="F67" s="61">
        <f>D67+E67</f>
        <v/>
      </c>
      <c r="G67" s="61">
        <f>G66+F67</f>
        <v/>
      </c>
      <c r="H67" s="81">
        <f>SUMIFS('Deal Log'!$G$8:$G$257,'Deal Log'!$A$8:$A$257,"&gt;"&amp;B66,'Deal Log'!$A$8:$A$257,"&lt;="&amp;B67,'Deal Log'!$I$8:$I$257,"Funded")</f>
        <v/>
      </c>
      <c r="I67" s="61">
        <f>I66+H67</f>
        <v/>
      </c>
      <c r="J67" s="61">
        <f>L66</f>
        <v/>
      </c>
      <c r="K67" s="61">
        <f>MIN(J67+F67,H67)</f>
        <v/>
      </c>
      <c r="L67" s="82">
        <f>MAX(0,J67+F67-H67)</f>
        <v/>
      </c>
      <c r="M67" s="61">
        <f>D67+MAX(0,H67-(J67+F67))</f>
        <v/>
      </c>
      <c r="N67" s="61">
        <f>MAX(D67,H67)</f>
        <v/>
      </c>
      <c r="O67" s="61">
        <f>D67+H67</f>
        <v/>
      </c>
      <c r="P67" s="50">
        <f>IF(Inputs!$C$17="Yes",M67,IF(Inputs!$C$18="Stacked",O67,N67))</f>
        <v/>
      </c>
      <c r="Q67" s="83">
        <f>IF(B67&lt;=Inputs!$C$7,"paid","future")</f>
        <v/>
      </c>
      <c r="R67" s="91" t="n"/>
    </row>
    <row r="68">
      <c r="A68" s="84" t="n">
        <v>60</v>
      </c>
      <c r="B68" s="85">
        <f>IF(R68="",IF(DAY(B67)&lt;=20,(EOMONTH(B67,0)-IF(Inputs!$C$14="Yes",MAX(0,WEEKDAY(EOMONTH(B67,0),2)-5),0)),(DATE(YEAR(B67),MONTH(B67)+1,Inputs!$C$13)-IF(Inputs!$C$14="Yes",MAX(0,WEEKDAY(DATE(YEAR(B67),MONTH(B67)+1,Inputs!$C$13),2)-5),0))),R68)</f>
        <v/>
      </c>
      <c r="C68" s="67">
        <f>EOMONTH(B68,0)</f>
        <v/>
      </c>
      <c r="D68" s="86">
        <f>Inputs!$C$12</f>
        <v/>
      </c>
      <c r="E68" s="66">
        <f>IF(Inputs!$C$19="Recoverable",Inputs!$C$34*12/Inputs!$C$21,0)</f>
        <v/>
      </c>
      <c r="F68" s="66">
        <f>D68+E68</f>
        <v/>
      </c>
      <c r="G68" s="66">
        <f>G67+F68</f>
        <v/>
      </c>
      <c r="H68" s="86">
        <f>SUMIFS('Deal Log'!$G$8:$G$257,'Deal Log'!$A$8:$A$257,"&gt;"&amp;B67,'Deal Log'!$A$8:$A$257,"&lt;="&amp;B68,'Deal Log'!$I$8:$I$257,"Funded")</f>
        <v/>
      </c>
      <c r="I68" s="66">
        <f>I67+H68</f>
        <v/>
      </c>
      <c r="J68" s="66">
        <f>L67</f>
        <v/>
      </c>
      <c r="K68" s="66">
        <f>MIN(J68+F68,H68)</f>
        <v/>
      </c>
      <c r="L68" s="87">
        <f>MAX(0,J68+F68-H68)</f>
        <v/>
      </c>
      <c r="M68" s="88">
        <f>D68+MAX(0,H68-(J68+F68))</f>
        <v/>
      </c>
      <c r="N68" s="66">
        <f>MAX(D68,H68)</f>
        <v/>
      </c>
      <c r="O68" s="66">
        <f>D68+H68</f>
        <v/>
      </c>
      <c r="P68" s="50">
        <f>IF(Inputs!$C$17="Yes",M68,IF(Inputs!$C$18="Stacked",O68,N68))</f>
        <v/>
      </c>
      <c r="Q68" s="89">
        <f>IF(B68&lt;=Inputs!$C$7,"paid","future")</f>
        <v/>
      </c>
      <c r="R68" s="90" t="n"/>
    </row>
    <row r="69">
      <c r="A69" s="79" t="n">
        <v>61</v>
      </c>
      <c r="B69" s="80">
        <f>IF(R69="",IF(DAY(B68)&lt;=20,(EOMONTH(B68,0)-IF(Inputs!$C$14="Yes",MAX(0,WEEKDAY(EOMONTH(B68,0),2)-5),0)),(DATE(YEAR(B68),MONTH(B68)+1,Inputs!$C$13)-IF(Inputs!$C$14="Yes",MAX(0,WEEKDAY(DATE(YEAR(B68),MONTH(B68)+1,Inputs!$C$13),2)-5),0))),R69)</f>
        <v/>
      </c>
      <c r="C69" s="64">
        <f>EOMONTH(B69,0)</f>
        <v/>
      </c>
      <c r="D69" s="81">
        <f>Inputs!$C$12</f>
        <v/>
      </c>
      <c r="E69" s="61">
        <f>IF(Inputs!$C$19="Recoverable",Inputs!$C$34*12/Inputs!$C$21,0)</f>
        <v/>
      </c>
      <c r="F69" s="61">
        <f>D69+E69</f>
        <v/>
      </c>
      <c r="G69" s="61">
        <f>G68+F69</f>
        <v/>
      </c>
      <c r="H69" s="81">
        <f>SUMIFS('Deal Log'!$G$8:$G$257,'Deal Log'!$A$8:$A$257,"&gt;"&amp;B68,'Deal Log'!$A$8:$A$257,"&lt;="&amp;B69,'Deal Log'!$I$8:$I$257,"Funded")</f>
        <v/>
      </c>
      <c r="I69" s="61">
        <f>I68+H69</f>
        <v/>
      </c>
      <c r="J69" s="61">
        <f>L68</f>
        <v/>
      </c>
      <c r="K69" s="61">
        <f>MIN(J69+F69,H69)</f>
        <v/>
      </c>
      <c r="L69" s="82">
        <f>MAX(0,J69+F69-H69)</f>
        <v/>
      </c>
      <c r="M69" s="61">
        <f>D69+MAX(0,H69-(J69+F69))</f>
        <v/>
      </c>
      <c r="N69" s="61">
        <f>MAX(D69,H69)</f>
        <v/>
      </c>
      <c r="O69" s="61">
        <f>D69+H69</f>
        <v/>
      </c>
      <c r="P69" s="50">
        <f>IF(Inputs!$C$17="Yes",M69,IF(Inputs!$C$18="Stacked",O69,N69))</f>
        <v/>
      </c>
      <c r="Q69" s="83">
        <f>IF(B69&lt;=Inputs!$C$7,"paid","future")</f>
        <v/>
      </c>
      <c r="R69" s="91" t="n"/>
    </row>
    <row r="70">
      <c r="A70" s="84" t="n">
        <v>62</v>
      </c>
      <c r="B70" s="85">
        <f>IF(R70="",IF(DAY(B69)&lt;=20,(EOMONTH(B69,0)-IF(Inputs!$C$14="Yes",MAX(0,WEEKDAY(EOMONTH(B69,0),2)-5),0)),(DATE(YEAR(B69),MONTH(B69)+1,Inputs!$C$13)-IF(Inputs!$C$14="Yes",MAX(0,WEEKDAY(DATE(YEAR(B69),MONTH(B69)+1,Inputs!$C$13),2)-5),0))),R70)</f>
        <v/>
      </c>
      <c r="C70" s="67">
        <f>EOMONTH(B70,0)</f>
        <v/>
      </c>
      <c r="D70" s="86">
        <f>Inputs!$C$12</f>
        <v/>
      </c>
      <c r="E70" s="66">
        <f>IF(Inputs!$C$19="Recoverable",Inputs!$C$34*12/Inputs!$C$21,0)</f>
        <v/>
      </c>
      <c r="F70" s="66">
        <f>D70+E70</f>
        <v/>
      </c>
      <c r="G70" s="66">
        <f>G69+F70</f>
        <v/>
      </c>
      <c r="H70" s="86">
        <f>SUMIFS('Deal Log'!$G$8:$G$257,'Deal Log'!$A$8:$A$257,"&gt;"&amp;B69,'Deal Log'!$A$8:$A$257,"&lt;="&amp;B70,'Deal Log'!$I$8:$I$257,"Funded")</f>
        <v/>
      </c>
      <c r="I70" s="66">
        <f>I69+H70</f>
        <v/>
      </c>
      <c r="J70" s="66">
        <f>L69</f>
        <v/>
      </c>
      <c r="K70" s="66">
        <f>MIN(J70+F70,H70)</f>
        <v/>
      </c>
      <c r="L70" s="87">
        <f>MAX(0,J70+F70-H70)</f>
        <v/>
      </c>
      <c r="M70" s="88">
        <f>D70+MAX(0,H70-(J70+F70))</f>
        <v/>
      </c>
      <c r="N70" s="66">
        <f>MAX(D70,H70)</f>
        <v/>
      </c>
      <c r="O70" s="66">
        <f>D70+H70</f>
        <v/>
      </c>
      <c r="P70" s="50">
        <f>IF(Inputs!$C$17="Yes",M70,IF(Inputs!$C$18="Stacked",O70,N70))</f>
        <v/>
      </c>
      <c r="Q70" s="89">
        <f>IF(B70&lt;=Inputs!$C$7,"paid","future")</f>
        <v/>
      </c>
      <c r="R70" s="90" t="n"/>
    </row>
    <row r="71">
      <c r="A71" s="79" t="n">
        <v>63</v>
      </c>
      <c r="B71" s="80">
        <f>IF(R71="",IF(DAY(B70)&lt;=20,(EOMONTH(B70,0)-IF(Inputs!$C$14="Yes",MAX(0,WEEKDAY(EOMONTH(B70,0),2)-5),0)),(DATE(YEAR(B70),MONTH(B70)+1,Inputs!$C$13)-IF(Inputs!$C$14="Yes",MAX(0,WEEKDAY(DATE(YEAR(B70),MONTH(B70)+1,Inputs!$C$13),2)-5),0))),R71)</f>
        <v/>
      </c>
      <c r="C71" s="64">
        <f>EOMONTH(B71,0)</f>
        <v/>
      </c>
      <c r="D71" s="81">
        <f>Inputs!$C$12</f>
        <v/>
      </c>
      <c r="E71" s="61">
        <f>IF(Inputs!$C$19="Recoverable",Inputs!$C$34*12/Inputs!$C$21,0)</f>
        <v/>
      </c>
      <c r="F71" s="61">
        <f>D71+E71</f>
        <v/>
      </c>
      <c r="G71" s="61">
        <f>G70+F71</f>
        <v/>
      </c>
      <c r="H71" s="81">
        <f>SUMIFS('Deal Log'!$G$8:$G$257,'Deal Log'!$A$8:$A$257,"&gt;"&amp;B70,'Deal Log'!$A$8:$A$257,"&lt;="&amp;B71,'Deal Log'!$I$8:$I$257,"Funded")</f>
        <v/>
      </c>
      <c r="I71" s="61">
        <f>I70+H71</f>
        <v/>
      </c>
      <c r="J71" s="61">
        <f>L70</f>
        <v/>
      </c>
      <c r="K71" s="61">
        <f>MIN(J71+F71,H71)</f>
        <v/>
      </c>
      <c r="L71" s="82">
        <f>MAX(0,J71+F71-H71)</f>
        <v/>
      </c>
      <c r="M71" s="61">
        <f>D71+MAX(0,H71-(J71+F71))</f>
        <v/>
      </c>
      <c r="N71" s="61">
        <f>MAX(D71,H71)</f>
        <v/>
      </c>
      <c r="O71" s="61">
        <f>D71+H71</f>
        <v/>
      </c>
      <c r="P71" s="50">
        <f>IF(Inputs!$C$17="Yes",M71,IF(Inputs!$C$18="Stacked",O71,N71))</f>
        <v/>
      </c>
      <c r="Q71" s="83">
        <f>IF(B71&lt;=Inputs!$C$7,"paid","future")</f>
        <v/>
      </c>
      <c r="R71" s="91" t="n"/>
    </row>
    <row r="72">
      <c r="A72" s="84" t="n">
        <v>64</v>
      </c>
      <c r="B72" s="85">
        <f>IF(R72="",IF(DAY(B71)&lt;=20,(EOMONTH(B71,0)-IF(Inputs!$C$14="Yes",MAX(0,WEEKDAY(EOMONTH(B71,0),2)-5),0)),(DATE(YEAR(B71),MONTH(B71)+1,Inputs!$C$13)-IF(Inputs!$C$14="Yes",MAX(0,WEEKDAY(DATE(YEAR(B71),MONTH(B71)+1,Inputs!$C$13),2)-5),0))),R72)</f>
        <v/>
      </c>
      <c r="C72" s="67">
        <f>EOMONTH(B72,0)</f>
        <v/>
      </c>
      <c r="D72" s="86">
        <f>Inputs!$C$12</f>
        <v/>
      </c>
      <c r="E72" s="66">
        <f>IF(Inputs!$C$19="Recoverable",Inputs!$C$34*12/Inputs!$C$21,0)</f>
        <v/>
      </c>
      <c r="F72" s="66">
        <f>D72+E72</f>
        <v/>
      </c>
      <c r="G72" s="66">
        <f>G71+F72</f>
        <v/>
      </c>
      <c r="H72" s="86">
        <f>SUMIFS('Deal Log'!$G$8:$G$257,'Deal Log'!$A$8:$A$257,"&gt;"&amp;B71,'Deal Log'!$A$8:$A$257,"&lt;="&amp;B72,'Deal Log'!$I$8:$I$257,"Funded")</f>
        <v/>
      </c>
      <c r="I72" s="66">
        <f>I71+H72</f>
        <v/>
      </c>
      <c r="J72" s="66">
        <f>L71</f>
        <v/>
      </c>
      <c r="K72" s="66">
        <f>MIN(J72+F72,H72)</f>
        <v/>
      </c>
      <c r="L72" s="87">
        <f>MAX(0,J72+F72-H72)</f>
        <v/>
      </c>
      <c r="M72" s="88">
        <f>D72+MAX(0,H72-(J72+F72))</f>
        <v/>
      </c>
      <c r="N72" s="66">
        <f>MAX(D72,H72)</f>
        <v/>
      </c>
      <c r="O72" s="66">
        <f>D72+H72</f>
        <v/>
      </c>
      <c r="P72" s="50">
        <f>IF(Inputs!$C$17="Yes",M72,IF(Inputs!$C$18="Stacked",O72,N72))</f>
        <v/>
      </c>
      <c r="Q72" s="89">
        <f>IF(B72&lt;=Inputs!$C$7,"paid","future")</f>
        <v/>
      </c>
      <c r="R72" s="90" t="n"/>
    </row>
    <row r="73">
      <c r="A73" s="79" t="n">
        <v>65</v>
      </c>
      <c r="B73" s="80">
        <f>IF(R73="",IF(DAY(B72)&lt;=20,(EOMONTH(B72,0)-IF(Inputs!$C$14="Yes",MAX(0,WEEKDAY(EOMONTH(B72,0),2)-5),0)),(DATE(YEAR(B72),MONTH(B72)+1,Inputs!$C$13)-IF(Inputs!$C$14="Yes",MAX(0,WEEKDAY(DATE(YEAR(B72),MONTH(B72)+1,Inputs!$C$13),2)-5),0))),R73)</f>
        <v/>
      </c>
      <c r="C73" s="64">
        <f>EOMONTH(B73,0)</f>
        <v/>
      </c>
      <c r="D73" s="81">
        <f>Inputs!$C$12</f>
        <v/>
      </c>
      <c r="E73" s="61">
        <f>IF(Inputs!$C$19="Recoverable",Inputs!$C$34*12/Inputs!$C$21,0)</f>
        <v/>
      </c>
      <c r="F73" s="61">
        <f>D73+E73</f>
        <v/>
      </c>
      <c r="G73" s="61">
        <f>G72+F73</f>
        <v/>
      </c>
      <c r="H73" s="81">
        <f>SUMIFS('Deal Log'!$G$8:$G$257,'Deal Log'!$A$8:$A$257,"&gt;"&amp;B72,'Deal Log'!$A$8:$A$257,"&lt;="&amp;B73,'Deal Log'!$I$8:$I$257,"Funded")</f>
        <v/>
      </c>
      <c r="I73" s="61">
        <f>I72+H73</f>
        <v/>
      </c>
      <c r="J73" s="61">
        <f>L72</f>
        <v/>
      </c>
      <c r="K73" s="61">
        <f>MIN(J73+F73,H73)</f>
        <v/>
      </c>
      <c r="L73" s="82">
        <f>MAX(0,J73+F73-H73)</f>
        <v/>
      </c>
      <c r="M73" s="61">
        <f>D73+MAX(0,H73-(J73+F73))</f>
        <v/>
      </c>
      <c r="N73" s="61">
        <f>MAX(D73,H73)</f>
        <v/>
      </c>
      <c r="O73" s="61">
        <f>D73+H73</f>
        <v/>
      </c>
      <c r="P73" s="50">
        <f>IF(Inputs!$C$17="Yes",M73,IF(Inputs!$C$18="Stacked",O73,N73))</f>
        <v/>
      </c>
      <c r="Q73" s="83">
        <f>IF(B73&lt;=Inputs!$C$7,"paid","future")</f>
        <v/>
      </c>
      <c r="R73" s="91" t="n"/>
    </row>
    <row r="74">
      <c r="A74" s="84" t="n">
        <v>66</v>
      </c>
      <c r="B74" s="85">
        <f>IF(R74="",IF(DAY(B73)&lt;=20,(EOMONTH(B73,0)-IF(Inputs!$C$14="Yes",MAX(0,WEEKDAY(EOMONTH(B73,0),2)-5),0)),(DATE(YEAR(B73),MONTH(B73)+1,Inputs!$C$13)-IF(Inputs!$C$14="Yes",MAX(0,WEEKDAY(DATE(YEAR(B73),MONTH(B73)+1,Inputs!$C$13),2)-5),0))),R74)</f>
        <v/>
      </c>
      <c r="C74" s="67">
        <f>EOMONTH(B74,0)</f>
        <v/>
      </c>
      <c r="D74" s="86">
        <f>Inputs!$C$12</f>
        <v/>
      </c>
      <c r="E74" s="66">
        <f>IF(Inputs!$C$19="Recoverable",Inputs!$C$34*12/Inputs!$C$21,0)</f>
        <v/>
      </c>
      <c r="F74" s="66">
        <f>D74+E74</f>
        <v/>
      </c>
      <c r="G74" s="66">
        <f>G73+F74</f>
        <v/>
      </c>
      <c r="H74" s="86">
        <f>SUMIFS('Deal Log'!$G$8:$G$257,'Deal Log'!$A$8:$A$257,"&gt;"&amp;B73,'Deal Log'!$A$8:$A$257,"&lt;="&amp;B74,'Deal Log'!$I$8:$I$257,"Funded")</f>
        <v/>
      </c>
      <c r="I74" s="66">
        <f>I73+H74</f>
        <v/>
      </c>
      <c r="J74" s="66">
        <f>L73</f>
        <v/>
      </c>
      <c r="K74" s="66">
        <f>MIN(J74+F74,H74)</f>
        <v/>
      </c>
      <c r="L74" s="87">
        <f>MAX(0,J74+F74-H74)</f>
        <v/>
      </c>
      <c r="M74" s="88">
        <f>D74+MAX(0,H74-(J74+F74))</f>
        <v/>
      </c>
      <c r="N74" s="66">
        <f>MAX(D74,H74)</f>
        <v/>
      </c>
      <c r="O74" s="66">
        <f>D74+H74</f>
        <v/>
      </c>
      <c r="P74" s="50">
        <f>IF(Inputs!$C$17="Yes",M74,IF(Inputs!$C$18="Stacked",O74,N74))</f>
        <v/>
      </c>
      <c r="Q74" s="89">
        <f>IF(B74&lt;=Inputs!$C$7,"paid","future")</f>
        <v/>
      </c>
      <c r="R74" s="90" t="n"/>
    </row>
    <row r="75">
      <c r="A75" s="79" t="n">
        <v>67</v>
      </c>
      <c r="B75" s="80">
        <f>IF(R75="",IF(DAY(B74)&lt;=20,(EOMONTH(B74,0)-IF(Inputs!$C$14="Yes",MAX(0,WEEKDAY(EOMONTH(B74,0),2)-5),0)),(DATE(YEAR(B74),MONTH(B74)+1,Inputs!$C$13)-IF(Inputs!$C$14="Yes",MAX(0,WEEKDAY(DATE(YEAR(B74),MONTH(B74)+1,Inputs!$C$13),2)-5),0))),R75)</f>
        <v/>
      </c>
      <c r="C75" s="64">
        <f>EOMONTH(B75,0)</f>
        <v/>
      </c>
      <c r="D75" s="81">
        <f>Inputs!$C$12</f>
        <v/>
      </c>
      <c r="E75" s="61">
        <f>IF(Inputs!$C$19="Recoverable",Inputs!$C$34*12/Inputs!$C$21,0)</f>
        <v/>
      </c>
      <c r="F75" s="61">
        <f>D75+E75</f>
        <v/>
      </c>
      <c r="G75" s="61">
        <f>G74+F75</f>
        <v/>
      </c>
      <c r="H75" s="81">
        <f>SUMIFS('Deal Log'!$G$8:$G$257,'Deal Log'!$A$8:$A$257,"&gt;"&amp;B74,'Deal Log'!$A$8:$A$257,"&lt;="&amp;B75,'Deal Log'!$I$8:$I$257,"Funded")</f>
        <v/>
      </c>
      <c r="I75" s="61">
        <f>I74+H75</f>
        <v/>
      </c>
      <c r="J75" s="61">
        <f>L74</f>
        <v/>
      </c>
      <c r="K75" s="61">
        <f>MIN(J75+F75,H75)</f>
        <v/>
      </c>
      <c r="L75" s="82">
        <f>MAX(0,J75+F75-H75)</f>
        <v/>
      </c>
      <c r="M75" s="61">
        <f>D75+MAX(0,H75-(J75+F75))</f>
        <v/>
      </c>
      <c r="N75" s="61">
        <f>MAX(D75,H75)</f>
        <v/>
      </c>
      <c r="O75" s="61">
        <f>D75+H75</f>
        <v/>
      </c>
      <c r="P75" s="50">
        <f>IF(Inputs!$C$17="Yes",M75,IF(Inputs!$C$18="Stacked",O75,N75))</f>
        <v/>
      </c>
      <c r="Q75" s="83">
        <f>IF(B75&lt;=Inputs!$C$7,"paid","future")</f>
        <v/>
      </c>
      <c r="R75" s="91" t="n"/>
    </row>
    <row r="76">
      <c r="A76" s="84" t="n">
        <v>68</v>
      </c>
      <c r="B76" s="85">
        <f>IF(R76="",IF(DAY(B75)&lt;=20,(EOMONTH(B75,0)-IF(Inputs!$C$14="Yes",MAX(0,WEEKDAY(EOMONTH(B75,0),2)-5),0)),(DATE(YEAR(B75),MONTH(B75)+1,Inputs!$C$13)-IF(Inputs!$C$14="Yes",MAX(0,WEEKDAY(DATE(YEAR(B75),MONTH(B75)+1,Inputs!$C$13),2)-5),0))),R76)</f>
        <v/>
      </c>
      <c r="C76" s="67">
        <f>EOMONTH(B76,0)</f>
        <v/>
      </c>
      <c r="D76" s="86">
        <f>Inputs!$C$12</f>
        <v/>
      </c>
      <c r="E76" s="66">
        <f>IF(Inputs!$C$19="Recoverable",Inputs!$C$34*12/Inputs!$C$21,0)</f>
        <v/>
      </c>
      <c r="F76" s="66">
        <f>D76+E76</f>
        <v/>
      </c>
      <c r="G76" s="66">
        <f>G75+F76</f>
        <v/>
      </c>
      <c r="H76" s="86">
        <f>SUMIFS('Deal Log'!$G$8:$G$257,'Deal Log'!$A$8:$A$257,"&gt;"&amp;B75,'Deal Log'!$A$8:$A$257,"&lt;="&amp;B76,'Deal Log'!$I$8:$I$257,"Funded")</f>
        <v/>
      </c>
      <c r="I76" s="66">
        <f>I75+H76</f>
        <v/>
      </c>
      <c r="J76" s="66">
        <f>L75</f>
        <v/>
      </c>
      <c r="K76" s="66">
        <f>MIN(J76+F76,H76)</f>
        <v/>
      </c>
      <c r="L76" s="87">
        <f>MAX(0,J76+F76-H76)</f>
        <v/>
      </c>
      <c r="M76" s="88">
        <f>D76+MAX(0,H76-(J76+F76))</f>
        <v/>
      </c>
      <c r="N76" s="66">
        <f>MAX(D76,H76)</f>
        <v/>
      </c>
      <c r="O76" s="66">
        <f>D76+H76</f>
        <v/>
      </c>
      <c r="P76" s="50">
        <f>IF(Inputs!$C$17="Yes",M76,IF(Inputs!$C$18="Stacked",O76,N76))</f>
        <v/>
      </c>
      <c r="Q76" s="89">
        <f>IF(B76&lt;=Inputs!$C$7,"paid","future")</f>
        <v/>
      </c>
      <c r="R76" s="90" t="n"/>
    </row>
    <row r="77">
      <c r="A77" s="79" t="n">
        <v>69</v>
      </c>
      <c r="B77" s="80">
        <f>IF(R77="",IF(DAY(B76)&lt;=20,(EOMONTH(B76,0)-IF(Inputs!$C$14="Yes",MAX(0,WEEKDAY(EOMONTH(B76,0),2)-5),0)),(DATE(YEAR(B76),MONTH(B76)+1,Inputs!$C$13)-IF(Inputs!$C$14="Yes",MAX(0,WEEKDAY(DATE(YEAR(B76),MONTH(B76)+1,Inputs!$C$13),2)-5),0))),R77)</f>
        <v/>
      </c>
      <c r="C77" s="64">
        <f>EOMONTH(B77,0)</f>
        <v/>
      </c>
      <c r="D77" s="81">
        <f>Inputs!$C$12</f>
        <v/>
      </c>
      <c r="E77" s="61">
        <f>IF(Inputs!$C$19="Recoverable",Inputs!$C$34*12/Inputs!$C$21,0)</f>
        <v/>
      </c>
      <c r="F77" s="61">
        <f>D77+E77</f>
        <v/>
      </c>
      <c r="G77" s="61">
        <f>G76+F77</f>
        <v/>
      </c>
      <c r="H77" s="81">
        <f>SUMIFS('Deal Log'!$G$8:$G$257,'Deal Log'!$A$8:$A$257,"&gt;"&amp;B76,'Deal Log'!$A$8:$A$257,"&lt;="&amp;B77,'Deal Log'!$I$8:$I$257,"Funded")</f>
        <v/>
      </c>
      <c r="I77" s="61">
        <f>I76+H77</f>
        <v/>
      </c>
      <c r="J77" s="61">
        <f>L76</f>
        <v/>
      </c>
      <c r="K77" s="61">
        <f>MIN(J77+F77,H77)</f>
        <v/>
      </c>
      <c r="L77" s="82">
        <f>MAX(0,J77+F77-H77)</f>
        <v/>
      </c>
      <c r="M77" s="61">
        <f>D77+MAX(0,H77-(J77+F77))</f>
        <v/>
      </c>
      <c r="N77" s="61">
        <f>MAX(D77,H77)</f>
        <v/>
      </c>
      <c r="O77" s="61">
        <f>D77+H77</f>
        <v/>
      </c>
      <c r="P77" s="50">
        <f>IF(Inputs!$C$17="Yes",M77,IF(Inputs!$C$18="Stacked",O77,N77))</f>
        <v/>
      </c>
      <c r="Q77" s="83">
        <f>IF(B77&lt;=Inputs!$C$7,"paid","future")</f>
        <v/>
      </c>
      <c r="R77" s="91" t="n"/>
    </row>
    <row r="78">
      <c r="A78" s="84" t="n">
        <v>70</v>
      </c>
      <c r="B78" s="85">
        <f>IF(R78="",IF(DAY(B77)&lt;=20,(EOMONTH(B77,0)-IF(Inputs!$C$14="Yes",MAX(0,WEEKDAY(EOMONTH(B77,0),2)-5),0)),(DATE(YEAR(B77),MONTH(B77)+1,Inputs!$C$13)-IF(Inputs!$C$14="Yes",MAX(0,WEEKDAY(DATE(YEAR(B77),MONTH(B77)+1,Inputs!$C$13),2)-5),0))),R78)</f>
        <v/>
      </c>
      <c r="C78" s="67">
        <f>EOMONTH(B78,0)</f>
        <v/>
      </c>
      <c r="D78" s="86">
        <f>Inputs!$C$12</f>
        <v/>
      </c>
      <c r="E78" s="66">
        <f>IF(Inputs!$C$19="Recoverable",Inputs!$C$34*12/Inputs!$C$21,0)</f>
        <v/>
      </c>
      <c r="F78" s="66">
        <f>D78+E78</f>
        <v/>
      </c>
      <c r="G78" s="66">
        <f>G77+F78</f>
        <v/>
      </c>
      <c r="H78" s="86">
        <f>SUMIFS('Deal Log'!$G$8:$G$257,'Deal Log'!$A$8:$A$257,"&gt;"&amp;B77,'Deal Log'!$A$8:$A$257,"&lt;="&amp;B78,'Deal Log'!$I$8:$I$257,"Funded")</f>
        <v/>
      </c>
      <c r="I78" s="66">
        <f>I77+H78</f>
        <v/>
      </c>
      <c r="J78" s="66">
        <f>L77</f>
        <v/>
      </c>
      <c r="K78" s="66">
        <f>MIN(J78+F78,H78)</f>
        <v/>
      </c>
      <c r="L78" s="87">
        <f>MAX(0,J78+F78-H78)</f>
        <v/>
      </c>
      <c r="M78" s="88">
        <f>D78+MAX(0,H78-(J78+F78))</f>
        <v/>
      </c>
      <c r="N78" s="66">
        <f>MAX(D78,H78)</f>
        <v/>
      </c>
      <c r="O78" s="66">
        <f>D78+H78</f>
        <v/>
      </c>
      <c r="P78" s="50">
        <f>IF(Inputs!$C$17="Yes",M78,IF(Inputs!$C$18="Stacked",O78,N78))</f>
        <v/>
      </c>
      <c r="Q78" s="89">
        <f>IF(B78&lt;=Inputs!$C$7,"paid","future")</f>
        <v/>
      </c>
      <c r="R78" s="90" t="n"/>
    </row>
    <row r="79">
      <c r="A79" s="79" t="n">
        <v>71</v>
      </c>
      <c r="B79" s="80">
        <f>IF(R79="",IF(DAY(B78)&lt;=20,(EOMONTH(B78,0)-IF(Inputs!$C$14="Yes",MAX(0,WEEKDAY(EOMONTH(B78,0),2)-5),0)),(DATE(YEAR(B78),MONTH(B78)+1,Inputs!$C$13)-IF(Inputs!$C$14="Yes",MAX(0,WEEKDAY(DATE(YEAR(B78),MONTH(B78)+1,Inputs!$C$13),2)-5),0))),R79)</f>
        <v/>
      </c>
      <c r="C79" s="64">
        <f>EOMONTH(B79,0)</f>
        <v/>
      </c>
      <c r="D79" s="81">
        <f>Inputs!$C$12</f>
        <v/>
      </c>
      <c r="E79" s="61">
        <f>IF(Inputs!$C$19="Recoverable",Inputs!$C$34*12/Inputs!$C$21,0)</f>
        <v/>
      </c>
      <c r="F79" s="61">
        <f>D79+E79</f>
        <v/>
      </c>
      <c r="G79" s="61">
        <f>G78+F79</f>
        <v/>
      </c>
      <c r="H79" s="81">
        <f>SUMIFS('Deal Log'!$G$8:$G$257,'Deal Log'!$A$8:$A$257,"&gt;"&amp;B78,'Deal Log'!$A$8:$A$257,"&lt;="&amp;B79,'Deal Log'!$I$8:$I$257,"Funded")</f>
        <v/>
      </c>
      <c r="I79" s="61">
        <f>I78+H79</f>
        <v/>
      </c>
      <c r="J79" s="61">
        <f>L78</f>
        <v/>
      </c>
      <c r="K79" s="61">
        <f>MIN(J79+F79,H79)</f>
        <v/>
      </c>
      <c r="L79" s="82">
        <f>MAX(0,J79+F79-H79)</f>
        <v/>
      </c>
      <c r="M79" s="61">
        <f>D79+MAX(0,H79-(J79+F79))</f>
        <v/>
      </c>
      <c r="N79" s="61">
        <f>MAX(D79,H79)</f>
        <v/>
      </c>
      <c r="O79" s="61">
        <f>D79+H79</f>
        <v/>
      </c>
      <c r="P79" s="50">
        <f>IF(Inputs!$C$17="Yes",M79,IF(Inputs!$C$18="Stacked",O79,N79))</f>
        <v/>
      </c>
      <c r="Q79" s="83">
        <f>IF(B79&lt;=Inputs!$C$7,"paid","future")</f>
        <v/>
      </c>
      <c r="R79" s="91" t="n"/>
    </row>
    <row r="80">
      <c r="A80" s="84" t="n">
        <v>72</v>
      </c>
      <c r="B80" s="85">
        <f>IF(R80="",IF(DAY(B79)&lt;=20,(EOMONTH(B79,0)-IF(Inputs!$C$14="Yes",MAX(0,WEEKDAY(EOMONTH(B79,0),2)-5),0)),(DATE(YEAR(B79),MONTH(B79)+1,Inputs!$C$13)-IF(Inputs!$C$14="Yes",MAX(0,WEEKDAY(DATE(YEAR(B79),MONTH(B79)+1,Inputs!$C$13),2)-5),0))),R80)</f>
        <v/>
      </c>
      <c r="C80" s="67">
        <f>EOMONTH(B80,0)</f>
        <v/>
      </c>
      <c r="D80" s="86">
        <f>Inputs!$C$12</f>
        <v/>
      </c>
      <c r="E80" s="66">
        <f>IF(Inputs!$C$19="Recoverable",Inputs!$C$34*12/Inputs!$C$21,0)</f>
        <v/>
      </c>
      <c r="F80" s="66">
        <f>D80+E80</f>
        <v/>
      </c>
      <c r="G80" s="66">
        <f>G79+F80</f>
        <v/>
      </c>
      <c r="H80" s="86">
        <f>SUMIFS('Deal Log'!$G$8:$G$257,'Deal Log'!$A$8:$A$257,"&gt;"&amp;B79,'Deal Log'!$A$8:$A$257,"&lt;="&amp;B80,'Deal Log'!$I$8:$I$257,"Funded")</f>
        <v/>
      </c>
      <c r="I80" s="66">
        <f>I79+H80</f>
        <v/>
      </c>
      <c r="J80" s="66">
        <f>L79</f>
        <v/>
      </c>
      <c r="K80" s="66">
        <f>MIN(J80+F80,H80)</f>
        <v/>
      </c>
      <c r="L80" s="87">
        <f>MAX(0,J80+F80-H80)</f>
        <v/>
      </c>
      <c r="M80" s="88">
        <f>D80+MAX(0,H80-(J80+F80))</f>
        <v/>
      </c>
      <c r="N80" s="66">
        <f>MAX(D80,H80)</f>
        <v/>
      </c>
      <c r="O80" s="66">
        <f>D80+H80</f>
        <v/>
      </c>
      <c r="P80" s="50">
        <f>IF(Inputs!$C$17="Yes",M80,IF(Inputs!$C$18="Stacked",O80,N80))</f>
        <v/>
      </c>
      <c r="Q80" s="89">
        <f>IF(B80&lt;=Inputs!$C$7,"paid","future")</f>
        <v/>
      </c>
      <c r="R80" s="90" t="n"/>
    </row>
    <row r="81">
      <c r="A81" s="79" t="n">
        <v>73</v>
      </c>
      <c r="B81" s="80">
        <f>IF(R81="",IF(DAY(B80)&lt;=20,(EOMONTH(B80,0)-IF(Inputs!$C$14="Yes",MAX(0,WEEKDAY(EOMONTH(B80,0),2)-5),0)),(DATE(YEAR(B80),MONTH(B80)+1,Inputs!$C$13)-IF(Inputs!$C$14="Yes",MAX(0,WEEKDAY(DATE(YEAR(B80),MONTH(B80)+1,Inputs!$C$13),2)-5),0))),R81)</f>
        <v/>
      </c>
      <c r="C81" s="64">
        <f>EOMONTH(B81,0)</f>
        <v/>
      </c>
      <c r="D81" s="81">
        <f>Inputs!$C$12</f>
        <v/>
      </c>
      <c r="E81" s="61">
        <f>IF(Inputs!$C$19="Recoverable",Inputs!$C$34*12/Inputs!$C$21,0)</f>
        <v/>
      </c>
      <c r="F81" s="61">
        <f>D81+E81</f>
        <v/>
      </c>
      <c r="G81" s="61">
        <f>G80+F81</f>
        <v/>
      </c>
      <c r="H81" s="81">
        <f>SUMIFS('Deal Log'!$G$8:$G$257,'Deal Log'!$A$8:$A$257,"&gt;"&amp;B80,'Deal Log'!$A$8:$A$257,"&lt;="&amp;B81,'Deal Log'!$I$8:$I$257,"Funded")</f>
        <v/>
      </c>
      <c r="I81" s="61">
        <f>I80+H81</f>
        <v/>
      </c>
      <c r="J81" s="61">
        <f>L80</f>
        <v/>
      </c>
      <c r="K81" s="61">
        <f>MIN(J81+F81,H81)</f>
        <v/>
      </c>
      <c r="L81" s="82">
        <f>MAX(0,J81+F81-H81)</f>
        <v/>
      </c>
      <c r="M81" s="61">
        <f>D81+MAX(0,H81-(J81+F81))</f>
        <v/>
      </c>
      <c r="N81" s="61">
        <f>MAX(D81,H81)</f>
        <v/>
      </c>
      <c r="O81" s="61">
        <f>D81+H81</f>
        <v/>
      </c>
      <c r="P81" s="50">
        <f>IF(Inputs!$C$17="Yes",M81,IF(Inputs!$C$18="Stacked",O81,N81))</f>
        <v/>
      </c>
      <c r="Q81" s="83">
        <f>IF(B81&lt;=Inputs!$C$7,"paid","future")</f>
        <v/>
      </c>
      <c r="R81" s="91" t="n"/>
    </row>
    <row r="82">
      <c r="A82" s="84" t="n">
        <v>74</v>
      </c>
      <c r="B82" s="85">
        <f>IF(R82="",IF(DAY(B81)&lt;=20,(EOMONTH(B81,0)-IF(Inputs!$C$14="Yes",MAX(0,WEEKDAY(EOMONTH(B81,0),2)-5),0)),(DATE(YEAR(B81),MONTH(B81)+1,Inputs!$C$13)-IF(Inputs!$C$14="Yes",MAX(0,WEEKDAY(DATE(YEAR(B81),MONTH(B81)+1,Inputs!$C$13),2)-5),0))),R82)</f>
        <v/>
      </c>
      <c r="C82" s="67">
        <f>EOMONTH(B82,0)</f>
        <v/>
      </c>
      <c r="D82" s="86">
        <f>Inputs!$C$12</f>
        <v/>
      </c>
      <c r="E82" s="66">
        <f>IF(Inputs!$C$19="Recoverable",Inputs!$C$34*12/Inputs!$C$21,0)</f>
        <v/>
      </c>
      <c r="F82" s="66">
        <f>D82+E82</f>
        <v/>
      </c>
      <c r="G82" s="66">
        <f>G81+F82</f>
        <v/>
      </c>
      <c r="H82" s="86">
        <f>SUMIFS('Deal Log'!$G$8:$G$257,'Deal Log'!$A$8:$A$257,"&gt;"&amp;B81,'Deal Log'!$A$8:$A$257,"&lt;="&amp;B82,'Deal Log'!$I$8:$I$257,"Funded")</f>
        <v/>
      </c>
      <c r="I82" s="66">
        <f>I81+H82</f>
        <v/>
      </c>
      <c r="J82" s="66">
        <f>L81</f>
        <v/>
      </c>
      <c r="K82" s="66">
        <f>MIN(J82+F82,H82)</f>
        <v/>
      </c>
      <c r="L82" s="87">
        <f>MAX(0,J82+F82-H82)</f>
        <v/>
      </c>
      <c r="M82" s="88">
        <f>D82+MAX(0,H82-(J82+F82))</f>
        <v/>
      </c>
      <c r="N82" s="66">
        <f>MAX(D82,H82)</f>
        <v/>
      </c>
      <c r="O82" s="66">
        <f>D82+H82</f>
        <v/>
      </c>
      <c r="P82" s="50">
        <f>IF(Inputs!$C$17="Yes",M82,IF(Inputs!$C$18="Stacked",O82,N82))</f>
        <v/>
      </c>
      <c r="Q82" s="89">
        <f>IF(B82&lt;=Inputs!$C$7,"paid","future")</f>
        <v/>
      </c>
      <c r="R82" s="90" t="n"/>
    </row>
    <row r="83">
      <c r="A83" s="79" t="n">
        <v>75</v>
      </c>
      <c r="B83" s="80">
        <f>IF(R83="",IF(DAY(B82)&lt;=20,(EOMONTH(B82,0)-IF(Inputs!$C$14="Yes",MAX(0,WEEKDAY(EOMONTH(B82,0),2)-5),0)),(DATE(YEAR(B82),MONTH(B82)+1,Inputs!$C$13)-IF(Inputs!$C$14="Yes",MAX(0,WEEKDAY(DATE(YEAR(B82),MONTH(B82)+1,Inputs!$C$13),2)-5),0))),R83)</f>
        <v/>
      </c>
      <c r="C83" s="64">
        <f>EOMONTH(B83,0)</f>
        <v/>
      </c>
      <c r="D83" s="81">
        <f>Inputs!$C$12</f>
        <v/>
      </c>
      <c r="E83" s="61">
        <f>IF(Inputs!$C$19="Recoverable",Inputs!$C$34*12/Inputs!$C$21,0)</f>
        <v/>
      </c>
      <c r="F83" s="61">
        <f>D83+E83</f>
        <v/>
      </c>
      <c r="G83" s="61">
        <f>G82+F83</f>
        <v/>
      </c>
      <c r="H83" s="81">
        <f>SUMIFS('Deal Log'!$G$8:$G$257,'Deal Log'!$A$8:$A$257,"&gt;"&amp;B82,'Deal Log'!$A$8:$A$257,"&lt;="&amp;B83,'Deal Log'!$I$8:$I$257,"Funded")</f>
        <v/>
      </c>
      <c r="I83" s="61">
        <f>I82+H83</f>
        <v/>
      </c>
      <c r="J83" s="61">
        <f>L82</f>
        <v/>
      </c>
      <c r="K83" s="61">
        <f>MIN(J83+F83,H83)</f>
        <v/>
      </c>
      <c r="L83" s="82">
        <f>MAX(0,J83+F83-H83)</f>
        <v/>
      </c>
      <c r="M83" s="61">
        <f>D83+MAX(0,H83-(J83+F83))</f>
        <v/>
      </c>
      <c r="N83" s="61">
        <f>MAX(D83,H83)</f>
        <v/>
      </c>
      <c r="O83" s="61">
        <f>D83+H83</f>
        <v/>
      </c>
      <c r="P83" s="50">
        <f>IF(Inputs!$C$17="Yes",M83,IF(Inputs!$C$18="Stacked",O83,N83))</f>
        <v/>
      </c>
      <c r="Q83" s="83">
        <f>IF(B83&lt;=Inputs!$C$7,"paid","future")</f>
        <v/>
      </c>
      <c r="R83" s="91" t="n"/>
    </row>
    <row r="84">
      <c r="A84" s="84" t="n">
        <v>76</v>
      </c>
      <c r="B84" s="85">
        <f>IF(R84="",IF(DAY(B83)&lt;=20,(EOMONTH(B83,0)-IF(Inputs!$C$14="Yes",MAX(0,WEEKDAY(EOMONTH(B83,0),2)-5),0)),(DATE(YEAR(B83),MONTH(B83)+1,Inputs!$C$13)-IF(Inputs!$C$14="Yes",MAX(0,WEEKDAY(DATE(YEAR(B83),MONTH(B83)+1,Inputs!$C$13),2)-5),0))),R84)</f>
        <v/>
      </c>
      <c r="C84" s="67">
        <f>EOMONTH(B84,0)</f>
        <v/>
      </c>
      <c r="D84" s="86">
        <f>Inputs!$C$12</f>
        <v/>
      </c>
      <c r="E84" s="66">
        <f>IF(Inputs!$C$19="Recoverable",Inputs!$C$34*12/Inputs!$C$21,0)</f>
        <v/>
      </c>
      <c r="F84" s="66">
        <f>D84+E84</f>
        <v/>
      </c>
      <c r="G84" s="66">
        <f>G83+F84</f>
        <v/>
      </c>
      <c r="H84" s="86">
        <f>SUMIFS('Deal Log'!$G$8:$G$257,'Deal Log'!$A$8:$A$257,"&gt;"&amp;B83,'Deal Log'!$A$8:$A$257,"&lt;="&amp;B84,'Deal Log'!$I$8:$I$257,"Funded")</f>
        <v/>
      </c>
      <c r="I84" s="66">
        <f>I83+H84</f>
        <v/>
      </c>
      <c r="J84" s="66">
        <f>L83</f>
        <v/>
      </c>
      <c r="K84" s="66">
        <f>MIN(J84+F84,H84)</f>
        <v/>
      </c>
      <c r="L84" s="87">
        <f>MAX(0,J84+F84-H84)</f>
        <v/>
      </c>
      <c r="M84" s="88">
        <f>D84+MAX(0,H84-(J84+F84))</f>
        <v/>
      </c>
      <c r="N84" s="66">
        <f>MAX(D84,H84)</f>
        <v/>
      </c>
      <c r="O84" s="66">
        <f>D84+H84</f>
        <v/>
      </c>
      <c r="P84" s="50">
        <f>IF(Inputs!$C$17="Yes",M84,IF(Inputs!$C$18="Stacked",O84,N84))</f>
        <v/>
      </c>
      <c r="Q84" s="89">
        <f>IF(B84&lt;=Inputs!$C$7,"paid","future")</f>
        <v/>
      </c>
      <c r="R84" s="90" t="n"/>
    </row>
    <row r="85">
      <c r="A85" s="79" t="n">
        <v>77</v>
      </c>
      <c r="B85" s="80">
        <f>IF(R85="",IF(DAY(B84)&lt;=20,(EOMONTH(B84,0)-IF(Inputs!$C$14="Yes",MAX(0,WEEKDAY(EOMONTH(B84,0),2)-5),0)),(DATE(YEAR(B84),MONTH(B84)+1,Inputs!$C$13)-IF(Inputs!$C$14="Yes",MAX(0,WEEKDAY(DATE(YEAR(B84),MONTH(B84)+1,Inputs!$C$13),2)-5),0))),R85)</f>
        <v/>
      </c>
      <c r="C85" s="64">
        <f>EOMONTH(B85,0)</f>
        <v/>
      </c>
      <c r="D85" s="81">
        <f>Inputs!$C$12</f>
        <v/>
      </c>
      <c r="E85" s="61">
        <f>IF(Inputs!$C$19="Recoverable",Inputs!$C$34*12/Inputs!$C$21,0)</f>
        <v/>
      </c>
      <c r="F85" s="61">
        <f>D85+E85</f>
        <v/>
      </c>
      <c r="G85" s="61">
        <f>G84+F85</f>
        <v/>
      </c>
      <c r="H85" s="81">
        <f>SUMIFS('Deal Log'!$G$8:$G$257,'Deal Log'!$A$8:$A$257,"&gt;"&amp;B84,'Deal Log'!$A$8:$A$257,"&lt;="&amp;B85,'Deal Log'!$I$8:$I$257,"Funded")</f>
        <v/>
      </c>
      <c r="I85" s="61">
        <f>I84+H85</f>
        <v/>
      </c>
      <c r="J85" s="61">
        <f>L84</f>
        <v/>
      </c>
      <c r="K85" s="61">
        <f>MIN(J85+F85,H85)</f>
        <v/>
      </c>
      <c r="L85" s="82">
        <f>MAX(0,J85+F85-H85)</f>
        <v/>
      </c>
      <c r="M85" s="61">
        <f>D85+MAX(0,H85-(J85+F85))</f>
        <v/>
      </c>
      <c r="N85" s="61">
        <f>MAX(D85,H85)</f>
        <v/>
      </c>
      <c r="O85" s="61">
        <f>D85+H85</f>
        <v/>
      </c>
      <c r="P85" s="50">
        <f>IF(Inputs!$C$17="Yes",M85,IF(Inputs!$C$18="Stacked",O85,N85))</f>
        <v/>
      </c>
      <c r="Q85" s="83">
        <f>IF(B85&lt;=Inputs!$C$7,"paid","future")</f>
        <v/>
      </c>
      <c r="R85" s="91" t="n"/>
    </row>
    <row r="86">
      <c r="A86" s="84" t="n">
        <v>78</v>
      </c>
      <c r="B86" s="85">
        <f>IF(R86="",IF(DAY(B85)&lt;=20,(EOMONTH(B85,0)-IF(Inputs!$C$14="Yes",MAX(0,WEEKDAY(EOMONTH(B85,0),2)-5),0)),(DATE(YEAR(B85),MONTH(B85)+1,Inputs!$C$13)-IF(Inputs!$C$14="Yes",MAX(0,WEEKDAY(DATE(YEAR(B85),MONTH(B85)+1,Inputs!$C$13),2)-5),0))),R86)</f>
        <v/>
      </c>
      <c r="C86" s="67">
        <f>EOMONTH(B86,0)</f>
        <v/>
      </c>
      <c r="D86" s="86">
        <f>Inputs!$C$12</f>
        <v/>
      </c>
      <c r="E86" s="66">
        <f>IF(Inputs!$C$19="Recoverable",Inputs!$C$34*12/Inputs!$C$21,0)</f>
        <v/>
      </c>
      <c r="F86" s="66">
        <f>D86+E86</f>
        <v/>
      </c>
      <c r="G86" s="66">
        <f>G85+F86</f>
        <v/>
      </c>
      <c r="H86" s="86">
        <f>SUMIFS('Deal Log'!$G$8:$G$257,'Deal Log'!$A$8:$A$257,"&gt;"&amp;B85,'Deal Log'!$A$8:$A$257,"&lt;="&amp;B86,'Deal Log'!$I$8:$I$257,"Funded")</f>
        <v/>
      </c>
      <c r="I86" s="66">
        <f>I85+H86</f>
        <v/>
      </c>
      <c r="J86" s="66">
        <f>L85</f>
        <v/>
      </c>
      <c r="K86" s="66">
        <f>MIN(J86+F86,H86)</f>
        <v/>
      </c>
      <c r="L86" s="87">
        <f>MAX(0,J86+F86-H86)</f>
        <v/>
      </c>
      <c r="M86" s="88">
        <f>D86+MAX(0,H86-(J86+F86))</f>
        <v/>
      </c>
      <c r="N86" s="66">
        <f>MAX(D86,H86)</f>
        <v/>
      </c>
      <c r="O86" s="66">
        <f>D86+H86</f>
        <v/>
      </c>
      <c r="P86" s="50">
        <f>IF(Inputs!$C$17="Yes",M86,IF(Inputs!$C$18="Stacked",O86,N86))</f>
        <v/>
      </c>
      <c r="Q86" s="89">
        <f>IF(B86&lt;=Inputs!$C$7,"paid","future")</f>
        <v/>
      </c>
      <c r="R86" s="90" t="n"/>
    </row>
    <row r="87">
      <c r="A87" s="79" t="n">
        <v>79</v>
      </c>
      <c r="B87" s="80">
        <f>IF(R87="",IF(DAY(B86)&lt;=20,(EOMONTH(B86,0)-IF(Inputs!$C$14="Yes",MAX(0,WEEKDAY(EOMONTH(B86,0),2)-5),0)),(DATE(YEAR(B86),MONTH(B86)+1,Inputs!$C$13)-IF(Inputs!$C$14="Yes",MAX(0,WEEKDAY(DATE(YEAR(B86),MONTH(B86)+1,Inputs!$C$13),2)-5),0))),R87)</f>
        <v/>
      </c>
      <c r="C87" s="64">
        <f>EOMONTH(B87,0)</f>
        <v/>
      </c>
      <c r="D87" s="81">
        <f>Inputs!$C$12</f>
        <v/>
      </c>
      <c r="E87" s="61">
        <f>IF(Inputs!$C$19="Recoverable",Inputs!$C$34*12/Inputs!$C$21,0)</f>
        <v/>
      </c>
      <c r="F87" s="61">
        <f>D87+E87</f>
        <v/>
      </c>
      <c r="G87" s="61">
        <f>G86+F87</f>
        <v/>
      </c>
      <c r="H87" s="81">
        <f>SUMIFS('Deal Log'!$G$8:$G$257,'Deal Log'!$A$8:$A$257,"&gt;"&amp;B86,'Deal Log'!$A$8:$A$257,"&lt;="&amp;B87,'Deal Log'!$I$8:$I$257,"Funded")</f>
        <v/>
      </c>
      <c r="I87" s="61">
        <f>I86+H87</f>
        <v/>
      </c>
      <c r="J87" s="61">
        <f>L86</f>
        <v/>
      </c>
      <c r="K87" s="61">
        <f>MIN(J87+F87,H87)</f>
        <v/>
      </c>
      <c r="L87" s="82">
        <f>MAX(0,J87+F87-H87)</f>
        <v/>
      </c>
      <c r="M87" s="61">
        <f>D87+MAX(0,H87-(J87+F87))</f>
        <v/>
      </c>
      <c r="N87" s="61">
        <f>MAX(D87,H87)</f>
        <v/>
      </c>
      <c r="O87" s="61">
        <f>D87+H87</f>
        <v/>
      </c>
      <c r="P87" s="50">
        <f>IF(Inputs!$C$17="Yes",M87,IF(Inputs!$C$18="Stacked",O87,N87))</f>
        <v/>
      </c>
      <c r="Q87" s="83">
        <f>IF(B87&lt;=Inputs!$C$7,"paid","future")</f>
        <v/>
      </c>
      <c r="R87" s="91" t="n"/>
    </row>
    <row r="88">
      <c r="A88" s="84" t="n">
        <v>80</v>
      </c>
      <c r="B88" s="85">
        <f>IF(R88="",IF(DAY(B87)&lt;=20,(EOMONTH(B87,0)-IF(Inputs!$C$14="Yes",MAX(0,WEEKDAY(EOMONTH(B87,0),2)-5),0)),(DATE(YEAR(B87),MONTH(B87)+1,Inputs!$C$13)-IF(Inputs!$C$14="Yes",MAX(0,WEEKDAY(DATE(YEAR(B87),MONTH(B87)+1,Inputs!$C$13),2)-5),0))),R88)</f>
        <v/>
      </c>
      <c r="C88" s="67">
        <f>EOMONTH(B88,0)</f>
        <v/>
      </c>
      <c r="D88" s="86">
        <f>Inputs!$C$12</f>
        <v/>
      </c>
      <c r="E88" s="66">
        <f>IF(Inputs!$C$19="Recoverable",Inputs!$C$34*12/Inputs!$C$21,0)</f>
        <v/>
      </c>
      <c r="F88" s="66">
        <f>D88+E88</f>
        <v/>
      </c>
      <c r="G88" s="66">
        <f>G87+F88</f>
        <v/>
      </c>
      <c r="H88" s="86">
        <f>SUMIFS('Deal Log'!$G$8:$G$257,'Deal Log'!$A$8:$A$257,"&gt;"&amp;B87,'Deal Log'!$A$8:$A$257,"&lt;="&amp;B88,'Deal Log'!$I$8:$I$257,"Funded")</f>
        <v/>
      </c>
      <c r="I88" s="66">
        <f>I87+H88</f>
        <v/>
      </c>
      <c r="J88" s="66">
        <f>L87</f>
        <v/>
      </c>
      <c r="K88" s="66">
        <f>MIN(J88+F88,H88)</f>
        <v/>
      </c>
      <c r="L88" s="87">
        <f>MAX(0,J88+F88-H88)</f>
        <v/>
      </c>
      <c r="M88" s="88">
        <f>D88+MAX(0,H88-(J88+F88))</f>
        <v/>
      </c>
      <c r="N88" s="66">
        <f>MAX(D88,H88)</f>
        <v/>
      </c>
      <c r="O88" s="66">
        <f>D88+H88</f>
        <v/>
      </c>
      <c r="P88" s="50">
        <f>IF(Inputs!$C$17="Yes",M88,IF(Inputs!$C$18="Stacked",O88,N88))</f>
        <v/>
      </c>
      <c r="Q88" s="89">
        <f>IF(B88&lt;=Inputs!$C$7,"paid","future")</f>
        <v/>
      </c>
      <c r="R88" s="90" t="n"/>
    </row>
    <row r="89">
      <c r="A89" s="79" t="n">
        <v>81</v>
      </c>
      <c r="B89" s="80">
        <f>IF(R89="",IF(DAY(B88)&lt;=20,(EOMONTH(B88,0)-IF(Inputs!$C$14="Yes",MAX(0,WEEKDAY(EOMONTH(B88,0),2)-5),0)),(DATE(YEAR(B88),MONTH(B88)+1,Inputs!$C$13)-IF(Inputs!$C$14="Yes",MAX(0,WEEKDAY(DATE(YEAR(B88),MONTH(B88)+1,Inputs!$C$13),2)-5),0))),R89)</f>
        <v/>
      </c>
      <c r="C89" s="64">
        <f>EOMONTH(B89,0)</f>
        <v/>
      </c>
      <c r="D89" s="81">
        <f>Inputs!$C$12</f>
        <v/>
      </c>
      <c r="E89" s="61">
        <f>IF(Inputs!$C$19="Recoverable",Inputs!$C$34*12/Inputs!$C$21,0)</f>
        <v/>
      </c>
      <c r="F89" s="61">
        <f>D89+E89</f>
        <v/>
      </c>
      <c r="G89" s="61">
        <f>G88+F89</f>
        <v/>
      </c>
      <c r="H89" s="81">
        <f>SUMIFS('Deal Log'!$G$8:$G$257,'Deal Log'!$A$8:$A$257,"&gt;"&amp;B88,'Deal Log'!$A$8:$A$257,"&lt;="&amp;B89,'Deal Log'!$I$8:$I$257,"Funded")</f>
        <v/>
      </c>
      <c r="I89" s="61">
        <f>I88+H89</f>
        <v/>
      </c>
      <c r="J89" s="61">
        <f>L88</f>
        <v/>
      </c>
      <c r="K89" s="61">
        <f>MIN(J89+F89,H89)</f>
        <v/>
      </c>
      <c r="L89" s="82">
        <f>MAX(0,J89+F89-H89)</f>
        <v/>
      </c>
      <c r="M89" s="61">
        <f>D89+MAX(0,H89-(J89+F89))</f>
        <v/>
      </c>
      <c r="N89" s="61">
        <f>MAX(D89,H89)</f>
        <v/>
      </c>
      <c r="O89" s="61">
        <f>D89+H89</f>
        <v/>
      </c>
      <c r="P89" s="50">
        <f>IF(Inputs!$C$17="Yes",M89,IF(Inputs!$C$18="Stacked",O89,N89))</f>
        <v/>
      </c>
      <c r="Q89" s="83">
        <f>IF(B89&lt;=Inputs!$C$7,"paid","future")</f>
        <v/>
      </c>
      <c r="R89" s="91" t="n"/>
    </row>
    <row r="90">
      <c r="A90" s="84" t="n">
        <v>82</v>
      </c>
      <c r="B90" s="85">
        <f>IF(R90="",IF(DAY(B89)&lt;=20,(EOMONTH(B89,0)-IF(Inputs!$C$14="Yes",MAX(0,WEEKDAY(EOMONTH(B89,0),2)-5),0)),(DATE(YEAR(B89),MONTH(B89)+1,Inputs!$C$13)-IF(Inputs!$C$14="Yes",MAX(0,WEEKDAY(DATE(YEAR(B89),MONTH(B89)+1,Inputs!$C$13),2)-5),0))),R90)</f>
        <v/>
      </c>
      <c r="C90" s="67">
        <f>EOMONTH(B90,0)</f>
        <v/>
      </c>
      <c r="D90" s="86">
        <f>Inputs!$C$12</f>
        <v/>
      </c>
      <c r="E90" s="66">
        <f>IF(Inputs!$C$19="Recoverable",Inputs!$C$34*12/Inputs!$C$21,0)</f>
        <v/>
      </c>
      <c r="F90" s="66">
        <f>D90+E90</f>
        <v/>
      </c>
      <c r="G90" s="66">
        <f>G89+F90</f>
        <v/>
      </c>
      <c r="H90" s="86">
        <f>SUMIFS('Deal Log'!$G$8:$G$257,'Deal Log'!$A$8:$A$257,"&gt;"&amp;B89,'Deal Log'!$A$8:$A$257,"&lt;="&amp;B90,'Deal Log'!$I$8:$I$257,"Funded")</f>
        <v/>
      </c>
      <c r="I90" s="66">
        <f>I89+H90</f>
        <v/>
      </c>
      <c r="J90" s="66">
        <f>L89</f>
        <v/>
      </c>
      <c r="K90" s="66">
        <f>MIN(J90+F90,H90)</f>
        <v/>
      </c>
      <c r="L90" s="87">
        <f>MAX(0,J90+F90-H90)</f>
        <v/>
      </c>
      <c r="M90" s="88">
        <f>D90+MAX(0,H90-(J90+F90))</f>
        <v/>
      </c>
      <c r="N90" s="66">
        <f>MAX(D90,H90)</f>
        <v/>
      </c>
      <c r="O90" s="66">
        <f>D90+H90</f>
        <v/>
      </c>
      <c r="P90" s="50">
        <f>IF(Inputs!$C$17="Yes",M90,IF(Inputs!$C$18="Stacked",O90,N90))</f>
        <v/>
      </c>
      <c r="Q90" s="89">
        <f>IF(B90&lt;=Inputs!$C$7,"paid","future")</f>
        <v/>
      </c>
      <c r="R90" s="90" t="n"/>
    </row>
    <row r="91">
      <c r="A91" s="79" t="n">
        <v>83</v>
      </c>
      <c r="B91" s="80">
        <f>IF(R91="",IF(DAY(B90)&lt;=20,(EOMONTH(B90,0)-IF(Inputs!$C$14="Yes",MAX(0,WEEKDAY(EOMONTH(B90,0),2)-5),0)),(DATE(YEAR(B90),MONTH(B90)+1,Inputs!$C$13)-IF(Inputs!$C$14="Yes",MAX(0,WEEKDAY(DATE(YEAR(B90),MONTH(B90)+1,Inputs!$C$13),2)-5),0))),R91)</f>
        <v/>
      </c>
      <c r="C91" s="64">
        <f>EOMONTH(B91,0)</f>
        <v/>
      </c>
      <c r="D91" s="81">
        <f>Inputs!$C$12</f>
        <v/>
      </c>
      <c r="E91" s="61">
        <f>IF(Inputs!$C$19="Recoverable",Inputs!$C$34*12/Inputs!$C$21,0)</f>
        <v/>
      </c>
      <c r="F91" s="61">
        <f>D91+E91</f>
        <v/>
      </c>
      <c r="G91" s="61">
        <f>G90+F91</f>
        <v/>
      </c>
      <c r="H91" s="81">
        <f>SUMIFS('Deal Log'!$G$8:$G$257,'Deal Log'!$A$8:$A$257,"&gt;"&amp;B90,'Deal Log'!$A$8:$A$257,"&lt;="&amp;B91,'Deal Log'!$I$8:$I$257,"Funded")</f>
        <v/>
      </c>
      <c r="I91" s="61">
        <f>I90+H91</f>
        <v/>
      </c>
      <c r="J91" s="61">
        <f>L90</f>
        <v/>
      </c>
      <c r="K91" s="61">
        <f>MIN(J91+F91,H91)</f>
        <v/>
      </c>
      <c r="L91" s="82">
        <f>MAX(0,J91+F91-H91)</f>
        <v/>
      </c>
      <c r="M91" s="61">
        <f>D91+MAX(0,H91-(J91+F91))</f>
        <v/>
      </c>
      <c r="N91" s="61">
        <f>MAX(D91,H91)</f>
        <v/>
      </c>
      <c r="O91" s="61">
        <f>D91+H91</f>
        <v/>
      </c>
      <c r="P91" s="50">
        <f>IF(Inputs!$C$17="Yes",M91,IF(Inputs!$C$18="Stacked",O91,N91))</f>
        <v/>
      </c>
      <c r="Q91" s="83">
        <f>IF(B91&lt;=Inputs!$C$7,"paid","future")</f>
        <v/>
      </c>
      <c r="R91" s="91" t="n"/>
    </row>
    <row r="92">
      <c r="A92" s="84" t="n">
        <v>84</v>
      </c>
      <c r="B92" s="85">
        <f>IF(R92="",IF(DAY(B91)&lt;=20,(EOMONTH(B91,0)-IF(Inputs!$C$14="Yes",MAX(0,WEEKDAY(EOMONTH(B91,0),2)-5),0)),(DATE(YEAR(B91),MONTH(B91)+1,Inputs!$C$13)-IF(Inputs!$C$14="Yes",MAX(0,WEEKDAY(DATE(YEAR(B91),MONTH(B91)+1,Inputs!$C$13),2)-5),0))),R92)</f>
        <v/>
      </c>
      <c r="C92" s="67">
        <f>EOMONTH(B92,0)</f>
        <v/>
      </c>
      <c r="D92" s="86">
        <f>Inputs!$C$12</f>
        <v/>
      </c>
      <c r="E92" s="66">
        <f>IF(Inputs!$C$19="Recoverable",Inputs!$C$34*12/Inputs!$C$21,0)</f>
        <v/>
      </c>
      <c r="F92" s="66">
        <f>D92+E92</f>
        <v/>
      </c>
      <c r="G92" s="66">
        <f>G91+F92</f>
        <v/>
      </c>
      <c r="H92" s="86">
        <f>SUMIFS('Deal Log'!$G$8:$G$257,'Deal Log'!$A$8:$A$257,"&gt;"&amp;B91,'Deal Log'!$A$8:$A$257,"&lt;="&amp;B92,'Deal Log'!$I$8:$I$257,"Funded")</f>
        <v/>
      </c>
      <c r="I92" s="66">
        <f>I91+H92</f>
        <v/>
      </c>
      <c r="J92" s="66">
        <f>L91</f>
        <v/>
      </c>
      <c r="K92" s="66">
        <f>MIN(J92+F92,H92)</f>
        <v/>
      </c>
      <c r="L92" s="87">
        <f>MAX(0,J92+F92-H92)</f>
        <v/>
      </c>
      <c r="M92" s="88">
        <f>D92+MAX(0,H92-(J92+F92))</f>
        <v/>
      </c>
      <c r="N92" s="66">
        <f>MAX(D92,H92)</f>
        <v/>
      </c>
      <c r="O92" s="66">
        <f>D92+H92</f>
        <v/>
      </c>
      <c r="P92" s="50">
        <f>IF(Inputs!$C$17="Yes",M92,IF(Inputs!$C$18="Stacked",O92,N92))</f>
        <v/>
      </c>
      <c r="Q92" s="89">
        <f>IF(B92&lt;=Inputs!$C$7,"paid","future")</f>
        <v/>
      </c>
      <c r="R92" s="90" t="n"/>
    </row>
    <row r="93">
      <c r="A93" s="79" t="n">
        <v>85</v>
      </c>
      <c r="B93" s="80">
        <f>IF(R93="",IF(DAY(B92)&lt;=20,(EOMONTH(B92,0)-IF(Inputs!$C$14="Yes",MAX(0,WEEKDAY(EOMONTH(B92,0),2)-5),0)),(DATE(YEAR(B92),MONTH(B92)+1,Inputs!$C$13)-IF(Inputs!$C$14="Yes",MAX(0,WEEKDAY(DATE(YEAR(B92),MONTH(B92)+1,Inputs!$C$13),2)-5),0))),R93)</f>
        <v/>
      </c>
      <c r="C93" s="64">
        <f>EOMONTH(B93,0)</f>
        <v/>
      </c>
      <c r="D93" s="81">
        <f>Inputs!$C$12</f>
        <v/>
      </c>
      <c r="E93" s="61">
        <f>IF(Inputs!$C$19="Recoverable",Inputs!$C$34*12/Inputs!$C$21,0)</f>
        <v/>
      </c>
      <c r="F93" s="61">
        <f>D93+E93</f>
        <v/>
      </c>
      <c r="G93" s="61">
        <f>G92+F93</f>
        <v/>
      </c>
      <c r="H93" s="81">
        <f>SUMIFS('Deal Log'!$G$8:$G$257,'Deal Log'!$A$8:$A$257,"&gt;"&amp;B92,'Deal Log'!$A$8:$A$257,"&lt;="&amp;B93,'Deal Log'!$I$8:$I$257,"Funded")</f>
        <v/>
      </c>
      <c r="I93" s="61">
        <f>I92+H93</f>
        <v/>
      </c>
      <c r="J93" s="61">
        <f>L92</f>
        <v/>
      </c>
      <c r="K93" s="61">
        <f>MIN(J93+F93,H93)</f>
        <v/>
      </c>
      <c r="L93" s="82">
        <f>MAX(0,J93+F93-H93)</f>
        <v/>
      </c>
      <c r="M93" s="61">
        <f>D93+MAX(0,H93-(J93+F93))</f>
        <v/>
      </c>
      <c r="N93" s="61">
        <f>MAX(D93,H93)</f>
        <v/>
      </c>
      <c r="O93" s="61">
        <f>D93+H93</f>
        <v/>
      </c>
      <c r="P93" s="50">
        <f>IF(Inputs!$C$17="Yes",M93,IF(Inputs!$C$18="Stacked",O93,N93))</f>
        <v/>
      </c>
      <c r="Q93" s="83">
        <f>IF(B93&lt;=Inputs!$C$7,"paid","future")</f>
        <v/>
      </c>
      <c r="R93" s="91" t="n"/>
    </row>
    <row r="94">
      <c r="A94" s="84" t="n">
        <v>86</v>
      </c>
      <c r="B94" s="85">
        <f>IF(R94="",IF(DAY(B93)&lt;=20,(EOMONTH(B93,0)-IF(Inputs!$C$14="Yes",MAX(0,WEEKDAY(EOMONTH(B93,0),2)-5),0)),(DATE(YEAR(B93),MONTH(B93)+1,Inputs!$C$13)-IF(Inputs!$C$14="Yes",MAX(0,WEEKDAY(DATE(YEAR(B93),MONTH(B93)+1,Inputs!$C$13),2)-5),0))),R94)</f>
        <v/>
      </c>
      <c r="C94" s="67">
        <f>EOMONTH(B94,0)</f>
        <v/>
      </c>
      <c r="D94" s="86">
        <f>Inputs!$C$12</f>
        <v/>
      </c>
      <c r="E94" s="66">
        <f>IF(Inputs!$C$19="Recoverable",Inputs!$C$34*12/Inputs!$C$21,0)</f>
        <v/>
      </c>
      <c r="F94" s="66">
        <f>D94+E94</f>
        <v/>
      </c>
      <c r="G94" s="66">
        <f>G93+F94</f>
        <v/>
      </c>
      <c r="H94" s="86">
        <f>SUMIFS('Deal Log'!$G$8:$G$257,'Deal Log'!$A$8:$A$257,"&gt;"&amp;B93,'Deal Log'!$A$8:$A$257,"&lt;="&amp;B94,'Deal Log'!$I$8:$I$257,"Funded")</f>
        <v/>
      </c>
      <c r="I94" s="66">
        <f>I93+H94</f>
        <v/>
      </c>
      <c r="J94" s="66">
        <f>L93</f>
        <v/>
      </c>
      <c r="K94" s="66">
        <f>MIN(J94+F94,H94)</f>
        <v/>
      </c>
      <c r="L94" s="87">
        <f>MAX(0,J94+F94-H94)</f>
        <v/>
      </c>
      <c r="M94" s="88">
        <f>D94+MAX(0,H94-(J94+F94))</f>
        <v/>
      </c>
      <c r="N94" s="66">
        <f>MAX(D94,H94)</f>
        <v/>
      </c>
      <c r="O94" s="66">
        <f>D94+H94</f>
        <v/>
      </c>
      <c r="P94" s="50">
        <f>IF(Inputs!$C$17="Yes",M94,IF(Inputs!$C$18="Stacked",O94,N94))</f>
        <v/>
      </c>
      <c r="Q94" s="89">
        <f>IF(B94&lt;=Inputs!$C$7,"paid","future")</f>
        <v/>
      </c>
      <c r="R94" s="90" t="n"/>
    </row>
    <row r="95">
      <c r="A95" s="79" t="n">
        <v>87</v>
      </c>
      <c r="B95" s="80">
        <f>IF(R95="",IF(DAY(B94)&lt;=20,(EOMONTH(B94,0)-IF(Inputs!$C$14="Yes",MAX(0,WEEKDAY(EOMONTH(B94,0),2)-5),0)),(DATE(YEAR(B94),MONTH(B94)+1,Inputs!$C$13)-IF(Inputs!$C$14="Yes",MAX(0,WEEKDAY(DATE(YEAR(B94),MONTH(B94)+1,Inputs!$C$13),2)-5),0))),R95)</f>
        <v/>
      </c>
      <c r="C95" s="64">
        <f>EOMONTH(B95,0)</f>
        <v/>
      </c>
      <c r="D95" s="81">
        <f>Inputs!$C$12</f>
        <v/>
      </c>
      <c r="E95" s="61">
        <f>IF(Inputs!$C$19="Recoverable",Inputs!$C$34*12/Inputs!$C$21,0)</f>
        <v/>
      </c>
      <c r="F95" s="61">
        <f>D95+E95</f>
        <v/>
      </c>
      <c r="G95" s="61">
        <f>G94+F95</f>
        <v/>
      </c>
      <c r="H95" s="81">
        <f>SUMIFS('Deal Log'!$G$8:$G$257,'Deal Log'!$A$8:$A$257,"&gt;"&amp;B94,'Deal Log'!$A$8:$A$257,"&lt;="&amp;B95,'Deal Log'!$I$8:$I$257,"Funded")</f>
        <v/>
      </c>
      <c r="I95" s="61">
        <f>I94+H95</f>
        <v/>
      </c>
      <c r="J95" s="61">
        <f>L94</f>
        <v/>
      </c>
      <c r="K95" s="61">
        <f>MIN(J95+F95,H95)</f>
        <v/>
      </c>
      <c r="L95" s="82">
        <f>MAX(0,J95+F95-H95)</f>
        <v/>
      </c>
      <c r="M95" s="61">
        <f>D95+MAX(0,H95-(J95+F95))</f>
        <v/>
      </c>
      <c r="N95" s="61">
        <f>MAX(D95,H95)</f>
        <v/>
      </c>
      <c r="O95" s="61">
        <f>D95+H95</f>
        <v/>
      </c>
      <c r="P95" s="50">
        <f>IF(Inputs!$C$17="Yes",M95,IF(Inputs!$C$18="Stacked",O95,N95))</f>
        <v/>
      </c>
      <c r="Q95" s="83">
        <f>IF(B95&lt;=Inputs!$C$7,"paid","future")</f>
        <v/>
      </c>
      <c r="R95" s="91" t="n"/>
    </row>
    <row r="96">
      <c r="A96" s="84" t="n">
        <v>88</v>
      </c>
      <c r="B96" s="85">
        <f>IF(R96="",IF(DAY(B95)&lt;=20,(EOMONTH(B95,0)-IF(Inputs!$C$14="Yes",MAX(0,WEEKDAY(EOMONTH(B95,0),2)-5),0)),(DATE(YEAR(B95),MONTH(B95)+1,Inputs!$C$13)-IF(Inputs!$C$14="Yes",MAX(0,WEEKDAY(DATE(YEAR(B95),MONTH(B95)+1,Inputs!$C$13),2)-5),0))),R96)</f>
        <v/>
      </c>
      <c r="C96" s="67">
        <f>EOMONTH(B96,0)</f>
        <v/>
      </c>
      <c r="D96" s="86">
        <f>Inputs!$C$12</f>
        <v/>
      </c>
      <c r="E96" s="66">
        <f>IF(Inputs!$C$19="Recoverable",Inputs!$C$34*12/Inputs!$C$21,0)</f>
        <v/>
      </c>
      <c r="F96" s="66">
        <f>D96+E96</f>
        <v/>
      </c>
      <c r="G96" s="66">
        <f>G95+F96</f>
        <v/>
      </c>
      <c r="H96" s="86">
        <f>SUMIFS('Deal Log'!$G$8:$G$257,'Deal Log'!$A$8:$A$257,"&gt;"&amp;B95,'Deal Log'!$A$8:$A$257,"&lt;="&amp;B96,'Deal Log'!$I$8:$I$257,"Funded")</f>
        <v/>
      </c>
      <c r="I96" s="66">
        <f>I95+H96</f>
        <v/>
      </c>
      <c r="J96" s="66">
        <f>L95</f>
        <v/>
      </c>
      <c r="K96" s="66">
        <f>MIN(J96+F96,H96)</f>
        <v/>
      </c>
      <c r="L96" s="87">
        <f>MAX(0,J96+F96-H96)</f>
        <v/>
      </c>
      <c r="M96" s="88">
        <f>D96+MAX(0,H96-(J96+F96))</f>
        <v/>
      </c>
      <c r="N96" s="66">
        <f>MAX(D96,H96)</f>
        <v/>
      </c>
      <c r="O96" s="66">
        <f>D96+H96</f>
        <v/>
      </c>
      <c r="P96" s="50">
        <f>IF(Inputs!$C$17="Yes",M96,IF(Inputs!$C$18="Stacked",O96,N96))</f>
        <v/>
      </c>
      <c r="Q96" s="89">
        <f>IF(B96&lt;=Inputs!$C$7,"paid","future")</f>
        <v/>
      </c>
      <c r="R96" s="90" t="n"/>
    </row>
    <row r="97">
      <c r="A97" s="79" t="n">
        <v>89</v>
      </c>
      <c r="B97" s="80">
        <f>IF(R97="",IF(DAY(B96)&lt;=20,(EOMONTH(B96,0)-IF(Inputs!$C$14="Yes",MAX(0,WEEKDAY(EOMONTH(B96,0),2)-5),0)),(DATE(YEAR(B96),MONTH(B96)+1,Inputs!$C$13)-IF(Inputs!$C$14="Yes",MAX(0,WEEKDAY(DATE(YEAR(B96),MONTH(B96)+1,Inputs!$C$13),2)-5),0))),R97)</f>
        <v/>
      </c>
      <c r="C97" s="64">
        <f>EOMONTH(B97,0)</f>
        <v/>
      </c>
      <c r="D97" s="81">
        <f>Inputs!$C$12</f>
        <v/>
      </c>
      <c r="E97" s="61">
        <f>IF(Inputs!$C$19="Recoverable",Inputs!$C$34*12/Inputs!$C$21,0)</f>
        <v/>
      </c>
      <c r="F97" s="61">
        <f>D97+E97</f>
        <v/>
      </c>
      <c r="G97" s="61">
        <f>G96+F97</f>
        <v/>
      </c>
      <c r="H97" s="81">
        <f>SUMIFS('Deal Log'!$G$8:$G$257,'Deal Log'!$A$8:$A$257,"&gt;"&amp;B96,'Deal Log'!$A$8:$A$257,"&lt;="&amp;B97,'Deal Log'!$I$8:$I$257,"Funded")</f>
        <v/>
      </c>
      <c r="I97" s="61">
        <f>I96+H97</f>
        <v/>
      </c>
      <c r="J97" s="61">
        <f>L96</f>
        <v/>
      </c>
      <c r="K97" s="61">
        <f>MIN(J97+F97,H97)</f>
        <v/>
      </c>
      <c r="L97" s="82">
        <f>MAX(0,J97+F97-H97)</f>
        <v/>
      </c>
      <c r="M97" s="61">
        <f>D97+MAX(0,H97-(J97+F97))</f>
        <v/>
      </c>
      <c r="N97" s="61">
        <f>MAX(D97,H97)</f>
        <v/>
      </c>
      <c r="O97" s="61">
        <f>D97+H97</f>
        <v/>
      </c>
      <c r="P97" s="50">
        <f>IF(Inputs!$C$17="Yes",M97,IF(Inputs!$C$18="Stacked",O97,N97))</f>
        <v/>
      </c>
      <c r="Q97" s="83">
        <f>IF(B97&lt;=Inputs!$C$7,"paid","future")</f>
        <v/>
      </c>
      <c r="R97" s="91" t="n"/>
    </row>
    <row r="98">
      <c r="A98" s="84" t="n">
        <v>90</v>
      </c>
      <c r="B98" s="85">
        <f>IF(R98="",IF(DAY(B97)&lt;=20,(EOMONTH(B97,0)-IF(Inputs!$C$14="Yes",MAX(0,WEEKDAY(EOMONTH(B97,0),2)-5),0)),(DATE(YEAR(B97),MONTH(B97)+1,Inputs!$C$13)-IF(Inputs!$C$14="Yes",MAX(0,WEEKDAY(DATE(YEAR(B97),MONTH(B97)+1,Inputs!$C$13),2)-5),0))),R98)</f>
        <v/>
      </c>
      <c r="C98" s="67">
        <f>EOMONTH(B98,0)</f>
        <v/>
      </c>
      <c r="D98" s="86">
        <f>Inputs!$C$12</f>
        <v/>
      </c>
      <c r="E98" s="66">
        <f>IF(Inputs!$C$19="Recoverable",Inputs!$C$34*12/Inputs!$C$21,0)</f>
        <v/>
      </c>
      <c r="F98" s="66">
        <f>D98+E98</f>
        <v/>
      </c>
      <c r="G98" s="66">
        <f>G97+F98</f>
        <v/>
      </c>
      <c r="H98" s="86">
        <f>SUMIFS('Deal Log'!$G$8:$G$257,'Deal Log'!$A$8:$A$257,"&gt;"&amp;B97,'Deal Log'!$A$8:$A$257,"&lt;="&amp;B98,'Deal Log'!$I$8:$I$257,"Funded")</f>
        <v/>
      </c>
      <c r="I98" s="66">
        <f>I97+H98</f>
        <v/>
      </c>
      <c r="J98" s="66">
        <f>L97</f>
        <v/>
      </c>
      <c r="K98" s="66">
        <f>MIN(J98+F98,H98)</f>
        <v/>
      </c>
      <c r="L98" s="87">
        <f>MAX(0,J98+F98-H98)</f>
        <v/>
      </c>
      <c r="M98" s="88">
        <f>D98+MAX(0,H98-(J98+F98))</f>
        <v/>
      </c>
      <c r="N98" s="66">
        <f>MAX(D98,H98)</f>
        <v/>
      </c>
      <c r="O98" s="66">
        <f>D98+H98</f>
        <v/>
      </c>
      <c r="P98" s="50">
        <f>IF(Inputs!$C$17="Yes",M98,IF(Inputs!$C$18="Stacked",O98,N98))</f>
        <v/>
      </c>
      <c r="Q98" s="89">
        <f>IF(B98&lt;=Inputs!$C$7,"paid","future")</f>
        <v/>
      </c>
      <c r="R98" s="90" t="n"/>
    </row>
    <row r="99">
      <c r="A99" s="79" t="n">
        <v>91</v>
      </c>
      <c r="B99" s="80">
        <f>IF(R99="",IF(DAY(B98)&lt;=20,(EOMONTH(B98,0)-IF(Inputs!$C$14="Yes",MAX(0,WEEKDAY(EOMONTH(B98,0),2)-5),0)),(DATE(YEAR(B98),MONTH(B98)+1,Inputs!$C$13)-IF(Inputs!$C$14="Yes",MAX(0,WEEKDAY(DATE(YEAR(B98),MONTH(B98)+1,Inputs!$C$13),2)-5),0))),R99)</f>
        <v/>
      </c>
      <c r="C99" s="64">
        <f>EOMONTH(B99,0)</f>
        <v/>
      </c>
      <c r="D99" s="81">
        <f>Inputs!$C$12</f>
        <v/>
      </c>
      <c r="E99" s="61">
        <f>IF(Inputs!$C$19="Recoverable",Inputs!$C$34*12/Inputs!$C$21,0)</f>
        <v/>
      </c>
      <c r="F99" s="61">
        <f>D99+E99</f>
        <v/>
      </c>
      <c r="G99" s="61">
        <f>G98+F99</f>
        <v/>
      </c>
      <c r="H99" s="81">
        <f>SUMIFS('Deal Log'!$G$8:$G$257,'Deal Log'!$A$8:$A$257,"&gt;"&amp;B98,'Deal Log'!$A$8:$A$257,"&lt;="&amp;B99,'Deal Log'!$I$8:$I$257,"Funded")</f>
        <v/>
      </c>
      <c r="I99" s="61">
        <f>I98+H99</f>
        <v/>
      </c>
      <c r="J99" s="61">
        <f>L98</f>
        <v/>
      </c>
      <c r="K99" s="61">
        <f>MIN(J99+F99,H99)</f>
        <v/>
      </c>
      <c r="L99" s="82">
        <f>MAX(0,J99+F99-H99)</f>
        <v/>
      </c>
      <c r="M99" s="61">
        <f>D99+MAX(0,H99-(J99+F99))</f>
        <v/>
      </c>
      <c r="N99" s="61">
        <f>MAX(D99,H99)</f>
        <v/>
      </c>
      <c r="O99" s="61">
        <f>D99+H99</f>
        <v/>
      </c>
      <c r="P99" s="50">
        <f>IF(Inputs!$C$17="Yes",M99,IF(Inputs!$C$18="Stacked",O99,N99))</f>
        <v/>
      </c>
      <c r="Q99" s="83">
        <f>IF(B99&lt;=Inputs!$C$7,"paid","future")</f>
        <v/>
      </c>
      <c r="R99" s="91" t="n"/>
    </row>
    <row r="100">
      <c r="A100" s="84" t="n">
        <v>92</v>
      </c>
      <c r="B100" s="85">
        <f>IF(R100="",IF(DAY(B99)&lt;=20,(EOMONTH(B99,0)-IF(Inputs!$C$14="Yes",MAX(0,WEEKDAY(EOMONTH(B99,0),2)-5),0)),(DATE(YEAR(B99),MONTH(B99)+1,Inputs!$C$13)-IF(Inputs!$C$14="Yes",MAX(0,WEEKDAY(DATE(YEAR(B99),MONTH(B99)+1,Inputs!$C$13),2)-5),0))),R100)</f>
        <v/>
      </c>
      <c r="C100" s="67">
        <f>EOMONTH(B100,0)</f>
        <v/>
      </c>
      <c r="D100" s="86">
        <f>Inputs!$C$12</f>
        <v/>
      </c>
      <c r="E100" s="66">
        <f>IF(Inputs!$C$19="Recoverable",Inputs!$C$34*12/Inputs!$C$21,0)</f>
        <v/>
      </c>
      <c r="F100" s="66">
        <f>D100+E100</f>
        <v/>
      </c>
      <c r="G100" s="66">
        <f>G99+F100</f>
        <v/>
      </c>
      <c r="H100" s="86">
        <f>SUMIFS('Deal Log'!$G$8:$G$257,'Deal Log'!$A$8:$A$257,"&gt;"&amp;B99,'Deal Log'!$A$8:$A$257,"&lt;="&amp;B100,'Deal Log'!$I$8:$I$257,"Funded")</f>
        <v/>
      </c>
      <c r="I100" s="66">
        <f>I99+H100</f>
        <v/>
      </c>
      <c r="J100" s="66">
        <f>L99</f>
        <v/>
      </c>
      <c r="K100" s="66">
        <f>MIN(J100+F100,H100)</f>
        <v/>
      </c>
      <c r="L100" s="87">
        <f>MAX(0,J100+F100-H100)</f>
        <v/>
      </c>
      <c r="M100" s="88">
        <f>D100+MAX(0,H100-(J100+F100))</f>
        <v/>
      </c>
      <c r="N100" s="66">
        <f>MAX(D100,H100)</f>
        <v/>
      </c>
      <c r="O100" s="66">
        <f>D100+H100</f>
        <v/>
      </c>
      <c r="P100" s="50">
        <f>IF(Inputs!$C$17="Yes",M100,IF(Inputs!$C$18="Stacked",O100,N100))</f>
        <v/>
      </c>
      <c r="Q100" s="89">
        <f>IF(B100&lt;=Inputs!$C$7,"paid","future")</f>
        <v/>
      </c>
      <c r="R100" s="90" t="n"/>
    </row>
    <row r="101">
      <c r="A101" s="79" t="n">
        <v>93</v>
      </c>
      <c r="B101" s="80">
        <f>IF(R101="",IF(DAY(B100)&lt;=20,(EOMONTH(B100,0)-IF(Inputs!$C$14="Yes",MAX(0,WEEKDAY(EOMONTH(B100,0),2)-5),0)),(DATE(YEAR(B100),MONTH(B100)+1,Inputs!$C$13)-IF(Inputs!$C$14="Yes",MAX(0,WEEKDAY(DATE(YEAR(B100),MONTH(B100)+1,Inputs!$C$13),2)-5),0))),R101)</f>
        <v/>
      </c>
      <c r="C101" s="64">
        <f>EOMONTH(B101,0)</f>
        <v/>
      </c>
      <c r="D101" s="81">
        <f>Inputs!$C$12</f>
        <v/>
      </c>
      <c r="E101" s="61">
        <f>IF(Inputs!$C$19="Recoverable",Inputs!$C$34*12/Inputs!$C$21,0)</f>
        <v/>
      </c>
      <c r="F101" s="61">
        <f>D101+E101</f>
        <v/>
      </c>
      <c r="G101" s="61">
        <f>G100+F101</f>
        <v/>
      </c>
      <c r="H101" s="81">
        <f>SUMIFS('Deal Log'!$G$8:$G$257,'Deal Log'!$A$8:$A$257,"&gt;"&amp;B100,'Deal Log'!$A$8:$A$257,"&lt;="&amp;B101,'Deal Log'!$I$8:$I$257,"Funded")</f>
        <v/>
      </c>
      <c r="I101" s="61">
        <f>I100+H101</f>
        <v/>
      </c>
      <c r="J101" s="61">
        <f>L100</f>
        <v/>
      </c>
      <c r="K101" s="61">
        <f>MIN(J101+F101,H101)</f>
        <v/>
      </c>
      <c r="L101" s="82">
        <f>MAX(0,J101+F101-H101)</f>
        <v/>
      </c>
      <c r="M101" s="61">
        <f>D101+MAX(0,H101-(J101+F101))</f>
        <v/>
      </c>
      <c r="N101" s="61">
        <f>MAX(D101,H101)</f>
        <v/>
      </c>
      <c r="O101" s="61">
        <f>D101+H101</f>
        <v/>
      </c>
      <c r="P101" s="50">
        <f>IF(Inputs!$C$17="Yes",M101,IF(Inputs!$C$18="Stacked",O101,N101))</f>
        <v/>
      </c>
      <c r="Q101" s="83">
        <f>IF(B101&lt;=Inputs!$C$7,"paid","future")</f>
        <v/>
      </c>
      <c r="R101" s="91" t="n"/>
    </row>
    <row r="102">
      <c r="A102" s="84" t="n">
        <v>94</v>
      </c>
      <c r="B102" s="85">
        <f>IF(R102="",IF(DAY(B101)&lt;=20,(EOMONTH(B101,0)-IF(Inputs!$C$14="Yes",MAX(0,WEEKDAY(EOMONTH(B101,0),2)-5),0)),(DATE(YEAR(B101),MONTH(B101)+1,Inputs!$C$13)-IF(Inputs!$C$14="Yes",MAX(0,WEEKDAY(DATE(YEAR(B101),MONTH(B101)+1,Inputs!$C$13),2)-5),0))),R102)</f>
        <v/>
      </c>
      <c r="C102" s="67">
        <f>EOMONTH(B102,0)</f>
        <v/>
      </c>
      <c r="D102" s="86">
        <f>Inputs!$C$12</f>
        <v/>
      </c>
      <c r="E102" s="66">
        <f>IF(Inputs!$C$19="Recoverable",Inputs!$C$34*12/Inputs!$C$21,0)</f>
        <v/>
      </c>
      <c r="F102" s="66">
        <f>D102+E102</f>
        <v/>
      </c>
      <c r="G102" s="66">
        <f>G101+F102</f>
        <v/>
      </c>
      <c r="H102" s="86">
        <f>SUMIFS('Deal Log'!$G$8:$G$257,'Deal Log'!$A$8:$A$257,"&gt;"&amp;B101,'Deal Log'!$A$8:$A$257,"&lt;="&amp;B102,'Deal Log'!$I$8:$I$257,"Funded")</f>
        <v/>
      </c>
      <c r="I102" s="66">
        <f>I101+H102</f>
        <v/>
      </c>
      <c r="J102" s="66">
        <f>L101</f>
        <v/>
      </c>
      <c r="K102" s="66">
        <f>MIN(J102+F102,H102)</f>
        <v/>
      </c>
      <c r="L102" s="87">
        <f>MAX(0,J102+F102-H102)</f>
        <v/>
      </c>
      <c r="M102" s="88">
        <f>D102+MAX(0,H102-(J102+F102))</f>
        <v/>
      </c>
      <c r="N102" s="66">
        <f>MAX(D102,H102)</f>
        <v/>
      </c>
      <c r="O102" s="66">
        <f>D102+H102</f>
        <v/>
      </c>
      <c r="P102" s="50">
        <f>IF(Inputs!$C$17="Yes",M102,IF(Inputs!$C$18="Stacked",O102,N102))</f>
        <v/>
      </c>
      <c r="Q102" s="89">
        <f>IF(B102&lt;=Inputs!$C$7,"paid","future")</f>
        <v/>
      </c>
      <c r="R102" s="90" t="n"/>
    </row>
    <row r="103">
      <c r="A103" s="79" t="n">
        <v>95</v>
      </c>
      <c r="B103" s="80">
        <f>IF(R103="",IF(DAY(B102)&lt;=20,(EOMONTH(B102,0)-IF(Inputs!$C$14="Yes",MAX(0,WEEKDAY(EOMONTH(B102,0),2)-5),0)),(DATE(YEAR(B102),MONTH(B102)+1,Inputs!$C$13)-IF(Inputs!$C$14="Yes",MAX(0,WEEKDAY(DATE(YEAR(B102),MONTH(B102)+1,Inputs!$C$13),2)-5),0))),R103)</f>
        <v/>
      </c>
      <c r="C103" s="64">
        <f>EOMONTH(B103,0)</f>
        <v/>
      </c>
      <c r="D103" s="81">
        <f>Inputs!$C$12</f>
        <v/>
      </c>
      <c r="E103" s="61">
        <f>IF(Inputs!$C$19="Recoverable",Inputs!$C$34*12/Inputs!$C$21,0)</f>
        <v/>
      </c>
      <c r="F103" s="61">
        <f>D103+E103</f>
        <v/>
      </c>
      <c r="G103" s="61">
        <f>G102+F103</f>
        <v/>
      </c>
      <c r="H103" s="81">
        <f>SUMIFS('Deal Log'!$G$8:$G$257,'Deal Log'!$A$8:$A$257,"&gt;"&amp;B102,'Deal Log'!$A$8:$A$257,"&lt;="&amp;B103,'Deal Log'!$I$8:$I$257,"Funded")</f>
        <v/>
      </c>
      <c r="I103" s="61">
        <f>I102+H103</f>
        <v/>
      </c>
      <c r="J103" s="61">
        <f>L102</f>
        <v/>
      </c>
      <c r="K103" s="61">
        <f>MIN(J103+F103,H103)</f>
        <v/>
      </c>
      <c r="L103" s="82">
        <f>MAX(0,J103+F103-H103)</f>
        <v/>
      </c>
      <c r="M103" s="61">
        <f>D103+MAX(0,H103-(J103+F103))</f>
        <v/>
      </c>
      <c r="N103" s="61">
        <f>MAX(D103,H103)</f>
        <v/>
      </c>
      <c r="O103" s="61">
        <f>D103+H103</f>
        <v/>
      </c>
      <c r="P103" s="50">
        <f>IF(Inputs!$C$17="Yes",M103,IF(Inputs!$C$18="Stacked",O103,N103))</f>
        <v/>
      </c>
      <c r="Q103" s="83">
        <f>IF(B103&lt;=Inputs!$C$7,"paid","future")</f>
        <v/>
      </c>
      <c r="R103" s="91" t="n"/>
    </row>
    <row r="104">
      <c r="A104" s="84" t="n">
        <v>96</v>
      </c>
      <c r="B104" s="85">
        <f>IF(R104="",IF(DAY(B103)&lt;=20,(EOMONTH(B103,0)-IF(Inputs!$C$14="Yes",MAX(0,WEEKDAY(EOMONTH(B103,0),2)-5),0)),(DATE(YEAR(B103),MONTH(B103)+1,Inputs!$C$13)-IF(Inputs!$C$14="Yes",MAX(0,WEEKDAY(DATE(YEAR(B103),MONTH(B103)+1,Inputs!$C$13),2)-5),0))),R104)</f>
        <v/>
      </c>
      <c r="C104" s="67">
        <f>EOMONTH(B104,0)</f>
        <v/>
      </c>
      <c r="D104" s="86">
        <f>Inputs!$C$12</f>
        <v/>
      </c>
      <c r="E104" s="66">
        <f>IF(Inputs!$C$19="Recoverable",Inputs!$C$34*12/Inputs!$C$21,0)</f>
        <v/>
      </c>
      <c r="F104" s="66">
        <f>D104+E104</f>
        <v/>
      </c>
      <c r="G104" s="66">
        <f>G103+F104</f>
        <v/>
      </c>
      <c r="H104" s="86">
        <f>SUMIFS('Deal Log'!$G$8:$G$257,'Deal Log'!$A$8:$A$257,"&gt;"&amp;B103,'Deal Log'!$A$8:$A$257,"&lt;="&amp;B104,'Deal Log'!$I$8:$I$257,"Funded")</f>
        <v/>
      </c>
      <c r="I104" s="66">
        <f>I103+H104</f>
        <v/>
      </c>
      <c r="J104" s="66">
        <f>L103</f>
        <v/>
      </c>
      <c r="K104" s="66">
        <f>MIN(J104+F104,H104)</f>
        <v/>
      </c>
      <c r="L104" s="87">
        <f>MAX(0,J104+F104-H104)</f>
        <v/>
      </c>
      <c r="M104" s="88">
        <f>D104+MAX(0,H104-(J104+F104))</f>
        <v/>
      </c>
      <c r="N104" s="66">
        <f>MAX(D104,H104)</f>
        <v/>
      </c>
      <c r="O104" s="66">
        <f>D104+H104</f>
        <v/>
      </c>
      <c r="P104" s="50">
        <f>IF(Inputs!$C$17="Yes",M104,IF(Inputs!$C$18="Stacked",O104,N104))</f>
        <v/>
      </c>
      <c r="Q104" s="89">
        <f>IF(B104&lt;=Inputs!$C$7,"paid","future")</f>
        <v/>
      </c>
      <c r="R104" s="90" t="n"/>
    </row>
    <row r="105">
      <c r="A105" s="79" t="n">
        <v>97</v>
      </c>
      <c r="B105" s="80">
        <f>IF(R105="",IF(DAY(B104)&lt;=20,(EOMONTH(B104,0)-IF(Inputs!$C$14="Yes",MAX(0,WEEKDAY(EOMONTH(B104,0),2)-5),0)),(DATE(YEAR(B104),MONTH(B104)+1,Inputs!$C$13)-IF(Inputs!$C$14="Yes",MAX(0,WEEKDAY(DATE(YEAR(B104),MONTH(B104)+1,Inputs!$C$13),2)-5),0))),R105)</f>
        <v/>
      </c>
      <c r="C105" s="64">
        <f>EOMONTH(B105,0)</f>
        <v/>
      </c>
      <c r="D105" s="81">
        <f>Inputs!$C$12</f>
        <v/>
      </c>
      <c r="E105" s="61">
        <f>IF(Inputs!$C$19="Recoverable",Inputs!$C$34*12/Inputs!$C$21,0)</f>
        <v/>
      </c>
      <c r="F105" s="61">
        <f>D105+E105</f>
        <v/>
      </c>
      <c r="G105" s="61">
        <f>G104+F105</f>
        <v/>
      </c>
      <c r="H105" s="81">
        <f>SUMIFS('Deal Log'!$G$8:$G$257,'Deal Log'!$A$8:$A$257,"&gt;"&amp;B104,'Deal Log'!$A$8:$A$257,"&lt;="&amp;B105,'Deal Log'!$I$8:$I$257,"Funded")</f>
        <v/>
      </c>
      <c r="I105" s="61">
        <f>I104+H105</f>
        <v/>
      </c>
      <c r="J105" s="61">
        <f>L104</f>
        <v/>
      </c>
      <c r="K105" s="61">
        <f>MIN(J105+F105,H105)</f>
        <v/>
      </c>
      <c r="L105" s="82">
        <f>MAX(0,J105+F105-H105)</f>
        <v/>
      </c>
      <c r="M105" s="61">
        <f>D105+MAX(0,H105-(J105+F105))</f>
        <v/>
      </c>
      <c r="N105" s="61">
        <f>MAX(D105,H105)</f>
        <v/>
      </c>
      <c r="O105" s="61">
        <f>D105+H105</f>
        <v/>
      </c>
      <c r="P105" s="50">
        <f>IF(Inputs!$C$17="Yes",M105,IF(Inputs!$C$18="Stacked",O105,N105))</f>
        <v/>
      </c>
      <c r="Q105" s="83">
        <f>IF(B105&lt;=Inputs!$C$7,"paid","future")</f>
        <v/>
      </c>
      <c r="R105" s="91" t="n"/>
    </row>
    <row r="106">
      <c r="A106" s="84" t="n">
        <v>98</v>
      </c>
      <c r="B106" s="85">
        <f>IF(R106="",IF(DAY(B105)&lt;=20,(EOMONTH(B105,0)-IF(Inputs!$C$14="Yes",MAX(0,WEEKDAY(EOMONTH(B105,0),2)-5),0)),(DATE(YEAR(B105),MONTH(B105)+1,Inputs!$C$13)-IF(Inputs!$C$14="Yes",MAX(0,WEEKDAY(DATE(YEAR(B105),MONTH(B105)+1,Inputs!$C$13),2)-5),0))),R106)</f>
        <v/>
      </c>
      <c r="C106" s="67">
        <f>EOMONTH(B106,0)</f>
        <v/>
      </c>
      <c r="D106" s="86">
        <f>Inputs!$C$12</f>
        <v/>
      </c>
      <c r="E106" s="66">
        <f>IF(Inputs!$C$19="Recoverable",Inputs!$C$34*12/Inputs!$C$21,0)</f>
        <v/>
      </c>
      <c r="F106" s="66">
        <f>D106+E106</f>
        <v/>
      </c>
      <c r="G106" s="66">
        <f>G105+F106</f>
        <v/>
      </c>
      <c r="H106" s="86">
        <f>SUMIFS('Deal Log'!$G$8:$G$257,'Deal Log'!$A$8:$A$257,"&gt;"&amp;B105,'Deal Log'!$A$8:$A$257,"&lt;="&amp;B106,'Deal Log'!$I$8:$I$257,"Funded")</f>
        <v/>
      </c>
      <c r="I106" s="66">
        <f>I105+H106</f>
        <v/>
      </c>
      <c r="J106" s="66">
        <f>L105</f>
        <v/>
      </c>
      <c r="K106" s="66">
        <f>MIN(J106+F106,H106)</f>
        <v/>
      </c>
      <c r="L106" s="87">
        <f>MAX(0,J106+F106-H106)</f>
        <v/>
      </c>
      <c r="M106" s="88">
        <f>D106+MAX(0,H106-(J106+F106))</f>
        <v/>
      </c>
      <c r="N106" s="66">
        <f>MAX(D106,H106)</f>
        <v/>
      </c>
      <c r="O106" s="66">
        <f>D106+H106</f>
        <v/>
      </c>
      <c r="P106" s="50">
        <f>IF(Inputs!$C$17="Yes",M106,IF(Inputs!$C$18="Stacked",O106,N106))</f>
        <v/>
      </c>
      <c r="Q106" s="89">
        <f>IF(B106&lt;=Inputs!$C$7,"paid","future")</f>
        <v/>
      </c>
      <c r="R106" s="90" t="n"/>
    </row>
    <row r="107">
      <c r="A107" s="79" t="n">
        <v>99</v>
      </c>
      <c r="B107" s="80">
        <f>IF(R107="",IF(DAY(B106)&lt;=20,(EOMONTH(B106,0)-IF(Inputs!$C$14="Yes",MAX(0,WEEKDAY(EOMONTH(B106,0),2)-5),0)),(DATE(YEAR(B106),MONTH(B106)+1,Inputs!$C$13)-IF(Inputs!$C$14="Yes",MAX(0,WEEKDAY(DATE(YEAR(B106),MONTH(B106)+1,Inputs!$C$13),2)-5),0))),R107)</f>
        <v/>
      </c>
      <c r="C107" s="64">
        <f>EOMONTH(B107,0)</f>
        <v/>
      </c>
      <c r="D107" s="81">
        <f>Inputs!$C$12</f>
        <v/>
      </c>
      <c r="E107" s="61">
        <f>IF(Inputs!$C$19="Recoverable",Inputs!$C$34*12/Inputs!$C$21,0)</f>
        <v/>
      </c>
      <c r="F107" s="61">
        <f>D107+E107</f>
        <v/>
      </c>
      <c r="G107" s="61">
        <f>G106+F107</f>
        <v/>
      </c>
      <c r="H107" s="81">
        <f>SUMIFS('Deal Log'!$G$8:$G$257,'Deal Log'!$A$8:$A$257,"&gt;"&amp;B106,'Deal Log'!$A$8:$A$257,"&lt;="&amp;B107,'Deal Log'!$I$8:$I$257,"Funded")</f>
        <v/>
      </c>
      <c r="I107" s="61">
        <f>I106+H107</f>
        <v/>
      </c>
      <c r="J107" s="61">
        <f>L106</f>
        <v/>
      </c>
      <c r="K107" s="61">
        <f>MIN(J107+F107,H107)</f>
        <v/>
      </c>
      <c r="L107" s="82">
        <f>MAX(0,J107+F107-H107)</f>
        <v/>
      </c>
      <c r="M107" s="61">
        <f>D107+MAX(0,H107-(J107+F107))</f>
        <v/>
      </c>
      <c r="N107" s="61">
        <f>MAX(D107,H107)</f>
        <v/>
      </c>
      <c r="O107" s="61">
        <f>D107+H107</f>
        <v/>
      </c>
      <c r="P107" s="50">
        <f>IF(Inputs!$C$17="Yes",M107,IF(Inputs!$C$18="Stacked",O107,N107))</f>
        <v/>
      </c>
      <c r="Q107" s="83">
        <f>IF(B107&lt;=Inputs!$C$7,"paid","future")</f>
        <v/>
      </c>
      <c r="R107" s="91" t="n"/>
    </row>
    <row r="108">
      <c r="A108" s="84" t="n">
        <v>100</v>
      </c>
      <c r="B108" s="85">
        <f>IF(R108="",IF(DAY(B107)&lt;=20,(EOMONTH(B107,0)-IF(Inputs!$C$14="Yes",MAX(0,WEEKDAY(EOMONTH(B107,0),2)-5),0)),(DATE(YEAR(B107),MONTH(B107)+1,Inputs!$C$13)-IF(Inputs!$C$14="Yes",MAX(0,WEEKDAY(DATE(YEAR(B107),MONTH(B107)+1,Inputs!$C$13),2)-5),0))),R108)</f>
        <v/>
      </c>
      <c r="C108" s="67">
        <f>EOMONTH(B108,0)</f>
        <v/>
      </c>
      <c r="D108" s="86">
        <f>Inputs!$C$12</f>
        <v/>
      </c>
      <c r="E108" s="66">
        <f>IF(Inputs!$C$19="Recoverable",Inputs!$C$34*12/Inputs!$C$21,0)</f>
        <v/>
      </c>
      <c r="F108" s="66">
        <f>D108+E108</f>
        <v/>
      </c>
      <c r="G108" s="66">
        <f>G107+F108</f>
        <v/>
      </c>
      <c r="H108" s="86">
        <f>SUMIFS('Deal Log'!$G$8:$G$257,'Deal Log'!$A$8:$A$257,"&gt;"&amp;B107,'Deal Log'!$A$8:$A$257,"&lt;="&amp;B108,'Deal Log'!$I$8:$I$257,"Funded")</f>
        <v/>
      </c>
      <c r="I108" s="66">
        <f>I107+H108</f>
        <v/>
      </c>
      <c r="J108" s="66">
        <f>L107</f>
        <v/>
      </c>
      <c r="K108" s="66">
        <f>MIN(J108+F108,H108)</f>
        <v/>
      </c>
      <c r="L108" s="87">
        <f>MAX(0,J108+F108-H108)</f>
        <v/>
      </c>
      <c r="M108" s="88">
        <f>D108+MAX(0,H108-(J108+F108))</f>
        <v/>
      </c>
      <c r="N108" s="66">
        <f>MAX(D108,H108)</f>
        <v/>
      </c>
      <c r="O108" s="66">
        <f>D108+H108</f>
        <v/>
      </c>
      <c r="P108" s="50">
        <f>IF(Inputs!$C$17="Yes",M108,IF(Inputs!$C$18="Stacked",O108,N108))</f>
        <v/>
      </c>
      <c r="Q108" s="89">
        <f>IF(B108&lt;=Inputs!$C$7,"paid","future")</f>
        <v/>
      </c>
      <c r="R108" s="90" t="n"/>
    </row>
    <row r="109">
      <c r="A109" s="79" t="n">
        <v>101</v>
      </c>
      <c r="B109" s="80">
        <f>IF(R109="",IF(DAY(B108)&lt;=20,(EOMONTH(B108,0)-IF(Inputs!$C$14="Yes",MAX(0,WEEKDAY(EOMONTH(B108,0),2)-5),0)),(DATE(YEAR(B108),MONTH(B108)+1,Inputs!$C$13)-IF(Inputs!$C$14="Yes",MAX(0,WEEKDAY(DATE(YEAR(B108),MONTH(B108)+1,Inputs!$C$13),2)-5),0))),R109)</f>
        <v/>
      </c>
      <c r="C109" s="64">
        <f>EOMONTH(B109,0)</f>
        <v/>
      </c>
      <c r="D109" s="81">
        <f>Inputs!$C$12</f>
        <v/>
      </c>
      <c r="E109" s="61">
        <f>IF(Inputs!$C$19="Recoverable",Inputs!$C$34*12/Inputs!$C$21,0)</f>
        <v/>
      </c>
      <c r="F109" s="61">
        <f>D109+E109</f>
        <v/>
      </c>
      <c r="G109" s="61">
        <f>G108+F109</f>
        <v/>
      </c>
      <c r="H109" s="81">
        <f>SUMIFS('Deal Log'!$G$8:$G$257,'Deal Log'!$A$8:$A$257,"&gt;"&amp;B108,'Deal Log'!$A$8:$A$257,"&lt;="&amp;B109,'Deal Log'!$I$8:$I$257,"Funded")</f>
        <v/>
      </c>
      <c r="I109" s="61">
        <f>I108+H109</f>
        <v/>
      </c>
      <c r="J109" s="61">
        <f>L108</f>
        <v/>
      </c>
      <c r="K109" s="61">
        <f>MIN(J109+F109,H109)</f>
        <v/>
      </c>
      <c r="L109" s="82">
        <f>MAX(0,J109+F109-H109)</f>
        <v/>
      </c>
      <c r="M109" s="61">
        <f>D109+MAX(0,H109-(J109+F109))</f>
        <v/>
      </c>
      <c r="N109" s="61">
        <f>MAX(D109,H109)</f>
        <v/>
      </c>
      <c r="O109" s="61">
        <f>D109+H109</f>
        <v/>
      </c>
      <c r="P109" s="50">
        <f>IF(Inputs!$C$17="Yes",M109,IF(Inputs!$C$18="Stacked",O109,N109))</f>
        <v/>
      </c>
      <c r="Q109" s="83">
        <f>IF(B109&lt;=Inputs!$C$7,"paid","future")</f>
        <v/>
      </c>
      <c r="R109" s="91" t="n"/>
    </row>
    <row r="110">
      <c r="A110" s="84" t="n">
        <v>102</v>
      </c>
      <c r="B110" s="85">
        <f>IF(R110="",IF(DAY(B109)&lt;=20,(EOMONTH(B109,0)-IF(Inputs!$C$14="Yes",MAX(0,WEEKDAY(EOMONTH(B109,0),2)-5),0)),(DATE(YEAR(B109),MONTH(B109)+1,Inputs!$C$13)-IF(Inputs!$C$14="Yes",MAX(0,WEEKDAY(DATE(YEAR(B109),MONTH(B109)+1,Inputs!$C$13),2)-5),0))),R110)</f>
        <v/>
      </c>
      <c r="C110" s="67">
        <f>EOMONTH(B110,0)</f>
        <v/>
      </c>
      <c r="D110" s="86">
        <f>Inputs!$C$12</f>
        <v/>
      </c>
      <c r="E110" s="66">
        <f>IF(Inputs!$C$19="Recoverable",Inputs!$C$34*12/Inputs!$C$21,0)</f>
        <v/>
      </c>
      <c r="F110" s="66">
        <f>D110+E110</f>
        <v/>
      </c>
      <c r="G110" s="66">
        <f>G109+F110</f>
        <v/>
      </c>
      <c r="H110" s="86">
        <f>SUMIFS('Deal Log'!$G$8:$G$257,'Deal Log'!$A$8:$A$257,"&gt;"&amp;B109,'Deal Log'!$A$8:$A$257,"&lt;="&amp;B110,'Deal Log'!$I$8:$I$257,"Funded")</f>
        <v/>
      </c>
      <c r="I110" s="66">
        <f>I109+H110</f>
        <v/>
      </c>
      <c r="J110" s="66">
        <f>L109</f>
        <v/>
      </c>
      <c r="K110" s="66">
        <f>MIN(J110+F110,H110)</f>
        <v/>
      </c>
      <c r="L110" s="87">
        <f>MAX(0,J110+F110-H110)</f>
        <v/>
      </c>
      <c r="M110" s="88">
        <f>D110+MAX(0,H110-(J110+F110))</f>
        <v/>
      </c>
      <c r="N110" s="66">
        <f>MAX(D110,H110)</f>
        <v/>
      </c>
      <c r="O110" s="66">
        <f>D110+H110</f>
        <v/>
      </c>
      <c r="P110" s="50">
        <f>IF(Inputs!$C$17="Yes",M110,IF(Inputs!$C$18="Stacked",O110,N110))</f>
        <v/>
      </c>
      <c r="Q110" s="89">
        <f>IF(B110&lt;=Inputs!$C$7,"paid","future")</f>
        <v/>
      </c>
      <c r="R110" s="90" t="n"/>
    </row>
    <row r="111">
      <c r="A111" s="79" t="n">
        <v>103</v>
      </c>
      <c r="B111" s="80">
        <f>IF(R111="",IF(DAY(B110)&lt;=20,(EOMONTH(B110,0)-IF(Inputs!$C$14="Yes",MAX(0,WEEKDAY(EOMONTH(B110,0),2)-5),0)),(DATE(YEAR(B110),MONTH(B110)+1,Inputs!$C$13)-IF(Inputs!$C$14="Yes",MAX(0,WEEKDAY(DATE(YEAR(B110),MONTH(B110)+1,Inputs!$C$13),2)-5),0))),R111)</f>
        <v/>
      </c>
      <c r="C111" s="64">
        <f>EOMONTH(B111,0)</f>
        <v/>
      </c>
      <c r="D111" s="81">
        <f>Inputs!$C$12</f>
        <v/>
      </c>
      <c r="E111" s="61">
        <f>IF(Inputs!$C$19="Recoverable",Inputs!$C$34*12/Inputs!$C$21,0)</f>
        <v/>
      </c>
      <c r="F111" s="61">
        <f>D111+E111</f>
        <v/>
      </c>
      <c r="G111" s="61">
        <f>G110+F111</f>
        <v/>
      </c>
      <c r="H111" s="81">
        <f>SUMIFS('Deal Log'!$G$8:$G$257,'Deal Log'!$A$8:$A$257,"&gt;"&amp;B110,'Deal Log'!$A$8:$A$257,"&lt;="&amp;B111,'Deal Log'!$I$8:$I$257,"Funded")</f>
        <v/>
      </c>
      <c r="I111" s="61">
        <f>I110+H111</f>
        <v/>
      </c>
      <c r="J111" s="61">
        <f>L110</f>
        <v/>
      </c>
      <c r="K111" s="61">
        <f>MIN(J111+F111,H111)</f>
        <v/>
      </c>
      <c r="L111" s="82">
        <f>MAX(0,J111+F111-H111)</f>
        <v/>
      </c>
      <c r="M111" s="61">
        <f>D111+MAX(0,H111-(J111+F111))</f>
        <v/>
      </c>
      <c r="N111" s="61">
        <f>MAX(D111,H111)</f>
        <v/>
      </c>
      <c r="O111" s="61">
        <f>D111+H111</f>
        <v/>
      </c>
      <c r="P111" s="50">
        <f>IF(Inputs!$C$17="Yes",M111,IF(Inputs!$C$18="Stacked",O111,N111))</f>
        <v/>
      </c>
      <c r="Q111" s="83">
        <f>IF(B111&lt;=Inputs!$C$7,"paid","future")</f>
        <v/>
      </c>
      <c r="R111" s="91" t="n"/>
    </row>
    <row r="112">
      <c r="A112" s="84" t="n">
        <v>104</v>
      </c>
      <c r="B112" s="85">
        <f>IF(R112="",IF(DAY(B111)&lt;=20,(EOMONTH(B111,0)-IF(Inputs!$C$14="Yes",MAX(0,WEEKDAY(EOMONTH(B111,0),2)-5),0)),(DATE(YEAR(B111),MONTH(B111)+1,Inputs!$C$13)-IF(Inputs!$C$14="Yes",MAX(0,WEEKDAY(DATE(YEAR(B111),MONTH(B111)+1,Inputs!$C$13),2)-5),0))),R112)</f>
        <v/>
      </c>
      <c r="C112" s="67">
        <f>EOMONTH(B112,0)</f>
        <v/>
      </c>
      <c r="D112" s="86">
        <f>Inputs!$C$12</f>
        <v/>
      </c>
      <c r="E112" s="66">
        <f>IF(Inputs!$C$19="Recoverable",Inputs!$C$34*12/Inputs!$C$21,0)</f>
        <v/>
      </c>
      <c r="F112" s="66">
        <f>D112+E112</f>
        <v/>
      </c>
      <c r="G112" s="66">
        <f>G111+F112</f>
        <v/>
      </c>
      <c r="H112" s="86">
        <f>SUMIFS('Deal Log'!$G$8:$G$257,'Deal Log'!$A$8:$A$257,"&gt;"&amp;B111,'Deal Log'!$A$8:$A$257,"&lt;="&amp;B112,'Deal Log'!$I$8:$I$257,"Funded")</f>
        <v/>
      </c>
      <c r="I112" s="66">
        <f>I111+H112</f>
        <v/>
      </c>
      <c r="J112" s="66">
        <f>L111</f>
        <v/>
      </c>
      <c r="K112" s="66">
        <f>MIN(J112+F112,H112)</f>
        <v/>
      </c>
      <c r="L112" s="87">
        <f>MAX(0,J112+F112-H112)</f>
        <v/>
      </c>
      <c r="M112" s="88">
        <f>D112+MAX(0,H112-(J112+F112))</f>
        <v/>
      </c>
      <c r="N112" s="66">
        <f>MAX(D112,H112)</f>
        <v/>
      </c>
      <c r="O112" s="66">
        <f>D112+H112</f>
        <v/>
      </c>
      <c r="P112" s="50">
        <f>IF(Inputs!$C$17="Yes",M112,IF(Inputs!$C$18="Stacked",O112,N112))</f>
        <v/>
      </c>
      <c r="Q112" s="89">
        <f>IF(B112&lt;=Inputs!$C$7,"paid","future")</f>
        <v/>
      </c>
      <c r="R112" s="90" t="n"/>
    </row>
    <row r="113">
      <c r="A113" s="79" t="n">
        <v>105</v>
      </c>
      <c r="B113" s="80">
        <f>IF(R113="",IF(DAY(B112)&lt;=20,(EOMONTH(B112,0)-IF(Inputs!$C$14="Yes",MAX(0,WEEKDAY(EOMONTH(B112,0),2)-5),0)),(DATE(YEAR(B112),MONTH(B112)+1,Inputs!$C$13)-IF(Inputs!$C$14="Yes",MAX(0,WEEKDAY(DATE(YEAR(B112),MONTH(B112)+1,Inputs!$C$13),2)-5),0))),R113)</f>
        <v/>
      </c>
      <c r="C113" s="64">
        <f>EOMONTH(B113,0)</f>
        <v/>
      </c>
      <c r="D113" s="81">
        <f>Inputs!$C$12</f>
        <v/>
      </c>
      <c r="E113" s="61">
        <f>IF(Inputs!$C$19="Recoverable",Inputs!$C$34*12/Inputs!$C$21,0)</f>
        <v/>
      </c>
      <c r="F113" s="61">
        <f>D113+E113</f>
        <v/>
      </c>
      <c r="G113" s="61">
        <f>G112+F113</f>
        <v/>
      </c>
      <c r="H113" s="81">
        <f>SUMIFS('Deal Log'!$G$8:$G$257,'Deal Log'!$A$8:$A$257,"&gt;"&amp;B112,'Deal Log'!$A$8:$A$257,"&lt;="&amp;B113,'Deal Log'!$I$8:$I$257,"Funded")</f>
        <v/>
      </c>
      <c r="I113" s="61">
        <f>I112+H113</f>
        <v/>
      </c>
      <c r="J113" s="61">
        <f>L112</f>
        <v/>
      </c>
      <c r="K113" s="61">
        <f>MIN(J113+F113,H113)</f>
        <v/>
      </c>
      <c r="L113" s="82">
        <f>MAX(0,J113+F113-H113)</f>
        <v/>
      </c>
      <c r="M113" s="61">
        <f>D113+MAX(0,H113-(J113+F113))</f>
        <v/>
      </c>
      <c r="N113" s="61">
        <f>MAX(D113,H113)</f>
        <v/>
      </c>
      <c r="O113" s="61">
        <f>D113+H113</f>
        <v/>
      </c>
      <c r="P113" s="50">
        <f>IF(Inputs!$C$17="Yes",M113,IF(Inputs!$C$18="Stacked",O113,N113))</f>
        <v/>
      </c>
      <c r="Q113" s="83">
        <f>IF(B113&lt;=Inputs!$C$7,"paid","future")</f>
        <v/>
      </c>
      <c r="R113" s="91" t="n"/>
    </row>
    <row r="114">
      <c r="A114" s="84" t="n">
        <v>106</v>
      </c>
      <c r="B114" s="85">
        <f>IF(R114="",IF(DAY(B113)&lt;=20,(EOMONTH(B113,0)-IF(Inputs!$C$14="Yes",MAX(0,WEEKDAY(EOMONTH(B113,0),2)-5),0)),(DATE(YEAR(B113),MONTH(B113)+1,Inputs!$C$13)-IF(Inputs!$C$14="Yes",MAX(0,WEEKDAY(DATE(YEAR(B113),MONTH(B113)+1,Inputs!$C$13),2)-5),0))),R114)</f>
        <v/>
      </c>
      <c r="C114" s="67">
        <f>EOMONTH(B114,0)</f>
        <v/>
      </c>
      <c r="D114" s="86">
        <f>Inputs!$C$12</f>
        <v/>
      </c>
      <c r="E114" s="66">
        <f>IF(Inputs!$C$19="Recoverable",Inputs!$C$34*12/Inputs!$C$21,0)</f>
        <v/>
      </c>
      <c r="F114" s="66">
        <f>D114+E114</f>
        <v/>
      </c>
      <c r="G114" s="66">
        <f>G113+F114</f>
        <v/>
      </c>
      <c r="H114" s="86">
        <f>SUMIFS('Deal Log'!$G$8:$G$257,'Deal Log'!$A$8:$A$257,"&gt;"&amp;B113,'Deal Log'!$A$8:$A$257,"&lt;="&amp;B114,'Deal Log'!$I$8:$I$257,"Funded")</f>
        <v/>
      </c>
      <c r="I114" s="66">
        <f>I113+H114</f>
        <v/>
      </c>
      <c r="J114" s="66">
        <f>L113</f>
        <v/>
      </c>
      <c r="K114" s="66">
        <f>MIN(J114+F114,H114)</f>
        <v/>
      </c>
      <c r="L114" s="87">
        <f>MAX(0,J114+F114-H114)</f>
        <v/>
      </c>
      <c r="M114" s="88">
        <f>D114+MAX(0,H114-(J114+F114))</f>
        <v/>
      </c>
      <c r="N114" s="66">
        <f>MAX(D114,H114)</f>
        <v/>
      </c>
      <c r="O114" s="66">
        <f>D114+H114</f>
        <v/>
      </c>
      <c r="P114" s="50">
        <f>IF(Inputs!$C$17="Yes",M114,IF(Inputs!$C$18="Stacked",O114,N114))</f>
        <v/>
      </c>
      <c r="Q114" s="89">
        <f>IF(B114&lt;=Inputs!$C$7,"paid","future")</f>
        <v/>
      </c>
      <c r="R114" s="90" t="n"/>
    </row>
    <row r="115">
      <c r="A115" s="79" t="n">
        <v>107</v>
      </c>
      <c r="B115" s="80">
        <f>IF(R115="",IF(DAY(B114)&lt;=20,(EOMONTH(B114,0)-IF(Inputs!$C$14="Yes",MAX(0,WEEKDAY(EOMONTH(B114,0),2)-5),0)),(DATE(YEAR(B114),MONTH(B114)+1,Inputs!$C$13)-IF(Inputs!$C$14="Yes",MAX(0,WEEKDAY(DATE(YEAR(B114),MONTH(B114)+1,Inputs!$C$13),2)-5),0))),R115)</f>
        <v/>
      </c>
      <c r="C115" s="64">
        <f>EOMONTH(B115,0)</f>
        <v/>
      </c>
      <c r="D115" s="81">
        <f>Inputs!$C$12</f>
        <v/>
      </c>
      <c r="E115" s="61">
        <f>IF(Inputs!$C$19="Recoverable",Inputs!$C$34*12/Inputs!$C$21,0)</f>
        <v/>
      </c>
      <c r="F115" s="61">
        <f>D115+E115</f>
        <v/>
      </c>
      <c r="G115" s="61">
        <f>G114+F115</f>
        <v/>
      </c>
      <c r="H115" s="81">
        <f>SUMIFS('Deal Log'!$G$8:$G$257,'Deal Log'!$A$8:$A$257,"&gt;"&amp;B114,'Deal Log'!$A$8:$A$257,"&lt;="&amp;B115,'Deal Log'!$I$8:$I$257,"Funded")</f>
        <v/>
      </c>
      <c r="I115" s="61">
        <f>I114+H115</f>
        <v/>
      </c>
      <c r="J115" s="61">
        <f>L114</f>
        <v/>
      </c>
      <c r="K115" s="61">
        <f>MIN(J115+F115,H115)</f>
        <v/>
      </c>
      <c r="L115" s="82">
        <f>MAX(0,J115+F115-H115)</f>
        <v/>
      </c>
      <c r="M115" s="61">
        <f>D115+MAX(0,H115-(J115+F115))</f>
        <v/>
      </c>
      <c r="N115" s="61">
        <f>MAX(D115,H115)</f>
        <v/>
      </c>
      <c r="O115" s="61">
        <f>D115+H115</f>
        <v/>
      </c>
      <c r="P115" s="50">
        <f>IF(Inputs!$C$17="Yes",M115,IF(Inputs!$C$18="Stacked",O115,N115))</f>
        <v/>
      </c>
      <c r="Q115" s="83">
        <f>IF(B115&lt;=Inputs!$C$7,"paid","future")</f>
        <v/>
      </c>
      <c r="R115" s="91" t="n"/>
    </row>
    <row r="116">
      <c r="A116" s="84" t="n">
        <v>108</v>
      </c>
      <c r="B116" s="85">
        <f>IF(R116="",IF(DAY(B115)&lt;=20,(EOMONTH(B115,0)-IF(Inputs!$C$14="Yes",MAX(0,WEEKDAY(EOMONTH(B115,0),2)-5),0)),(DATE(YEAR(B115),MONTH(B115)+1,Inputs!$C$13)-IF(Inputs!$C$14="Yes",MAX(0,WEEKDAY(DATE(YEAR(B115),MONTH(B115)+1,Inputs!$C$13),2)-5),0))),R116)</f>
        <v/>
      </c>
      <c r="C116" s="67">
        <f>EOMONTH(B116,0)</f>
        <v/>
      </c>
      <c r="D116" s="86">
        <f>Inputs!$C$12</f>
        <v/>
      </c>
      <c r="E116" s="66">
        <f>IF(Inputs!$C$19="Recoverable",Inputs!$C$34*12/Inputs!$C$21,0)</f>
        <v/>
      </c>
      <c r="F116" s="66">
        <f>D116+E116</f>
        <v/>
      </c>
      <c r="G116" s="66">
        <f>G115+F116</f>
        <v/>
      </c>
      <c r="H116" s="86">
        <f>SUMIFS('Deal Log'!$G$8:$G$257,'Deal Log'!$A$8:$A$257,"&gt;"&amp;B115,'Deal Log'!$A$8:$A$257,"&lt;="&amp;B116,'Deal Log'!$I$8:$I$257,"Funded")</f>
        <v/>
      </c>
      <c r="I116" s="66">
        <f>I115+H116</f>
        <v/>
      </c>
      <c r="J116" s="66">
        <f>L115</f>
        <v/>
      </c>
      <c r="K116" s="66">
        <f>MIN(J116+F116,H116)</f>
        <v/>
      </c>
      <c r="L116" s="87">
        <f>MAX(0,J116+F116-H116)</f>
        <v/>
      </c>
      <c r="M116" s="88">
        <f>D116+MAX(0,H116-(J116+F116))</f>
        <v/>
      </c>
      <c r="N116" s="66">
        <f>MAX(D116,H116)</f>
        <v/>
      </c>
      <c r="O116" s="66">
        <f>D116+H116</f>
        <v/>
      </c>
      <c r="P116" s="50">
        <f>IF(Inputs!$C$17="Yes",M116,IF(Inputs!$C$18="Stacked",O116,N116))</f>
        <v/>
      </c>
      <c r="Q116" s="89">
        <f>IF(B116&lt;=Inputs!$C$7,"paid","future")</f>
        <v/>
      </c>
      <c r="R116" s="90" t="n"/>
    </row>
    <row r="117">
      <c r="B117" s="92" t="inlineStr">
        <is>
          <t>3-YEAR TOTALS</t>
        </is>
      </c>
      <c r="D117" s="93">
        <f>SUM(D$9:D$116)</f>
        <v/>
      </c>
      <c r="E117" s="93">
        <f>SUM(E$9:E$116)</f>
        <v/>
      </c>
      <c r="F117" s="93">
        <f>SUM(F$9:F$116)</f>
        <v/>
      </c>
      <c r="H117" s="93">
        <f>SUM(H$9:H$116)</f>
        <v/>
      </c>
      <c r="M117" s="93">
        <f>SUM(M$9:M$116)</f>
        <v/>
      </c>
      <c r="N117" s="93">
        <f>SUM(N$9:N$116)</f>
        <v/>
      </c>
      <c r="O117" s="93">
        <f>SUM(O$9:O$116)</f>
        <v/>
      </c>
      <c r="P117" s="93">
        <f>SUM(P$9:P$116)</f>
        <v/>
      </c>
    </row>
    <row r="119">
      <c r="B119" s="46" t="inlineStr">
        <is>
          <t>Cost of the wrong comp structure over 3 years (Stacked minus Recoverable):</t>
        </is>
      </c>
      <c r="M119" s="94">
        <f>O117-M117</f>
        <v/>
      </c>
    </row>
  </sheetData>
  <mergeCells count="5">
    <mergeCell ref="A4:E4"/>
    <mergeCell ref="B119:L119"/>
    <mergeCell ref="A2:R2"/>
    <mergeCell ref="A5:E5"/>
    <mergeCell ref="A1:R1"/>
  </mergeCells>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tabColor rgb="00C00000"/>
    <outlinePr summaryBelow="1" summaryRight="1"/>
    <pageSetUpPr fitToPage="1"/>
  </sheetPr>
  <dimension ref="A1:H42"/>
  <sheetViews>
    <sheetView showGridLines="0" workbookViewId="0">
      <pane ySplit="5" topLeftCell="A6" activePane="bottomLeft" state="frozen"/>
      <selection pane="bottomLeft" activeCell="A1" sqref="A1"/>
    </sheetView>
  </sheetViews>
  <sheetFormatPr baseColWidth="8" defaultRowHeight="15"/>
  <cols>
    <col width="4" customWidth="1" min="1" max="1"/>
    <col width="40" customWidth="1" min="2" max="2"/>
    <col width="15" customWidth="1" min="3" max="3"/>
    <col width="15" customWidth="1" min="4" max="4"/>
    <col width="15" customWidth="1" min="5" max="5"/>
    <col width="15" customWidth="1" min="6" max="6"/>
    <col width="4" customWidth="1" min="7" max="7"/>
    <col width="46" customWidth="1" min="8" max="8"/>
  </cols>
  <sheetData>
    <row r="1" ht="26" customHeight="1">
      <c r="A1" s="1" t="inlineStr">
        <is>
          <t>BREAK-EVEN &amp; PROFIT  —  how much do you have to close to actually get paid?</t>
        </is>
      </c>
      <c r="B1" s="2" t="n"/>
      <c r="C1" s="2" t="n"/>
      <c r="D1" s="2" t="n"/>
      <c r="E1" s="2" t="n"/>
      <c r="F1" s="2" t="n"/>
      <c r="G1" s="2" t="n"/>
      <c r="H1" s="2" t="n"/>
    </row>
    <row r="2" ht="15" customHeight="1">
      <c r="A2" s="3" t="inlineStr">
        <is>
          <t>Four comp structures, side by side, on identical costs. Column C is the structure your Inputs toggles are set to.</t>
        </is>
      </c>
      <c r="B2" s="2" t="n"/>
      <c r="C2" s="2" t="n"/>
      <c r="D2" s="2" t="n"/>
      <c r="E2" s="2" t="n"/>
      <c r="F2" s="2" t="n"/>
      <c r="G2" s="2" t="n"/>
      <c r="H2" s="2" t="n"/>
    </row>
    <row r="5" ht="18" customHeight="1">
      <c r="A5" s="4" t="inlineStr">
        <is>
          <t>A.  THE COST STACK  (per month)</t>
        </is>
      </c>
      <c r="B5" s="5" t="n"/>
      <c r="C5" s="5" t="n"/>
      <c r="D5" s="5" t="n"/>
      <c r="E5" s="5" t="n"/>
      <c r="F5" s="5" t="n"/>
      <c r="G5" s="5" t="n"/>
      <c r="H5" s="5" t="n"/>
    </row>
    <row r="6" ht="30" customHeight="1">
      <c r="A6" s="55" t="inlineStr"/>
      <c r="B6" s="55" t="inlineStr">
        <is>
          <t>Component</t>
        </is>
      </c>
      <c r="C6" s="55" t="inlineStr">
        <is>
          <t>Amount</t>
        </is>
      </c>
      <c r="D6" s="55" t="inlineStr"/>
      <c r="E6" s="55" t="inlineStr"/>
      <c r="F6" s="55" t="inlineStr"/>
      <c r="G6" s="55" t="inlineStr"/>
      <c r="H6" s="55" t="inlineStr">
        <is>
          <t>What it means</t>
        </is>
      </c>
    </row>
    <row r="7">
      <c r="B7" s="95" t="inlineStr">
        <is>
          <t>Fixed obligations</t>
        </is>
      </c>
      <c r="C7" s="81">
        <f>'Monthly Budget'!C14</f>
        <v/>
      </c>
      <c r="H7" s="29" t="inlineStr">
        <is>
          <t>Pulled straight from 'Monthly Budget'. Change spending there, not here.</t>
        </is>
      </c>
    </row>
    <row r="8">
      <c r="B8" s="95" t="inlineStr">
        <is>
          <t>Variable / lifestyle</t>
        </is>
      </c>
      <c r="C8" s="81">
        <f>'Monthly Budget'!C23</f>
        <v/>
      </c>
    </row>
    <row r="9">
      <c r="B9" s="95" t="inlineStr">
        <is>
          <t>Marketing (if self-funded)</t>
        </is>
      </c>
      <c r="C9" s="81">
        <f>'Monthly Budget'!C27</f>
        <v/>
      </c>
    </row>
    <row r="10">
      <c r="B10" s="9">
        <f> CASH BURN before tax</f>
        <v/>
      </c>
      <c r="C10" s="76">
        <f>SUM(C7:C9)</f>
        <v/>
      </c>
    </row>
    <row r="12" ht="18" customHeight="1">
      <c r="A12" s="4" t="inlineStr">
        <is>
          <t>B.  BREAK-EVEN VOLUME UNDER EACH COMP STRUCTURE</t>
        </is>
      </c>
      <c r="B12" s="5" t="n"/>
      <c r="C12" s="5" t="n"/>
      <c r="D12" s="5" t="n"/>
      <c r="E12" s="5" t="n"/>
      <c r="F12" s="5" t="n"/>
      <c r="G12" s="5" t="n"/>
      <c r="H12" s="5" t="n"/>
    </row>
    <row r="13" ht="30" customHeight="1">
      <c r="A13" s="55" t="inlineStr"/>
      <c r="B13" s="55" t="inlineStr">
        <is>
          <t>Metric</t>
        </is>
      </c>
      <c r="C13" s="55" t="inlineStr">
        <is>
          <t>ACTIVE
(your toggles)</t>
        </is>
      </c>
      <c r="D13" s="55" t="inlineStr">
        <is>
          <t>Recoverable
draw</t>
        </is>
      </c>
      <c r="E13" s="55" t="inlineStr">
        <is>
          <t>Non-recov
Greater-Of</t>
        </is>
      </c>
      <c r="F13" s="55" t="inlineStr">
        <is>
          <t>Non-recov
Stacked</t>
        </is>
      </c>
      <c r="G13" s="55" t="inlineStr"/>
      <c r="H13" s="55" t="inlineStr">
        <is>
          <t>Notes</t>
        </is>
      </c>
    </row>
    <row r="14">
      <c r="B14" s="95" t="inlineStr">
        <is>
          <t>Draw income counted toward your bills</t>
        </is>
      </c>
      <c r="C14" s="50">
        <f>IF(Inputs!$C$17="Yes",D14,IF(Inputs!$C$18="Stacked",F14,E14))</f>
        <v/>
      </c>
      <c r="D14" s="61">
        <f>Inputs!$C$23</f>
        <v/>
      </c>
      <c r="E14" s="61">
        <f>Inputs!$C$23</f>
        <v/>
      </c>
      <c r="F14" s="61">
        <f>Inputs!$C$23</f>
        <v/>
      </c>
      <c r="H14" s="96" t="inlineStr">
        <is>
          <t>Under every structure you receive the draw in cash each month.</t>
        </is>
      </c>
    </row>
    <row r="15">
      <c r="B15" s="97" t="inlineStr">
        <is>
          <t>Does commission ADD to the draw?</t>
        </is>
      </c>
      <c r="C15" s="98">
        <f>IF(Inputs!$C$17="Yes",D15,IF(Inputs!$C$18="Stacked",F15,E15))</f>
        <v/>
      </c>
      <c r="D15" s="99">
        <f>"No - repays advance first"</f>
        <v/>
      </c>
      <c r="E15" s="99">
        <f>"No - you get the greater"</f>
        <v/>
      </c>
      <c r="F15" s="99">
        <f>"Yes - fully additive"</f>
        <v/>
      </c>
      <c r="H15" s="100" t="inlineStr">
        <is>
          <t>This single row is why the structures diverge.</t>
        </is>
      </c>
    </row>
    <row r="16">
      <c r="B16" s="95" t="inlineStr">
        <is>
          <t>Advance balance to clear first</t>
        </is>
      </c>
      <c r="C16" s="50">
        <f>IF(Inputs!$C$17="Yes",D16,IF(Inputs!$C$18="Stacked",F16,E16))</f>
        <v/>
      </c>
      <c r="D16" s="61">
        <f>Inputs!$C$24</f>
        <v/>
      </c>
      <c r="E16" s="61">
        <f>0</f>
        <v/>
      </c>
      <c r="F16" s="61">
        <f>0</f>
        <v/>
      </c>
      <c r="H16" s="96" t="inlineStr">
        <is>
          <t>11 draws x $1,231.58 already taken. Only the recoverable structure claws this back.</t>
        </is>
      </c>
    </row>
    <row r="17">
      <c r="B17" s="101" t="inlineStr">
        <is>
          <t>Monthly commission needed to COVER YOUR LIFE</t>
        </is>
      </c>
      <c r="C17" s="50">
        <f>IF(Inputs!$C$17="Yes",D17,IF(Inputs!$C$18="Stacked",F17,E17))</f>
        <v/>
      </c>
      <c r="D17" s="66">
        <f>MAX(0,C10-Inputs!$C$23)+Inputs!$C$23</f>
        <v/>
      </c>
      <c r="E17" s="66">
        <f>MAX(0,C10)</f>
        <v/>
      </c>
      <c r="F17" s="66">
        <f>MAX(0,C10-Inputs!$C$23)</f>
        <v/>
      </c>
      <c r="H17" s="100" t="inlineStr">
        <is>
          <t>Recoverable is brutal: every commission dollar first repays the draw, so to net your burn you must earn the burn PLUS replace the draw you are repaying.</t>
        </is>
      </c>
    </row>
    <row r="18">
      <c r="B18" s="9" t="inlineStr">
        <is>
          <t xml:space="preserve">  = LOAN VOLUME needed / month</t>
        </is>
      </c>
      <c r="C18" s="49">
        <f>IF(Inputs!$C$17="Yes",D18,IF(Inputs!$C$18="Stacked",F18,E18))</f>
        <v/>
      </c>
      <c r="D18" s="102">
        <f>D17/Inputs!$C$15</f>
        <v/>
      </c>
      <c r="E18" s="102">
        <f>E17/Inputs!$C$15</f>
        <v/>
      </c>
      <c r="F18" s="102">
        <f>F17/Inputs!$C$15</f>
        <v/>
      </c>
      <c r="H18" s="96" t="inlineStr">
        <is>
          <t>At 75 bps.</t>
        </is>
      </c>
    </row>
    <row r="19">
      <c r="B19" s="101" t="inlineStr">
        <is>
          <t xml:space="preserve">  = LOANS / month at your average size</t>
        </is>
      </c>
      <c r="C19" s="103">
        <f>IF(Inputs!$C$17="Yes",D19,IF(Inputs!$C$18="Stacked",F19,E19))</f>
        <v/>
      </c>
      <c r="D19" s="104">
        <f>IFERROR(D18/Inputs!$C$94,0)</f>
        <v/>
      </c>
      <c r="E19" s="104">
        <f>IFERROR(E18/Inputs!$C$94,0)</f>
        <v/>
      </c>
      <c r="F19" s="104">
        <f>IFERROR(F18/Inputs!$C$94,0)</f>
        <v/>
      </c>
      <c r="H19" s="100" t="inlineStr">
        <is>
          <t>The number that actually matters day to day.</t>
        </is>
      </c>
    </row>
    <row r="20">
      <c r="B20" s="95" t="inlineStr">
        <is>
          <t>Volume to CLEAR THE ADVANCE within 12 months</t>
        </is>
      </c>
      <c r="C20" s="49">
        <f>IF(Inputs!$C$17="Yes",D20,IF(Inputs!$C$18="Stacked",F20,E20))</f>
        <v/>
      </c>
      <c r="D20" s="102">
        <f>(Inputs!$C$23+Inputs!$C$24/12+IF(Inputs!$C$19="Recoverable",Inputs!$C$34,0))/Inputs!$C$15</f>
        <v/>
      </c>
      <c r="E20" s="102">
        <f>0</f>
        <v/>
      </c>
      <c r="F20" s="102">
        <f>0</f>
        <v/>
      </c>
      <c r="H20" s="96" t="inlineStr">
        <is>
          <t>Recoverable only: you must out-earn the NEW draw accruing each month AND chip at the $13,547 already owed.</t>
        </is>
      </c>
    </row>
    <row r="21">
      <c r="B21" s="97" t="inlineStr">
        <is>
          <t xml:space="preserve">  = loans / month to clear it in 12 months</t>
        </is>
      </c>
      <c r="C21" s="103">
        <f>IF(Inputs!$C$17="Yes",D21,IF(Inputs!$C$18="Stacked",F21,E21))</f>
        <v/>
      </c>
      <c r="D21" s="104">
        <f>IFERROR(D20/Inputs!$C$94,0)</f>
        <v/>
      </c>
      <c r="E21" s="104">
        <f>0</f>
        <v/>
      </c>
      <c r="F21" s="104">
        <f>0</f>
        <v/>
      </c>
      <c r="H21" s="100" t="inlineStr"/>
    </row>
    <row r="23" ht="18" customHeight="1">
      <c r="A23" s="4" t="inlineStr">
        <is>
          <t>C.  PROFIT LADDER  (non-recoverable / Greater-Of basis - your realistic target structure)</t>
        </is>
      </c>
      <c r="B23" s="5" t="n"/>
      <c r="C23" s="5" t="n"/>
      <c r="D23" s="5" t="n"/>
      <c r="E23" s="5" t="n"/>
      <c r="F23" s="5" t="n"/>
      <c r="G23" s="5" t="n"/>
      <c r="H23" s="5" t="n"/>
    </row>
    <row r="24" ht="30" customHeight="1">
      <c r="A24" s="55" t="inlineStr"/>
      <c r="B24" s="55" t="inlineStr">
        <is>
          <t>If you want to bank this much per month...</t>
        </is>
      </c>
      <c r="C24" s="55" t="inlineStr">
        <is>
          <t>Commission
needed</t>
        </is>
      </c>
      <c r="D24" s="55" t="inlineStr">
        <is>
          <t>Loan volume
needed</t>
        </is>
      </c>
      <c r="E24" s="55" t="inlineStr">
        <is>
          <t>Loans/mo
needed</t>
        </is>
      </c>
      <c r="F24" s="55" t="inlineStr">
        <is>
          <t>Annual
volume</t>
        </is>
      </c>
      <c r="G24" s="55" t="inlineStr"/>
      <c r="H24" s="55" t="inlineStr">
        <is>
          <t>Reality check</t>
        </is>
      </c>
    </row>
    <row r="25">
      <c r="B25" s="95" t="inlineStr">
        <is>
          <t>$0 / mo surplus  —  Just break even - bills paid, nothing saved</t>
        </is>
      </c>
      <c r="C25" s="61">
        <f>C10+0</f>
        <v/>
      </c>
      <c r="D25" s="102">
        <f>C25/Inputs!$C$15</f>
        <v/>
      </c>
      <c r="E25" s="105">
        <f>IFERROR(D25/Inputs!$C$94,0)</f>
        <v/>
      </c>
      <c r="F25" s="102">
        <f>D25*12</f>
        <v/>
      </c>
      <c r="H25" s="29" t="inlineStr">
        <is>
          <t>Read column E. That is your monthly closing target - the only number worth taping to your monitor.</t>
        </is>
      </c>
    </row>
    <row r="26">
      <c r="B26" s="97" t="inlineStr">
        <is>
          <t>$500 / mo surplus  —  Bare-minimum saving</t>
        </is>
      </c>
      <c r="C26" s="66">
        <f>C10+500</f>
        <v/>
      </c>
      <c r="D26" s="106">
        <f>C26/Inputs!$C$15</f>
        <v/>
      </c>
      <c r="E26" s="105">
        <f>IFERROR(D26/Inputs!$C$94,0)</f>
        <v/>
      </c>
      <c r="F26" s="106">
        <f>D26*12</f>
        <v/>
      </c>
    </row>
    <row r="27">
      <c r="B27" s="95" t="inlineStr">
        <is>
          <t>$1,500 / mo surplus  —  Roth IRA maxed + real progress on the ring</t>
        </is>
      </c>
      <c r="C27" s="61">
        <f>C10+1500</f>
        <v/>
      </c>
      <c r="D27" s="102">
        <f>C27/Inputs!$C$15</f>
        <v/>
      </c>
      <c r="E27" s="105">
        <f>IFERROR(D27/Inputs!$C$94,0)</f>
        <v/>
      </c>
      <c r="F27" s="102">
        <f>D27*12</f>
        <v/>
      </c>
    </row>
    <row r="28">
      <c r="B28" s="97" t="inlineStr">
        <is>
          <t>$3,000 / mo surplus  —  Ring in 2 yrs AND house down payment on track</t>
        </is>
      </c>
      <c r="C28" s="66">
        <f>C10+3000</f>
        <v/>
      </c>
      <c r="D28" s="106">
        <f>C28/Inputs!$C$15</f>
        <v/>
      </c>
      <c r="E28" s="105">
        <f>IFERROR(D28/Inputs!$C$94,0)</f>
        <v/>
      </c>
      <c r="F28" s="106">
        <f>D28*12</f>
        <v/>
      </c>
    </row>
    <row r="29">
      <c r="B29" s="95" t="inlineStr">
        <is>
          <t>$5,000 / mo surplus  —  Top-producer pace</t>
        </is>
      </c>
      <c r="C29" s="61">
        <f>C10+5000</f>
        <v/>
      </c>
      <c r="D29" s="102">
        <f>C29/Inputs!$C$15</f>
        <v/>
      </c>
      <c r="E29" s="105">
        <f>IFERROR(D29/Inputs!$C$94,0)</f>
        <v/>
      </c>
      <c r="F29" s="102">
        <f>D29*12</f>
        <v/>
      </c>
    </row>
    <row r="32" ht="18" customHeight="1">
      <c r="A32" s="4" t="inlineStr">
        <is>
          <t>D.  SENSITIVITY  —  ANNUAL net cash to you (Greater-Of basis, after tax reserve, after all living costs)</t>
        </is>
      </c>
      <c r="B32" s="5" t="n"/>
      <c r="C32" s="5" t="n"/>
      <c r="D32" s="5" t="n"/>
      <c r="E32" s="5" t="n"/>
      <c r="F32" s="5" t="n"/>
      <c r="G32" s="5" t="n"/>
      <c r="H32" s="5" t="n"/>
    </row>
    <row r="34">
      <c r="B34" s="107" t="inlineStr">
        <is>
          <t>Avg loan size  \  Loans per month</t>
        </is>
      </c>
      <c r="C34" s="108" t="n">
        <v>1</v>
      </c>
      <c r="D34" s="108" t="n">
        <v>2</v>
      </c>
      <c r="E34" s="108" t="n">
        <v>3</v>
      </c>
      <c r="F34" s="108" t="n">
        <v>4</v>
      </c>
      <c r="G34" s="108" t="n">
        <v>5</v>
      </c>
    </row>
    <row r="35">
      <c r="B35" s="109" t="n">
        <v>200000</v>
      </c>
      <c r="C35" s="102">
        <f>(MAX(Inputs!$C$23,$B35*1*Inputs!$C$15)-IF(Inputs!$C$20="1099",MAX(Inputs!$C$23,$B35*1*Inputs!$C$15)*Inputs!$C$74,0)-$C$10)*12</f>
        <v/>
      </c>
      <c r="D35" s="102">
        <f>(MAX(Inputs!$C$23,$B35*2*Inputs!$C$15)-IF(Inputs!$C$20="1099",MAX(Inputs!$C$23,$B35*2*Inputs!$C$15)*Inputs!$C$74,0)-$C$10)*12</f>
        <v/>
      </c>
      <c r="E35" s="102">
        <f>(MAX(Inputs!$C$23,$B35*3*Inputs!$C$15)-IF(Inputs!$C$20="1099",MAX(Inputs!$C$23,$B35*3*Inputs!$C$15)*Inputs!$C$74,0)-$C$10)*12</f>
        <v/>
      </c>
      <c r="F35" s="102">
        <f>(MAX(Inputs!$C$23,$B35*4*Inputs!$C$15)-IF(Inputs!$C$20="1099",MAX(Inputs!$C$23,$B35*4*Inputs!$C$15)*Inputs!$C$74,0)-$C$10)*12</f>
        <v/>
      </c>
      <c r="G35" s="102">
        <f>(MAX(Inputs!$C$23,$B35*5*Inputs!$C$15)-IF(Inputs!$C$20="1099",MAX(Inputs!$C$23,$B35*5*Inputs!$C$15)*Inputs!$C$74,0)-$C$10)*12</f>
        <v/>
      </c>
    </row>
    <row r="36">
      <c r="B36" s="109" t="n">
        <v>250000</v>
      </c>
      <c r="C36" s="102">
        <f>(MAX(Inputs!$C$23,$B36*1*Inputs!$C$15)-IF(Inputs!$C$20="1099",MAX(Inputs!$C$23,$B36*1*Inputs!$C$15)*Inputs!$C$74,0)-$C$10)*12</f>
        <v/>
      </c>
      <c r="D36" s="102">
        <f>(MAX(Inputs!$C$23,$B36*2*Inputs!$C$15)-IF(Inputs!$C$20="1099",MAX(Inputs!$C$23,$B36*2*Inputs!$C$15)*Inputs!$C$74,0)-$C$10)*12</f>
        <v/>
      </c>
      <c r="E36" s="102">
        <f>(MAX(Inputs!$C$23,$B36*3*Inputs!$C$15)-IF(Inputs!$C$20="1099",MAX(Inputs!$C$23,$B36*3*Inputs!$C$15)*Inputs!$C$74,0)-$C$10)*12</f>
        <v/>
      </c>
      <c r="F36" s="102">
        <f>(MAX(Inputs!$C$23,$B36*4*Inputs!$C$15)-IF(Inputs!$C$20="1099",MAX(Inputs!$C$23,$B36*4*Inputs!$C$15)*Inputs!$C$74,0)-$C$10)*12</f>
        <v/>
      </c>
      <c r="G36" s="102">
        <f>(MAX(Inputs!$C$23,$B36*5*Inputs!$C$15)-IF(Inputs!$C$20="1099",MAX(Inputs!$C$23,$B36*5*Inputs!$C$15)*Inputs!$C$74,0)-$C$10)*12</f>
        <v/>
      </c>
    </row>
    <row r="37">
      <c r="B37" s="109" t="n">
        <v>300000</v>
      </c>
      <c r="C37" s="102">
        <f>(MAX(Inputs!$C$23,$B37*1*Inputs!$C$15)-IF(Inputs!$C$20="1099",MAX(Inputs!$C$23,$B37*1*Inputs!$C$15)*Inputs!$C$74,0)-$C$10)*12</f>
        <v/>
      </c>
      <c r="D37" s="102">
        <f>(MAX(Inputs!$C$23,$B37*2*Inputs!$C$15)-IF(Inputs!$C$20="1099",MAX(Inputs!$C$23,$B37*2*Inputs!$C$15)*Inputs!$C$74,0)-$C$10)*12</f>
        <v/>
      </c>
      <c r="E37" s="102">
        <f>(MAX(Inputs!$C$23,$B37*3*Inputs!$C$15)-IF(Inputs!$C$20="1099",MAX(Inputs!$C$23,$B37*3*Inputs!$C$15)*Inputs!$C$74,0)-$C$10)*12</f>
        <v/>
      </c>
      <c r="F37" s="102">
        <f>(MAX(Inputs!$C$23,$B37*4*Inputs!$C$15)-IF(Inputs!$C$20="1099",MAX(Inputs!$C$23,$B37*4*Inputs!$C$15)*Inputs!$C$74,0)-$C$10)*12</f>
        <v/>
      </c>
      <c r="G37" s="102">
        <f>(MAX(Inputs!$C$23,$B37*5*Inputs!$C$15)-IF(Inputs!$C$20="1099",MAX(Inputs!$C$23,$B37*5*Inputs!$C$15)*Inputs!$C$74,0)-$C$10)*12</f>
        <v/>
      </c>
    </row>
    <row r="38">
      <c r="B38" s="109" t="n">
        <v>350000</v>
      </c>
      <c r="C38" s="102">
        <f>(MAX(Inputs!$C$23,$B38*1*Inputs!$C$15)-IF(Inputs!$C$20="1099",MAX(Inputs!$C$23,$B38*1*Inputs!$C$15)*Inputs!$C$74,0)-$C$10)*12</f>
        <v/>
      </c>
      <c r="D38" s="102">
        <f>(MAX(Inputs!$C$23,$B38*2*Inputs!$C$15)-IF(Inputs!$C$20="1099",MAX(Inputs!$C$23,$B38*2*Inputs!$C$15)*Inputs!$C$74,0)-$C$10)*12</f>
        <v/>
      </c>
      <c r="E38" s="102">
        <f>(MAX(Inputs!$C$23,$B38*3*Inputs!$C$15)-IF(Inputs!$C$20="1099",MAX(Inputs!$C$23,$B38*3*Inputs!$C$15)*Inputs!$C$74,0)-$C$10)*12</f>
        <v/>
      </c>
      <c r="F38" s="102">
        <f>(MAX(Inputs!$C$23,$B38*4*Inputs!$C$15)-IF(Inputs!$C$20="1099",MAX(Inputs!$C$23,$B38*4*Inputs!$C$15)*Inputs!$C$74,0)-$C$10)*12</f>
        <v/>
      </c>
      <c r="G38" s="102">
        <f>(MAX(Inputs!$C$23,$B38*5*Inputs!$C$15)-IF(Inputs!$C$20="1099",MAX(Inputs!$C$23,$B38*5*Inputs!$C$15)*Inputs!$C$74,0)-$C$10)*12</f>
        <v/>
      </c>
    </row>
    <row r="39">
      <c r="B39" s="109" t="n">
        <v>400000</v>
      </c>
      <c r="C39" s="102">
        <f>(MAX(Inputs!$C$23,$B39*1*Inputs!$C$15)-IF(Inputs!$C$20="1099",MAX(Inputs!$C$23,$B39*1*Inputs!$C$15)*Inputs!$C$74,0)-$C$10)*12</f>
        <v/>
      </c>
      <c r="D39" s="102">
        <f>(MAX(Inputs!$C$23,$B39*2*Inputs!$C$15)-IF(Inputs!$C$20="1099",MAX(Inputs!$C$23,$B39*2*Inputs!$C$15)*Inputs!$C$74,0)-$C$10)*12</f>
        <v/>
      </c>
      <c r="E39" s="102">
        <f>(MAX(Inputs!$C$23,$B39*3*Inputs!$C$15)-IF(Inputs!$C$20="1099",MAX(Inputs!$C$23,$B39*3*Inputs!$C$15)*Inputs!$C$74,0)-$C$10)*12</f>
        <v/>
      </c>
      <c r="F39" s="102">
        <f>(MAX(Inputs!$C$23,$B39*4*Inputs!$C$15)-IF(Inputs!$C$20="1099",MAX(Inputs!$C$23,$B39*4*Inputs!$C$15)*Inputs!$C$74,0)-$C$10)*12</f>
        <v/>
      </c>
      <c r="G39" s="102">
        <f>(MAX(Inputs!$C$23,$B39*5*Inputs!$C$15)-IF(Inputs!$C$20="1099",MAX(Inputs!$C$23,$B39*5*Inputs!$C$15)*Inputs!$C$74,0)-$C$10)*12</f>
        <v/>
      </c>
    </row>
    <row r="40">
      <c r="B40" s="109" t="n">
        <v>500000</v>
      </c>
      <c r="C40" s="102">
        <f>(MAX(Inputs!$C$23,$B40*1*Inputs!$C$15)-IF(Inputs!$C$20="1099",MAX(Inputs!$C$23,$B40*1*Inputs!$C$15)*Inputs!$C$74,0)-$C$10)*12</f>
        <v/>
      </c>
      <c r="D40" s="102">
        <f>(MAX(Inputs!$C$23,$B40*2*Inputs!$C$15)-IF(Inputs!$C$20="1099",MAX(Inputs!$C$23,$B40*2*Inputs!$C$15)*Inputs!$C$74,0)-$C$10)*12</f>
        <v/>
      </c>
      <c r="E40" s="102">
        <f>(MAX(Inputs!$C$23,$B40*3*Inputs!$C$15)-IF(Inputs!$C$20="1099",MAX(Inputs!$C$23,$B40*3*Inputs!$C$15)*Inputs!$C$74,0)-$C$10)*12</f>
        <v/>
      </c>
      <c r="F40" s="102">
        <f>(MAX(Inputs!$C$23,$B40*4*Inputs!$C$15)-IF(Inputs!$C$20="1099",MAX(Inputs!$C$23,$B40*4*Inputs!$C$15)*Inputs!$C$74,0)-$C$10)*12</f>
        <v/>
      </c>
      <c r="G40" s="102">
        <f>(MAX(Inputs!$C$23,$B40*5*Inputs!$C$15)-IF(Inputs!$C$20="1099",MAX(Inputs!$C$23,$B40*5*Inputs!$C$15)*Inputs!$C$74,0)-$C$10)*12</f>
        <v/>
      </c>
    </row>
    <row r="42">
      <c r="B42" s="53" t="inlineStr">
        <is>
          <t>Green = you are building wealth.  Red = you are going backwards and living on the draw.</t>
        </is>
      </c>
    </row>
  </sheetData>
  <mergeCells count="8">
    <mergeCell ref="A12:H12"/>
    <mergeCell ref="A1:H1"/>
    <mergeCell ref="B42:H42"/>
    <mergeCell ref="A2:H2"/>
    <mergeCell ref="H25:H29"/>
    <mergeCell ref="A5:H5"/>
    <mergeCell ref="A23:H23"/>
    <mergeCell ref="A32:H32"/>
  </mergeCells>
  <conditionalFormatting sqref="C35:G40">
    <cfRule type="cellIs" priority="1" operator="lessThan" dxfId="0">
      <formula>0</formula>
    </cfRule>
    <cfRule type="cellIs" priority="2" operator="greaterThanOrEqual" dxfId="1">
      <formula>30000</formula>
    </cfRule>
  </conditionalFormatting>
  <pageMargins left="0.75" right="0.75" top="1" bottom="1" header="0.5" footer="0.5"/>
</worksheet>
</file>

<file path=xl/worksheets/sheet7.xml><?xml version="1.0" encoding="utf-8"?>
<worksheet xmlns="http://schemas.openxmlformats.org/spreadsheetml/2006/main">
  <sheetPr>
    <tabColor rgb="001E7B4F"/>
    <outlinePr summaryBelow="1" summaryRight="1"/>
    <pageSetUpPr fitToPage="1"/>
  </sheetPr>
  <dimension ref="A1:G37"/>
  <sheetViews>
    <sheetView showGridLines="0" workbookViewId="0">
      <pane ySplit="5" topLeftCell="A6" activePane="bottomLeft" state="frozen"/>
      <selection pane="bottomLeft" activeCell="A1" sqref="A1"/>
    </sheetView>
  </sheetViews>
  <sheetFormatPr baseColWidth="8" defaultRowHeight="15"/>
  <cols>
    <col width="4" customWidth="1" min="1" max="1"/>
    <col width="34" customWidth="1" min="2" max="2"/>
    <col width="14" customWidth="1" min="3" max="3"/>
    <col width="14" customWidth="1" min="4" max="4"/>
    <col width="12" customWidth="1" min="5" max="5"/>
    <col width="10" customWidth="1" min="6" max="6"/>
    <col width="58" customWidth="1" min="7" max="7"/>
  </cols>
  <sheetData>
    <row r="1" ht="26" customHeight="1">
      <c r="A1" s="1" t="inlineStr">
        <is>
          <t>MONTHLY BUDGET  —  what it costs to be you, every month</t>
        </is>
      </c>
      <c r="B1" s="2" t="n"/>
      <c r="C1" s="2" t="n"/>
      <c r="D1" s="2" t="n"/>
      <c r="E1" s="2" t="n"/>
      <c r="F1" s="2" t="n"/>
      <c r="G1" s="2" t="n"/>
    </row>
    <row r="2" ht="15" customHeight="1">
      <c r="A2" s="3" t="inlineStr">
        <is>
          <t>Every amount is pulled from Inputs. To change a number, change it there. Yellow rows are costs you did not list and must confirm.</t>
        </is>
      </c>
      <c r="B2" s="2" t="n"/>
      <c r="C2" s="2" t="n"/>
      <c r="D2" s="2" t="n"/>
      <c r="E2" s="2" t="n"/>
      <c r="F2" s="2" t="n"/>
      <c r="G2" s="2" t="n"/>
    </row>
    <row r="5" ht="18" customHeight="1">
      <c r="A5" s="4" t="inlineStr">
        <is>
          <t>A.  FIXED OBLIGATIONS  (contractual - they hit whether you close a loan or not)</t>
        </is>
      </c>
      <c r="B5" s="5" t="n"/>
      <c r="C5" s="5" t="n"/>
      <c r="D5" s="5" t="n"/>
      <c r="E5" s="5" t="n"/>
      <c r="F5" s="5" t="n"/>
      <c r="G5" s="5" t="n"/>
    </row>
    <row r="6" ht="30" customHeight="1">
      <c r="A6" s="55" t="inlineStr"/>
      <c r="B6" s="55" t="inlineStr">
        <is>
          <t>Line item</t>
        </is>
      </c>
      <c r="C6" s="55" t="inlineStr">
        <is>
          <t>Per month</t>
        </is>
      </c>
      <c r="D6" s="55" t="inlineStr">
        <is>
          <t>Per year</t>
        </is>
      </c>
      <c r="E6" s="55" t="inlineStr">
        <is>
          <t>Due day</t>
        </is>
      </c>
      <c r="F6" s="55" t="inlineStr">
        <is>
          <t>Type</t>
        </is>
      </c>
      <c r="G6" s="55" t="inlineStr">
        <is>
          <t>Notes</t>
        </is>
      </c>
    </row>
    <row r="7">
      <c r="B7" s="95" t="inlineStr">
        <is>
          <t>Auto loan payment</t>
        </is>
      </c>
      <c r="C7" s="81">
        <f>Inputs!$C$28</f>
        <v/>
      </c>
      <c r="D7" s="61">
        <f>C7*12</f>
        <v/>
      </c>
      <c r="E7" s="110">
        <f>=Inputs!$C$29</f>
        <v/>
      </c>
      <c r="F7" s="83" t="inlineStr">
        <is>
          <t>Fixed</t>
        </is>
      </c>
      <c r="G7" s="96" t="inlineStr">
        <is>
          <t>Balance $25,092.02. Amortization and payoff on 'Car Loan'.</t>
        </is>
      </c>
    </row>
    <row r="8">
      <c r="B8" s="8" t="inlineStr">
        <is>
          <t>Auto insurance</t>
        </is>
      </c>
      <c r="C8" s="86">
        <f>Inputs!$C$35</f>
        <v/>
      </c>
      <c r="D8" s="66">
        <f>C8*12</f>
        <v/>
      </c>
      <c r="E8" s="99">
        <f>"varies"</f>
        <v/>
      </c>
      <c r="F8" s="89" t="inlineStr">
        <is>
          <t>Fixed</t>
        </is>
      </c>
      <c r="G8" s="100" t="inlineStr">
        <is>
          <t>NOT LISTED BY YOU - estimated. Your lienholder requires full coverage, so this bill exists.</t>
        </is>
      </c>
    </row>
    <row r="9">
      <c r="B9" s="95" t="inlineStr">
        <is>
          <t>Gym membership</t>
        </is>
      </c>
      <c r="C9" s="81">
        <f>Inputs!$C$30*Inputs!$C$31</f>
        <v/>
      </c>
      <c r="D9" s="61">
        <f>C9*12</f>
        <v/>
      </c>
      <c r="E9" s="110">
        <f>"14 &amp; EOM"</f>
        <v/>
      </c>
      <c r="F9" s="83" t="inlineStr">
        <is>
          <t>Fixed</t>
        </is>
      </c>
      <c r="G9" s="96" t="inlineStr">
        <is>
          <t>$31.99 x 2/mo, same cadence as your draw.</t>
        </is>
      </c>
    </row>
    <row r="10">
      <c r="B10" s="97" t="inlineStr">
        <is>
          <t>Amazon Prime</t>
        </is>
      </c>
      <c r="C10" s="86">
        <f>Inputs!$C$32</f>
        <v/>
      </c>
      <c r="D10" s="66">
        <f>C10*12</f>
        <v/>
      </c>
      <c r="E10" s="99">
        <f>=Inputs!$C$33</f>
        <v/>
      </c>
      <c r="F10" s="89" t="inlineStr">
        <is>
          <t>Fixed</t>
        </is>
      </c>
      <c r="G10" s="100" t="inlineStr">
        <is>
          <t>Annual plan is ~$139/yr = $11.58/mo. Switching saves $41/yr.</t>
        </is>
      </c>
    </row>
    <row r="11">
      <c r="B11" s="8" t="inlineStr">
        <is>
          <t>Phone</t>
        </is>
      </c>
      <c r="C11" s="81">
        <f>Inputs!$C$36</f>
        <v/>
      </c>
      <c r="D11" s="61">
        <f>C11*12</f>
        <v/>
      </c>
      <c r="E11" s="110">
        <f>"varies"</f>
        <v/>
      </c>
      <c r="F11" s="83" t="inlineStr">
        <is>
          <t>Fixed</t>
        </is>
      </c>
      <c r="G11" s="96" t="inlineStr">
        <is>
          <t>NOT LISTED - confirm or set to 0 if on a family plan.</t>
        </is>
      </c>
    </row>
    <row r="12">
      <c r="B12" s="8" t="inlineStr">
        <is>
          <t>Health insurance</t>
        </is>
      </c>
      <c r="C12" s="86">
        <f>Inputs!$C$37</f>
        <v/>
      </c>
      <c r="D12" s="66">
        <f>C12*12</f>
        <v/>
      </c>
      <c r="E12" s="99">
        <f>"varies"</f>
        <v/>
      </c>
      <c r="F12" s="89" t="inlineStr">
        <is>
          <t>Fixed</t>
        </is>
      </c>
      <c r="G12" s="100" t="inlineStr">
        <is>
          <t>NOT LISTED. $0 only while on a parent's plan. You age off at 26 - budget $350-500/mo from then. Plan for it now.</t>
        </is>
      </c>
    </row>
    <row r="13">
      <c r="B13" s="8" t="inlineStr">
        <is>
          <t>Other fixed</t>
        </is>
      </c>
      <c r="C13" s="81">
        <f>Inputs!$C$38</f>
        <v/>
      </c>
      <c r="D13" s="61">
        <f>C13*12</f>
        <v/>
      </c>
      <c r="E13" s="110">
        <f>"varies"</f>
        <v/>
      </c>
      <c r="F13" s="83" t="inlineStr">
        <is>
          <t>Fixed</t>
        </is>
      </c>
      <c r="G13" s="96" t="inlineStr">
        <is>
          <t>Streaming, storage, anything recurring you have not listed.</t>
        </is>
      </c>
    </row>
    <row r="14">
      <c r="B14" s="92" t="inlineStr">
        <is>
          <t>TOTAL FIXED</t>
        </is>
      </c>
      <c r="C14" s="111">
        <f>SUM(C7:C13)</f>
        <v/>
      </c>
      <c r="D14" s="111">
        <f>C14*12</f>
        <v/>
      </c>
    </row>
    <row r="16" ht="18" customHeight="1">
      <c r="A16" s="4" t="inlineStr">
        <is>
          <t>B.  VARIABLE / DRIVER-BASED  (scale with how hard you work)</t>
        </is>
      </c>
      <c r="B16" s="5" t="n"/>
      <c r="C16" s="5" t="n"/>
      <c r="D16" s="5" t="n"/>
      <c r="E16" s="5" t="n"/>
      <c r="F16" s="5" t="n"/>
      <c r="G16" s="5" t="n"/>
    </row>
    <row r="17" ht="30" customHeight="1">
      <c r="A17" s="55" t="inlineStr"/>
      <c r="B17" s="55" t="inlineStr">
        <is>
          <t>Line item</t>
        </is>
      </c>
      <c r="C17" s="55" t="inlineStr">
        <is>
          <t>Per month</t>
        </is>
      </c>
      <c r="D17" s="55" t="inlineStr">
        <is>
          <t>Per year</t>
        </is>
      </c>
      <c r="E17" s="55" t="inlineStr">
        <is>
          <t>Driver</t>
        </is>
      </c>
      <c r="F17" s="55" t="inlineStr">
        <is>
          <t>Type</t>
        </is>
      </c>
      <c r="G17" s="55" t="inlineStr">
        <is>
          <t>Notes</t>
        </is>
      </c>
    </row>
    <row r="18">
      <c r="B18" s="95" t="inlineStr">
        <is>
          <t>Fuel</t>
        </is>
      </c>
      <c r="C18" s="81">
        <f>Inputs!$C$43</f>
        <v/>
      </c>
      <c r="D18" s="61">
        <f>C18*12</f>
        <v/>
      </c>
      <c r="E18" s="83">
        <f>"1,000 mi @ 19mpg"</f>
        <v/>
      </c>
      <c r="F18" s="83" t="inlineStr">
        <is>
          <t>Variable</t>
        </is>
      </c>
      <c r="G18" s="96" t="inlineStr">
        <is>
          <t>1,000 mi/mo at $4.10 and 19 mpg. If 1099, these miles are worth FAR more as a deduction than they cost - see 'Tax Reserve'.</t>
        </is>
      </c>
    </row>
    <row r="19">
      <c r="B19" s="97" t="inlineStr">
        <is>
          <t>Aroma Joe's</t>
        </is>
      </c>
      <c r="C19" s="86">
        <f>Inputs!$C$46</f>
        <v/>
      </c>
      <c r="D19" s="66">
        <f>C19*12</f>
        <v/>
      </c>
      <c r="E19" s="89">
        <f>"$6 x 4/wk"</f>
        <v/>
      </c>
      <c r="F19" s="89" t="inlineStr">
        <is>
          <t>Variable</t>
        </is>
      </c>
      <c r="G19" s="100" t="inlineStr">
        <is>
          <t>Set your real visit count on Inputs. Every extra visit per week costs $312/yr.</t>
        </is>
      </c>
    </row>
    <row r="20">
      <c r="B20" s="8" t="inlineStr">
        <is>
          <t>Car maintenance reserve</t>
        </is>
      </c>
      <c r="C20" s="81">
        <f>Inputs!$C$49</f>
        <v/>
      </c>
      <c r="D20" s="61">
        <f>C20*12</f>
        <v/>
      </c>
      <c r="E20" s="83">
        <f>"12k mi/yr"</f>
        <v/>
      </c>
      <c r="F20" s="83" t="inlineStr">
        <is>
          <t>Variable</t>
        </is>
      </c>
      <c r="G20" s="96" t="inlineStr">
        <is>
          <t>NOT LISTED. Maine winter driving: tires, brakes, oil. Set it aside monthly so it is never a surprise.</t>
        </is>
      </c>
    </row>
    <row r="21">
      <c r="B21" s="8" t="inlineStr">
        <is>
          <t>Groceries / eating out</t>
        </is>
      </c>
      <c r="C21" s="86">
        <f>Inputs!$C$47</f>
        <v/>
      </c>
      <c r="D21" s="66">
        <f>C21*12</f>
        <v/>
      </c>
      <c r="E21" s="89">
        <f>"lifestyle"</f>
        <v/>
      </c>
      <c r="F21" s="89" t="inlineStr">
        <is>
          <t>Variable</t>
        </is>
      </c>
      <c r="G21" s="100" t="inlineStr">
        <is>
          <t>NOT LISTED. You live at home so this may be low - but client lunches and road food are real.</t>
        </is>
      </c>
    </row>
    <row r="22">
      <c r="B22" s="8" t="inlineStr">
        <is>
          <t>Personal / entertainment</t>
        </is>
      </c>
      <c r="C22" s="81">
        <f>Inputs!$C$48</f>
        <v/>
      </c>
      <c r="D22" s="61">
        <f>C22*12</f>
        <v/>
      </c>
      <c r="E22" s="83">
        <f>"lifestyle"</f>
        <v/>
      </c>
      <c r="F22" s="83" t="inlineStr">
        <is>
          <t>Variable</t>
        </is>
      </c>
      <c r="G22" s="96" t="inlineStr">
        <is>
          <t>NOT LISTED. Placeholder.</t>
        </is>
      </c>
    </row>
    <row r="23">
      <c r="B23" s="92" t="inlineStr">
        <is>
          <t>TOTAL VARIABLE</t>
        </is>
      </c>
      <c r="C23" s="111">
        <f>SUM(C18:C22)</f>
        <v/>
      </c>
      <c r="D23" s="111">
        <f>C23*12</f>
        <v/>
      </c>
    </row>
    <row r="25" ht="18" customHeight="1">
      <c r="A25" s="4" t="inlineStr">
        <is>
          <t>C.  BUSINESS  (only a personal cost if you are self-funding it)</t>
        </is>
      </c>
      <c r="B25" s="5" t="n"/>
      <c r="C25" s="5" t="n"/>
      <c r="D25" s="5" t="n"/>
      <c r="E25" s="5" t="n"/>
      <c r="F25" s="5" t="n"/>
      <c r="G25" s="5" t="n"/>
    </row>
    <row r="26" ht="30" customHeight="1">
      <c r="A26" s="55" t="inlineStr"/>
      <c r="B26" s="55" t="inlineStr">
        <is>
          <t>Line item</t>
        </is>
      </c>
      <c r="C26" s="55" t="inlineStr">
        <is>
          <t>Per month</t>
        </is>
      </c>
      <c r="D26" s="55" t="inlineStr">
        <is>
          <t>Per year</t>
        </is>
      </c>
      <c r="E26" s="55" t="inlineStr">
        <is>
          <t>Driver</t>
        </is>
      </c>
      <c r="F26" s="55" t="inlineStr">
        <is>
          <t>Type</t>
        </is>
      </c>
      <c r="G26" s="55" t="inlineStr">
        <is>
          <t>Notes</t>
        </is>
      </c>
    </row>
    <row r="27">
      <c r="B27" s="95" t="inlineStr">
        <is>
          <t>Marketing</t>
        </is>
      </c>
      <c r="C27" s="61">
        <f>IF(Inputs!$C$19="Self-funded",Inputs!$C$34,0)</f>
        <v/>
      </c>
      <c r="D27" s="61">
        <f>C27*12</f>
        <v/>
      </c>
      <c r="E27" s="112">
        <f>Inputs!$C$19</f>
        <v/>
      </c>
      <c r="F27" s="83" t="inlineStr">
        <is>
          <t>Business</t>
        </is>
      </c>
      <c r="G27" s="96" t="inlineStr">
        <is>
          <t>$0 here if the owner funds it. If it is a RECOVERABLE advance it is not a monthly bill - it is added to your advance balance on 'Draw Recovery' and repaid from commission.</t>
        </is>
      </c>
    </row>
    <row r="29" ht="18" customHeight="1">
      <c r="A29" s="4" t="inlineStr">
        <is>
          <t>D.  BOTTOM LINE</t>
        </is>
      </c>
      <c r="B29" s="5" t="n"/>
      <c r="C29" s="5" t="n"/>
      <c r="D29" s="5" t="n"/>
      <c r="E29" s="5" t="n"/>
      <c r="F29" s="5" t="n"/>
      <c r="G29" s="5" t="n"/>
    </row>
    <row r="30">
      <c r="B30" s="9" t="inlineStr">
        <is>
          <t>TOTAL COST OF LIVING (fixed + variable)</t>
        </is>
      </c>
      <c r="C30" s="51">
        <f>C14+C23</f>
        <v/>
      </c>
      <c r="D30" s="61">
        <f>C30*12</f>
        <v/>
      </c>
      <c r="G30" s="96" t="inlineStr">
        <is>
          <t>This is your personal survival number. It does not include taxes or marketing.</t>
        </is>
      </c>
    </row>
    <row r="31">
      <c r="B31" s="95" t="inlineStr">
        <is>
          <t>+ Marketing (if self-funded)</t>
        </is>
      </c>
      <c r="C31" s="61">
        <f>C27</f>
        <v/>
      </c>
      <c r="D31" s="61">
        <f>C31*12</f>
        <v/>
      </c>
      <c r="G31" s="96" t="inlineStr"/>
    </row>
    <row r="32">
      <c r="B32" s="9">
        <f> TOTAL MONTHLY CASH BURN</f>
        <v/>
      </c>
      <c r="C32" s="76">
        <f>C14+C23+C27</f>
        <v/>
      </c>
      <c r="D32" s="61">
        <f>C32*12</f>
        <v/>
      </c>
      <c r="G32" s="96" t="inlineStr">
        <is>
          <t>Every dollar that must leave your accounts in an average month.</t>
        </is>
      </c>
    </row>
    <row r="33">
      <c r="B33" s="95" t="inlineStr">
        <is>
          <t>Draw income (semi-monthly x 24/yr)</t>
        </is>
      </c>
      <c r="C33" s="113">
        <f>Inputs!$C$23</f>
        <v/>
      </c>
      <c r="D33" s="61">
        <f>C33*12</f>
        <v/>
      </c>
      <c r="G33" s="96" t="inlineStr">
        <is>
          <t>$1,231.58 x 24 / 12. This is the floor you can count on.</t>
        </is>
      </c>
    </row>
    <row r="34">
      <c r="B34" s="9" t="inlineStr">
        <is>
          <t>SURPLUS / (SHORTFALL) on the draw alone</t>
        </is>
      </c>
      <c r="C34" s="82">
        <f>C33-C32</f>
        <v/>
      </c>
      <c r="D34" s="61">
        <f>C34*12</f>
        <v/>
      </c>
      <c r="G34" s="96" t="inlineStr">
        <is>
          <t>If negative, the draw alone does not cover your life and every month without a closing digs a hole.</t>
        </is>
      </c>
    </row>
    <row r="35">
      <c r="B35" s="95" t="inlineStr">
        <is>
          <t>Commission needed to break even (per month)</t>
        </is>
      </c>
      <c r="C35" s="114">
        <f>MAX(0,C32-C33)</f>
        <v/>
      </c>
      <c r="D35" s="61">
        <f>C35*12</f>
        <v/>
      </c>
      <c r="G35" s="96" t="inlineStr"/>
    </row>
    <row r="36">
      <c r="B36" s="95" t="inlineStr">
        <is>
          <t xml:space="preserve">  = loan volume needed</t>
        </is>
      </c>
      <c r="C36" s="115">
        <f>C35/Inputs!$C$15</f>
        <v/>
      </c>
      <c r="G36" s="96" t="inlineStr">
        <is>
          <t>At 75 bps.</t>
        </is>
      </c>
    </row>
    <row r="37">
      <c r="B37" s="95" t="inlineStr">
        <is>
          <t xml:space="preserve">  = loans per month</t>
        </is>
      </c>
      <c r="C37" s="116">
        <f>IFERROR(C36/Inputs!$C$94,0)</f>
        <v/>
      </c>
      <c r="G37" s="96" t="inlineStr">
        <is>
          <t>At your average loan size.</t>
        </is>
      </c>
    </row>
  </sheetData>
  <mergeCells count="6">
    <mergeCell ref="A1:G1"/>
    <mergeCell ref="A16:G16"/>
    <mergeCell ref="A2:G2"/>
    <mergeCell ref="A29:G29"/>
    <mergeCell ref="A25:G25"/>
    <mergeCell ref="A5:G5"/>
  </mergeCells>
  <pageMargins left="0.75" right="0.75" top="1" bottom="1" header="0.5" footer="0.5"/>
</worksheet>
</file>

<file path=xl/worksheets/sheet8.xml><?xml version="1.0" encoding="utf-8"?>
<worksheet xmlns="http://schemas.openxmlformats.org/spreadsheetml/2006/main">
  <sheetPr>
    <tabColor rgb="000F2B46"/>
    <outlinePr summaryBelow="1" summaryRight="1"/>
    <pageSetUpPr fitToPage="1"/>
  </sheetPr>
  <dimension ref="A1:R45"/>
  <sheetViews>
    <sheetView showGridLines="0" workbookViewId="0">
      <pane xSplit="1" ySplit="8" topLeftCell="B9" activePane="bottomRight" state="frozen"/>
      <selection pane="topRight"/>
      <selection pane="bottomLeft"/>
      <selection pane="bottomRight" activeCell="A1" sqref="A1"/>
    </sheetView>
  </sheetViews>
  <sheetFormatPr baseColWidth="8" defaultRowHeight="15"/>
  <cols>
    <col width="11" customWidth="1" min="1" max="1"/>
    <col width="8" customWidth="1" min="2" max="2"/>
    <col width="12" customWidth="1" min="3" max="3"/>
    <col width="13" customWidth="1" min="4" max="4"/>
    <col width="13" customWidth="1" min="5" max="5"/>
    <col width="12" customWidth="1" min="6" max="6"/>
    <col width="12" customWidth="1" min="7" max="7"/>
    <col width="13" customWidth="1" min="8" max="8"/>
    <col width="14" customWidth="1" min="9" max="9"/>
    <col width="12" customWidth="1" min="10" max="10"/>
    <col width="13" customWidth="1" min="11" max="11"/>
    <col width="12" customWidth="1" min="12" max="12"/>
    <col width="12" customWidth="1" min="13" max="13"/>
    <col width="12" customWidth="1" min="14" max="14"/>
    <col width="13" customWidth="1" min="15" max="15"/>
    <col width="14" customWidth="1" min="16" max="16"/>
    <col width="15" customWidth="1" min="17" max="17"/>
    <col width="13" customWidth="1" min="18" max="18"/>
  </cols>
  <sheetData>
    <row r="1" ht="26" customHeight="1">
      <c r="A1" s="1" t="inlineStr">
        <is>
          <t>36-MONTH CASH FLOW  —  Sept 2026 through Aug 2029</t>
        </is>
      </c>
      <c r="B1" s="2" t="n"/>
      <c r="C1" s="2" t="n"/>
      <c r="D1" s="2" t="n"/>
      <c r="E1" s="2" t="n"/>
      <c r="F1" s="2" t="n"/>
      <c r="G1" s="2" t="n"/>
      <c r="H1" s="2" t="n"/>
      <c r="I1" s="2" t="n"/>
      <c r="J1" s="2" t="n"/>
      <c r="K1" s="2" t="n"/>
      <c r="L1" s="2" t="n"/>
      <c r="M1" s="2" t="n"/>
      <c r="N1" s="2" t="n"/>
      <c r="O1" s="2" t="n"/>
      <c r="P1" s="2" t="n"/>
      <c r="Q1" s="2" t="n"/>
      <c r="R1" s="2" t="n"/>
    </row>
    <row r="2" ht="15" customHeight="1">
      <c r="A2" s="3" t="inlineStr">
        <is>
          <t>Past/current months use your Deal Log. Future months use the ACTIVE SCENARIO on Inputs. Logged pipeline always overrides the forecast for that month.</t>
        </is>
      </c>
      <c r="B2" s="2" t="n"/>
      <c r="C2" s="2" t="n"/>
      <c r="D2" s="2" t="n"/>
      <c r="E2" s="2" t="n"/>
      <c r="F2" s="2" t="n"/>
      <c r="G2" s="2" t="n"/>
      <c r="H2" s="2" t="n"/>
      <c r="I2" s="2" t="n"/>
      <c r="J2" s="2" t="n"/>
      <c r="K2" s="2" t="n"/>
      <c r="L2" s="2" t="n"/>
      <c r="M2" s="2" t="n"/>
      <c r="N2" s="2" t="n"/>
      <c r="O2" s="2" t="n"/>
      <c r="P2" s="2" t="n"/>
      <c r="Q2" s="2" t="n"/>
      <c r="R2" s="2" t="n"/>
    </row>
    <row r="4">
      <c r="A4" s="46" t="inlineStr">
        <is>
          <t>Opening advance balance owed (recoverable case):</t>
        </is>
      </c>
      <c r="E4" s="76">
        <f>IF(Inputs!$C$17="Yes",MAX(0,Inputs!$C$24-SUMIFS('Deal Log'!$G$8:$G$257,'Deal Log'!$A$8:$A$257,"&lt;="&amp;Inputs!$C$7,'Deal Log'!$I$8:$I$257,"Funded")),0)</f>
        <v/>
      </c>
      <c r="F4" s="53">
        <f> draws taken to date less commissions already credited. Zero if the draw is non-recoverable.</f>
        <v/>
      </c>
    </row>
    <row r="5">
      <c r="A5" s="46" t="inlineStr">
        <is>
          <t>Active scenario:</t>
        </is>
      </c>
      <c r="C5" s="117">
        <f>Inputs!$C$98</f>
        <v/>
      </c>
      <c r="D5" s="53">
        <f>Inputs!$C$99&amp;" loans/mo x $"&amp;TEXT(Inputs!$C$94,"#,##0")&amp;" = "&amp;TEXT(Inputs!$C$101,"$#,##0")&amp;"/mo commission"</f>
        <v/>
      </c>
    </row>
    <row r="8" ht="30" customHeight="1">
      <c r="A8" s="55" t="inlineStr">
        <is>
          <t>Month</t>
        </is>
      </c>
      <c r="B8" s="55" t="inlineStr">
        <is>
          <t>Draws
in mo</t>
        </is>
      </c>
      <c r="C8" s="55" t="inlineStr">
        <is>
          <t>Draw
income</t>
        </is>
      </c>
      <c r="D8" s="55" t="inlineStr">
        <is>
          <t>Commission
(actual/fcst)</t>
        </is>
      </c>
      <c r="E8" s="55" t="inlineStr">
        <is>
          <t>Opening
advance</t>
        </is>
      </c>
      <c r="F8" s="55" t="inlineStr">
        <is>
          <t>Advance
added</t>
        </is>
      </c>
      <c r="G8" s="55" t="inlineStr">
        <is>
          <t>Recapture</t>
        </is>
      </c>
      <c r="H8" s="55" t="inlineStr">
        <is>
          <t>Closing
advance</t>
        </is>
      </c>
      <c r="I8" s="55" t="inlineStr">
        <is>
          <t>NET CASH
INCOME</t>
        </is>
      </c>
      <c r="J8" s="55" t="inlineStr">
        <is>
          <t>Tax
reserve</t>
        </is>
      </c>
      <c r="K8" s="55" t="inlineStr">
        <is>
          <t>After-tax
cash in</t>
        </is>
      </c>
      <c r="L8" s="55" t="inlineStr">
        <is>
          <t>Fixed
costs</t>
        </is>
      </c>
      <c r="M8" s="55" t="inlineStr">
        <is>
          <t>Variable
costs</t>
        </is>
      </c>
      <c r="N8" s="55" t="inlineStr">
        <is>
          <t>Marketing</t>
        </is>
      </c>
      <c r="O8" s="55" t="inlineStr">
        <is>
          <t>TOTAL
OUT</t>
        </is>
      </c>
      <c r="P8" s="55" t="inlineStr">
        <is>
          <t>NET
SURPLUS</t>
        </is>
      </c>
      <c r="Q8" s="55" t="inlineStr">
        <is>
          <t>CUMULATIVE
SURPLUS</t>
        </is>
      </c>
      <c r="R8" s="55" t="inlineStr">
        <is>
          <t>Cert auto
transfer</t>
        </is>
      </c>
    </row>
    <row r="9">
      <c r="A9" s="118">
        <f>EOMONTH(Inputs!$C$7,0)</f>
        <v/>
      </c>
      <c r="B9" s="79">
        <f>COUNTIFS('Draw Recovery'!$B$9:$B$116,"&gt;="&amp;EOMONTH(A9,-1)+1,'Draw Recovery'!$B$9:$B$116,"&lt;="&amp;A9)</f>
        <v/>
      </c>
      <c r="C9" s="61">
        <f>B9*Inputs!$C$12</f>
        <v/>
      </c>
      <c r="D9" s="61">
        <f>IF(SUMIFS('Deal Log'!$G$8:$G$257,'Deal Log'!$L$8:$L$257,A9,'Deal Log'!$I$8:$I$257,"Funded")+SUMIFS('Deal Log'!$K$8:$K$257,'Deal Log'!$L$8:$L$257,A9,'Deal Log'!$I$8:$I$257,"Locked")+SUMIFS('Deal Log'!$K$8:$K$257,'Deal Log'!$L$8:$L$257,A9,'Deal Log'!$I$8:$I$257,"Pre-App")&gt;0,SUMIFS('Deal Log'!$G$8:$G$257,'Deal Log'!$L$8:$L$257,A9,'Deal Log'!$I$8:$I$257,"Funded")+SUMIFS('Deal Log'!$K$8:$K$257,'Deal Log'!$L$8:$L$257,A9,'Deal Log'!$I$8:$I$257,"Locked")+SUMIFS('Deal Log'!$K$8:$K$257,'Deal Log'!$L$8:$L$257,A9,'Deal Log'!$I$8:$I$257,"Pre-App"),Inputs!$C$101)</f>
        <v/>
      </c>
      <c r="E9" s="61">
        <f>$E$4</f>
        <v/>
      </c>
      <c r="F9" s="61">
        <f>IF(Inputs!$C$17="Yes",C9,0)+IF(Inputs!$C$19="Recoverable",Inputs!$C$34,0)</f>
        <v/>
      </c>
      <c r="G9" s="61">
        <f>MIN(E9+F9,D9)</f>
        <v/>
      </c>
      <c r="H9" s="61">
        <f>MAX(0,E9+F9-D9)</f>
        <v/>
      </c>
      <c r="I9" s="50">
        <f>IF(Inputs!$C$17="Yes",C9+MAX(0,D9-(E9+F9)),IF(Inputs!$C$18="Stacked",C9+D9,MAX(C9,D9)))</f>
        <v/>
      </c>
      <c r="J9" s="61">
        <f>IF(Inputs!$C$20="1099",I9*Inputs!$C$74,0)</f>
        <v/>
      </c>
      <c r="K9" s="61">
        <f>I9-J9</f>
        <v/>
      </c>
      <c r="L9" s="81">
        <f>'Monthly Budget'!$C$14</f>
        <v/>
      </c>
      <c r="M9" s="81">
        <f>'Monthly Budget'!$C$23</f>
        <v/>
      </c>
      <c r="N9" s="81">
        <f>'Monthly Budget'!$C$27</f>
        <v/>
      </c>
      <c r="O9" s="61">
        <f>L9+M9+N9</f>
        <v/>
      </c>
      <c r="P9" s="51">
        <f>K9-O9</f>
        <v/>
      </c>
      <c r="Q9" s="82">
        <f>P9</f>
        <v/>
      </c>
      <c r="R9" s="81">
        <f>IF(COUNTIFS('Certificate Ladder'!$B$8:$B$40,"&gt;="&amp;EOMONTH(A9,-1)+1,'Certificate Ladder'!$B$8:$B$40,"&lt;="&amp;A9)&gt;0,Inputs!$C$59,0)</f>
        <v/>
      </c>
    </row>
    <row r="10">
      <c r="A10" s="67">
        <f>EOMONTH(A9,1)</f>
        <v/>
      </c>
      <c r="B10" s="84">
        <f>COUNTIFS('Draw Recovery'!$B$9:$B$116,"&gt;="&amp;EOMONTH(A10,-1)+1,'Draw Recovery'!$B$9:$B$116,"&lt;="&amp;A10)</f>
        <v/>
      </c>
      <c r="C10" s="66">
        <f>B10*Inputs!$C$12</f>
        <v/>
      </c>
      <c r="D10" s="66">
        <f>IF(SUMIFS('Deal Log'!$G$8:$G$257,'Deal Log'!$L$8:$L$257,A10,'Deal Log'!$I$8:$I$257,"Funded")+SUMIFS('Deal Log'!$K$8:$K$257,'Deal Log'!$L$8:$L$257,A10,'Deal Log'!$I$8:$I$257,"Locked")+SUMIFS('Deal Log'!$K$8:$K$257,'Deal Log'!$L$8:$L$257,A10,'Deal Log'!$I$8:$I$257,"Pre-App")&gt;0,SUMIFS('Deal Log'!$G$8:$G$257,'Deal Log'!$L$8:$L$257,A10,'Deal Log'!$I$8:$I$257,"Funded")+SUMIFS('Deal Log'!$K$8:$K$257,'Deal Log'!$L$8:$L$257,A10,'Deal Log'!$I$8:$I$257,"Locked")+SUMIFS('Deal Log'!$K$8:$K$257,'Deal Log'!$L$8:$L$257,A10,'Deal Log'!$I$8:$I$257,"Pre-App"),Inputs!$C$101)</f>
        <v/>
      </c>
      <c r="E10" s="66">
        <f>H9</f>
        <v/>
      </c>
      <c r="F10" s="66">
        <f>IF(Inputs!$C$17="Yes",C10,0)+IF(Inputs!$C$19="Recoverable",Inputs!$C$34,0)</f>
        <v/>
      </c>
      <c r="G10" s="66">
        <f>MIN(E10+F10,D10)</f>
        <v/>
      </c>
      <c r="H10" s="66">
        <f>MAX(0,E10+F10-D10)</f>
        <v/>
      </c>
      <c r="I10" s="50">
        <f>IF(Inputs!$C$17="Yes",C10+MAX(0,D10-(E10+F10)),IF(Inputs!$C$18="Stacked",C10+D10,MAX(C10,D10)))</f>
        <v/>
      </c>
      <c r="J10" s="66">
        <f>IF(Inputs!$C$20="1099",I10*Inputs!$C$74,0)</f>
        <v/>
      </c>
      <c r="K10" s="66">
        <f>I10-J10</f>
        <v/>
      </c>
      <c r="L10" s="86">
        <f>'Monthly Budget'!$C$14</f>
        <v/>
      </c>
      <c r="M10" s="86">
        <f>'Monthly Budget'!$C$23</f>
        <v/>
      </c>
      <c r="N10" s="86">
        <f>'Monthly Budget'!$C$27</f>
        <v/>
      </c>
      <c r="O10" s="66">
        <f>L10+M10+N10</f>
        <v/>
      </c>
      <c r="P10" s="51">
        <f>K10-O10</f>
        <v/>
      </c>
      <c r="Q10" s="87">
        <f>Q9+P10</f>
        <v/>
      </c>
      <c r="R10" s="86">
        <f>IF(COUNTIFS('Certificate Ladder'!$B$8:$B$40,"&gt;="&amp;EOMONTH(A10,-1)+1,'Certificate Ladder'!$B$8:$B$40,"&lt;="&amp;A10)&gt;0,Inputs!$C$59,0)</f>
        <v/>
      </c>
    </row>
    <row r="11">
      <c r="A11" s="64">
        <f>EOMONTH(A10,1)</f>
        <v/>
      </c>
      <c r="B11" s="79">
        <f>COUNTIFS('Draw Recovery'!$B$9:$B$116,"&gt;="&amp;EOMONTH(A11,-1)+1,'Draw Recovery'!$B$9:$B$116,"&lt;="&amp;A11)</f>
        <v/>
      </c>
      <c r="C11" s="61">
        <f>B11*Inputs!$C$12</f>
        <v/>
      </c>
      <c r="D11" s="61">
        <f>IF(SUMIFS('Deal Log'!$G$8:$G$257,'Deal Log'!$L$8:$L$257,A11,'Deal Log'!$I$8:$I$257,"Funded")+SUMIFS('Deal Log'!$K$8:$K$257,'Deal Log'!$L$8:$L$257,A11,'Deal Log'!$I$8:$I$257,"Locked")+SUMIFS('Deal Log'!$K$8:$K$257,'Deal Log'!$L$8:$L$257,A11,'Deal Log'!$I$8:$I$257,"Pre-App")&gt;0,SUMIFS('Deal Log'!$G$8:$G$257,'Deal Log'!$L$8:$L$257,A11,'Deal Log'!$I$8:$I$257,"Funded")+SUMIFS('Deal Log'!$K$8:$K$257,'Deal Log'!$L$8:$L$257,A11,'Deal Log'!$I$8:$I$257,"Locked")+SUMIFS('Deal Log'!$K$8:$K$257,'Deal Log'!$L$8:$L$257,A11,'Deal Log'!$I$8:$I$257,"Pre-App"),Inputs!$C$101)</f>
        <v/>
      </c>
      <c r="E11" s="61">
        <f>H10</f>
        <v/>
      </c>
      <c r="F11" s="61">
        <f>IF(Inputs!$C$17="Yes",C11,0)+IF(Inputs!$C$19="Recoverable",Inputs!$C$34,0)</f>
        <v/>
      </c>
      <c r="G11" s="61">
        <f>MIN(E11+F11,D11)</f>
        <v/>
      </c>
      <c r="H11" s="61">
        <f>MAX(0,E11+F11-D11)</f>
        <v/>
      </c>
      <c r="I11" s="50">
        <f>IF(Inputs!$C$17="Yes",C11+MAX(0,D11-(E11+F11)),IF(Inputs!$C$18="Stacked",C11+D11,MAX(C11,D11)))</f>
        <v/>
      </c>
      <c r="J11" s="61">
        <f>IF(Inputs!$C$20="1099",I11*Inputs!$C$74,0)</f>
        <v/>
      </c>
      <c r="K11" s="61">
        <f>I11-J11</f>
        <v/>
      </c>
      <c r="L11" s="81">
        <f>'Monthly Budget'!$C$14</f>
        <v/>
      </c>
      <c r="M11" s="81">
        <f>'Monthly Budget'!$C$23</f>
        <v/>
      </c>
      <c r="N11" s="81">
        <f>'Monthly Budget'!$C$27</f>
        <v/>
      </c>
      <c r="O11" s="61">
        <f>L11+M11+N11</f>
        <v/>
      </c>
      <c r="P11" s="51">
        <f>K11-O11</f>
        <v/>
      </c>
      <c r="Q11" s="82">
        <f>Q10+P11</f>
        <v/>
      </c>
      <c r="R11" s="81">
        <f>IF(COUNTIFS('Certificate Ladder'!$B$8:$B$40,"&gt;="&amp;EOMONTH(A11,-1)+1,'Certificate Ladder'!$B$8:$B$40,"&lt;="&amp;A11)&gt;0,Inputs!$C$59,0)</f>
        <v/>
      </c>
    </row>
    <row r="12">
      <c r="A12" s="67">
        <f>EOMONTH(A11,1)</f>
        <v/>
      </c>
      <c r="B12" s="84">
        <f>COUNTIFS('Draw Recovery'!$B$9:$B$116,"&gt;="&amp;EOMONTH(A12,-1)+1,'Draw Recovery'!$B$9:$B$116,"&lt;="&amp;A12)</f>
        <v/>
      </c>
      <c r="C12" s="66">
        <f>B12*Inputs!$C$12</f>
        <v/>
      </c>
      <c r="D12" s="66">
        <f>IF(SUMIFS('Deal Log'!$G$8:$G$257,'Deal Log'!$L$8:$L$257,A12,'Deal Log'!$I$8:$I$257,"Funded")+SUMIFS('Deal Log'!$K$8:$K$257,'Deal Log'!$L$8:$L$257,A12,'Deal Log'!$I$8:$I$257,"Locked")+SUMIFS('Deal Log'!$K$8:$K$257,'Deal Log'!$L$8:$L$257,A12,'Deal Log'!$I$8:$I$257,"Pre-App")&gt;0,SUMIFS('Deal Log'!$G$8:$G$257,'Deal Log'!$L$8:$L$257,A12,'Deal Log'!$I$8:$I$257,"Funded")+SUMIFS('Deal Log'!$K$8:$K$257,'Deal Log'!$L$8:$L$257,A12,'Deal Log'!$I$8:$I$257,"Locked")+SUMIFS('Deal Log'!$K$8:$K$257,'Deal Log'!$L$8:$L$257,A12,'Deal Log'!$I$8:$I$257,"Pre-App"),Inputs!$C$101)</f>
        <v/>
      </c>
      <c r="E12" s="66">
        <f>H11</f>
        <v/>
      </c>
      <c r="F12" s="66">
        <f>IF(Inputs!$C$17="Yes",C12,0)+IF(Inputs!$C$19="Recoverable",Inputs!$C$34,0)</f>
        <v/>
      </c>
      <c r="G12" s="66">
        <f>MIN(E12+F12,D12)</f>
        <v/>
      </c>
      <c r="H12" s="66">
        <f>MAX(0,E12+F12-D12)</f>
        <v/>
      </c>
      <c r="I12" s="50">
        <f>IF(Inputs!$C$17="Yes",C12+MAX(0,D12-(E12+F12)),IF(Inputs!$C$18="Stacked",C12+D12,MAX(C12,D12)))</f>
        <v/>
      </c>
      <c r="J12" s="66">
        <f>IF(Inputs!$C$20="1099",I12*Inputs!$C$74,0)</f>
        <v/>
      </c>
      <c r="K12" s="66">
        <f>I12-J12</f>
        <v/>
      </c>
      <c r="L12" s="86">
        <f>'Monthly Budget'!$C$14</f>
        <v/>
      </c>
      <c r="M12" s="86">
        <f>'Monthly Budget'!$C$23</f>
        <v/>
      </c>
      <c r="N12" s="86">
        <f>'Monthly Budget'!$C$27</f>
        <v/>
      </c>
      <c r="O12" s="66">
        <f>L12+M12+N12</f>
        <v/>
      </c>
      <c r="P12" s="51">
        <f>K12-O12</f>
        <v/>
      </c>
      <c r="Q12" s="87">
        <f>Q11+P12</f>
        <v/>
      </c>
      <c r="R12" s="86">
        <f>IF(COUNTIFS('Certificate Ladder'!$B$8:$B$40,"&gt;="&amp;EOMONTH(A12,-1)+1,'Certificate Ladder'!$B$8:$B$40,"&lt;="&amp;A12)&gt;0,Inputs!$C$59,0)</f>
        <v/>
      </c>
    </row>
    <row r="13">
      <c r="A13" s="64">
        <f>EOMONTH(A12,1)</f>
        <v/>
      </c>
      <c r="B13" s="79">
        <f>COUNTIFS('Draw Recovery'!$B$9:$B$116,"&gt;="&amp;EOMONTH(A13,-1)+1,'Draw Recovery'!$B$9:$B$116,"&lt;="&amp;A13)</f>
        <v/>
      </c>
      <c r="C13" s="61">
        <f>B13*Inputs!$C$12</f>
        <v/>
      </c>
      <c r="D13" s="61">
        <f>IF(SUMIFS('Deal Log'!$G$8:$G$257,'Deal Log'!$L$8:$L$257,A13,'Deal Log'!$I$8:$I$257,"Funded")+SUMIFS('Deal Log'!$K$8:$K$257,'Deal Log'!$L$8:$L$257,A13,'Deal Log'!$I$8:$I$257,"Locked")+SUMIFS('Deal Log'!$K$8:$K$257,'Deal Log'!$L$8:$L$257,A13,'Deal Log'!$I$8:$I$257,"Pre-App")&gt;0,SUMIFS('Deal Log'!$G$8:$G$257,'Deal Log'!$L$8:$L$257,A13,'Deal Log'!$I$8:$I$257,"Funded")+SUMIFS('Deal Log'!$K$8:$K$257,'Deal Log'!$L$8:$L$257,A13,'Deal Log'!$I$8:$I$257,"Locked")+SUMIFS('Deal Log'!$K$8:$K$257,'Deal Log'!$L$8:$L$257,A13,'Deal Log'!$I$8:$I$257,"Pre-App"),Inputs!$C$101)</f>
        <v/>
      </c>
      <c r="E13" s="61">
        <f>H12</f>
        <v/>
      </c>
      <c r="F13" s="61">
        <f>IF(Inputs!$C$17="Yes",C13,0)+IF(Inputs!$C$19="Recoverable",Inputs!$C$34,0)</f>
        <v/>
      </c>
      <c r="G13" s="61">
        <f>MIN(E13+F13,D13)</f>
        <v/>
      </c>
      <c r="H13" s="61">
        <f>MAX(0,E13+F13-D13)</f>
        <v/>
      </c>
      <c r="I13" s="50">
        <f>IF(Inputs!$C$17="Yes",C13+MAX(0,D13-(E13+F13)),IF(Inputs!$C$18="Stacked",C13+D13,MAX(C13,D13)))</f>
        <v/>
      </c>
      <c r="J13" s="61">
        <f>IF(Inputs!$C$20="1099",I13*Inputs!$C$74,0)</f>
        <v/>
      </c>
      <c r="K13" s="61">
        <f>I13-J13</f>
        <v/>
      </c>
      <c r="L13" s="81">
        <f>'Monthly Budget'!$C$14</f>
        <v/>
      </c>
      <c r="M13" s="81">
        <f>'Monthly Budget'!$C$23</f>
        <v/>
      </c>
      <c r="N13" s="81">
        <f>'Monthly Budget'!$C$27</f>
        <v/>
      </c>
      <c r="O13" s="61">
        <f>L13+M13+N13</f>
        <v/>
      </c>
      <c r="P13" s="51">
        <f>K13-O13</f>
        <v/>
      </c>
      <c r="Q13" s="82">
        <f>Q12+P13</f>
        <v/>
      </c>
      <c r="R13" s="81">
        <f>IF(COUNTIFS('Certificate Ladder'!$B$8:$B$40,"&gt;="&amp;EOMONTH(A13,-1)+1,'Certificate Ladder'!$B$8:$B$40,"&lt;="&amp;A13)&gt;0,Inputs!$C$59,0)</f>
        <v/>
      </c>
    </row>
    <row r="14">
      <c r="A14" s="67">
        <f>EOMONTH(A13,1)</f>
        <v/>
      </c>
      <c r="B14" s="84">
        <f>COUNTIFS('Draw Recovery'!$B$9:$B$116,"&gt;="&amp;EOMONTH(A14,-1)+1,'Draw Recovery'!$B$9:$B$116,"&lt;="&amp;A14)</f>
        <v/>
      </c>
      <c r="C14" s="66">
        <f>B14*Inputs!$C$12</f>
        <v/>
      </c>
      <c r="D14" s="66">
        <f>IF(SUMIFS('Deal Log'!$G$8:$G$257,'Deal Log'!$L$8:$L$257,A14,'Deal Log'!$I$8:$I$257,"Funded")+SUMIFS('Deal Log'!$K$8:$K$257,'Deal Log'!$L$8:$L$257,A14,'Deal Log'!$I$8:$I$257,"Locked")+SUMIFS('Deal Log'!$K$8:$K$257,'Deal Log'!$L$8:$L$257,A14,'Deal Log'!$I$8:$I$257,"Pre-App")&gt;0,SUMIFS('Deal Log'!$G$8:$G$257,'Deal Log'!$L$8:$L$257,A14,'Deal Log'!$I$8:$I$257,"Funded")+SUMIFS('Deal Log'!$K$8:$K$257,'Deal Log'!$L$8:$L$257,A14,'Deal Log'!$I$8:$I$257,"Locked")+SUMIFS('Deal Log'!$K$8:$K$257,'Deal Log'!$L$8:$L$257,A14,'Deal Log'!$I$8:$I$257,"Pre-App"),Inputs!$C$101)</f>
        <v/>
      </c>
      <c r="E14" s="66">
        <f>H13</f>
        <v/>
      </c>
      <c r="F14" s="66">
        <f>IF(Inputs!$C$17="Yes",C14,0)+IF(Inputs!$C$19="Recoverable",Inputs!$C$34,0)</f>
        <v/>
      </c>
      <c r="G14" s="66">
        <f>MIN(E14+F14,D14)</f>
        <v/>
      </c>
      <c r="H14" s="66">
        <f>MAX(0,E14+F14-D14)</f>
        <v/>
      </c>
      <c r="I14" s="50">
        <f>IF(Inputs!$C$17="Yes",C14+MAX(0,D14-(E14+F14)),IF(Inputs!$C$18="Stacked",C14+D14,MAX(C14,D14)))</f>
        <v/>
      </c>
      <c r="J14" s="66">
        <f>IF(Inputs!$C$20="1099",I14*Inputs!$C$74,0)</f>
        <v/>
      </c>
      <c r="K14" s="66">
        <f>I14-J14</f>
        <v/>
      </c>
      <c r="L14" s="86">
        <f>'Monthly Budget'!$C$14</f>
        <v/>
      </c>
      <c r="M14" s="86">
        <f>'Monthly Budget'!$C$23</f>
        <v/>
      </c>
      <c r="N14" s="86">
        <f>'Monthly Budget'!$C$27</f>
        <v/>
      </c>
      <c r="O14" s="66">
        <f>L14+M14+N14</f>
        <v/>
      </c>
      <c r="P14" s="51">
        <f>K14-O14</f>
        <v/>
      </c>
      <c r="Q14" s="87">
        <f>Q13+P14</f>
        <v/>
      </c>
      <c r="R14" s="86">
        <f>IF(COUNTIFS('Certificate Ladder'!$B$8:$B$40,"&gt;="&amp;EOMONTH(A14,-1)+1,'Certificate Ladder'!$B$8:$B$40,"&lt;="&amp;A14)&gt;0,Inputs!$C$59,0)</f>
        <v/>
      </c>
    </row>
    <row r="15">
      <c r="A15" s="64">
        <f>EOMONTH(A14,1)</f>
        <v/>
      </c>
      <c r="B15" s="79">
        <f>COUNTIFS('Draw Recovery'!$B$9:$B$116,"&gt;="&amp;EOMONTH(A15,-1)+1,'Draw Recovery'!$B$9:$B$116,"&lt;="&amp;A15)</f>
        <v/>
      </c>
      <c r="C15" s="61">
        <f>B15*Inputs!$C$12</f>
        <v/>
      </c>
      <c r="D15" s="61">
        <f>IF(SUMIFS('Deal Log'!$G$8:$G$257,'Deal Log'!$L$8:$L$257,A15,'Deal Log'!$I$8:$I$257,"Funded")+SUMIFS('Deal Log'!$K$8:$K$257,'Deal Log'!$L$8:$L$257,A15,'Deal Log'!$I$8:$I$257,"Locked")+SUMIFS('Deal Log'!$K$8:$K$257,'Deal Log'!$L$8:$L$257,A15,'Deal Log'!$I$8:$I$257,"Pre-App")&gt;0,SUMIFS('Deal Log'!$G$8:$G$257,'Deal Log'!$L$8:$L$257,A15,'Deal Log'!$I$8:$I$257,"Funded")+SUMIFS('Deal Log'!$K$8:$K$257,'Deal Log'!$L$8:$L$257,A15,'Deal Log'!$I$8:$I$257,"Locked")+SUMIFS('Deal Log'!$K$8:$K$257,'Deal Log'!$L$8:$L$257,A15,'Deal Log'!$I$8:$I$257,"Pre-App"),Inputs!$C$101)</f>
        <v/>
      </c>
      <c r="E15" s="61">
        <f>H14</f>
        <v/>
      </c>
      <c r="F15" s="61">
        <f>IF(Inputs!$C$17="Yes",C15,0)+IF(Inputs!$C$19="Recoverable",Inputs!$C$34,0)</f>
        <v/>
      </c>
      <c r="G15" s="61">
        <f>MIN(E15+F15,D15)</f>
        <v/>
      </c>
      <c r="H15" s="61">
        <f>MAX(0,E15+F15-D15)</f>
        <v/>
      </c>
      <c r="I15" s="50">
        <f>IF(Inputs!$C$17="Yes",C15+MAX(0,D15-(E15+F15)),IF(Inputs!$C$18="Stacked",C15+D15,MAX(C15,D15)))</f>
        <v/>
      </c>
      <c r="J15" s="61">
        <f>IF(Inputs!$C$20="1099",I15*Inputs!$C$74,0)</f>
        <v/>
      </c>
      <c r="K15" s="61">
        <f>I15-J15</f>
        <v/>
      </c>
      <c r="L15" s="81">
        <f>'Monthly Budget'!$C$14</f>
        <v/>
      </c>
      <c r="M15" s="81">
        <f>'Monthly Budget'!$C$23</f>
        <v/>
      </c>
      <c r="N15" s="81">
        <f>'Monthly Budget'!$C$27</f>
        <v/>
      </c>
      <c r="O15" s="61">
        <f>L15+M15+N15</f>
        <v/>
      </c>
      <c r="P15" s="51">
        <f>K15-O15</f>
        <v/>
      </c>
      <c r="Q15" s="82">
        <f>Q14+P15</f>
        <v/>
      </c>
      <c r="R15" s="81">
        <f>IF(COUNTIFS('Certificate Ladder'!$B$8:$B$40,"&gt;="&amp;EOMONTH(A15,-1)+1,'Certificate Ladder'!$B$8:$B$40,"&lt;="&amp;A15)&gt;0,Inputs!$C$59,0)</f>
        <v/>
      </c>
    </row>
    <row r="16">
      <c r="A16" s="67">
        <f>EOMONTH(A15,1)</f>
        <v/>
      </c>
      <c r="B16" s="84">
        <f>COUNTIFS('Draw Recovery'!$B$9:$B$116,"&gt;="&amp;EOMONTH(A16,-1)+1,'Draw Recovery'!$B$9:$B$116,"&lt;="&amp;A16)</f>
        <v/>
      </c>
      <c r="C16" s="66">
        <f>B16*Inputs!$C$12</f>
        <v/>
      </c>
      <c r="D16" s="66">
        <f>IF(SUMIFS('Deal Log'!$G$8:$G$257,'Deal Log'!$L$8:$L$257,A16,'Deal Log'!$I$8:$I$257,"Funded")+SUMIFS('Deal Log'!$K$8:$K$257,'Deal Log'!$L$8:$L$257,A16,'Deal Log'!$I$8:$I$257,"Locked")+SUMIFS('Deal Log'!$K$8:$K$257,'Deal Log'!$L$8:$L$257,A16,'Deal Log'!$I$8:$I$257,"Pre-App")&gt;0,SUMIFS('Deal Log'!$G$8:$G$257,'Deal Log'!$L$8:$L$257,A16,'Deal Log'!$I$8:$I$257,"Funded")+SUMIFS('Deal Log'!$K$8:$K$257,'Deal Log'!$L$8:$L$257,A16,'Deal Log'!$I$8:$I$257,"Locked")+SUMIFS('Deal Log'!$K$8:$K$257,'Deal Log'!$L$8:$L$257,A16,'Deal Log'!$I$8:$I$257,"Pre-App"),Inputs!$C$101)</f>
        <v/>
      </c>
      <c r="E16" s="66">
        <f>H15</f>
        <v/>
      </c>
      <c r="F16" s="66">
        <f>IF(Inputs!$C$17="Yes",C16,0)+IF(Inputs!$C$19="Recoverable",Inputs!$C$34,0)</f>
        <v/>
      </c>
      <c r="G16" s="66">
        <f>MIN(E16+F16,D16)</f>
        <v/>
      </c>
      <c r="H16" s="66">
        <f>MAX(0,E16+F16-D16)</f>
        <v/>
      </c>
      <c r="I16" s="50">
        <f>IF(Inputs!$C$17="Yes",C16+MAX(0,D16-(E16+F16)),IF(Inputs!$C$18="Stacked",C16+D16,MAX(C16,D16)))</f>
        <v/>
      </c>
      <c r="J16" s="66">
        <f>IF(Inputs!$C$20="1099",I16*Inputs!$C$74,0)</f>
        <v/>
      </c>
      <c r="K16" s="66">
        <f>I16-J16</f>
        <v/>
      </c>
      <c r="L16" s="86">
        <f>'Monthly Budget'!$C$14</f>
        <v/>
      </c>
      <c r="M16" s="86">
        <f>'Monthly Budget'!$C$23</f>
        <v/>
      </c>
      <c r="N16" s="86">
        <f>'Monthly Budget'!$C$27</f>
        <v/>
      </c>
      <c r="O16" s="66">
        <f>L16+M16+N16</f>
        <v/>
      </c>
      <c r="P16" s="51">
        <f>K16-O16</f>
        <v/>
      </c>
      <c r="Q16" s="87">
        <f>Q15+P16</f>
        <v/>
      </c>
      <c r="R16" s="86">
        <f>IF(COUNTIFS('Certificate Ladder'!$B$8:$B$40,"&gt;="&amp;EOMONTH(A16,-1)+1,'Certificate Ladder'!$B$8:$B$40,"&lt;="&amp;A16)&gt;0,Inputs!$C$59,0)</f>
        <v/>
      </c>
    </row>
    <row r="17">
      <c r="A17" s="64">
        <f>EOMONTH(A16,1)</f>
        <v/>
      </c>
      <c r="B17" s="79">
        <f>COUNTIFS('Draw Recovery'!$B$9:$B$116,"&gt;="&amp;EOMONTH(A17,-1)+1,'Draw Recovery'!$B$9:$B$116,"&lt;="&amp;A17)</f>
        <v/>
      </c>
      <c r="C17" s="61">
        <f>B17*Inputs!$C$12</f>
        <v/>
      </c>
      <c r="D17" s="61">
        <f>IF(SUMIFS('Deal Log'!$G$8:$G$257,'Deal Log'!$L$8:$L$257,A17,'Deal Log'!$I$8:$I$257,"Funded")+SUMIFS('Deal Log'!$K$8:$K$257,'Deal Log'!$L$8:$L$257,A17,'Deal Log'!$I$8:$I$257,"Locked")+SUMIFS('Deal Log'!$K$8:$K$257,'Deal Log'!$L$8:$L$257,A17,'Deal Log'!$I$8:$I$257,"Pre-App")&gt;0,SUMIFS('Deal Log'!$G$8:$G$257,'Deal Log'!$L$8:$L$257,A17,'Deal Log'!$I$8:$I$257,"Funded")+SUMIFS('Deal Log'!$K$8:$K$257,'Deal Log'!$L$8:$L$257,A17,'Deal Log'!$I$8:$I$257,"Locked")+SUMIFS('Deal Log'!$K$8:$K$257,'Deal Log'!$L$8:$L$257,A17,'Deal Log'!$I$8:$I$257,"Pre-App"),Inputs!$C$101)</f>
        <v/>
      </c>
      <c r="E17" s="61">
        <f>H16</f>
        <v/>
      </c>
      <c r="F17" s="61">
        <f>IF(Inputs!$C$17="Yes",C17,0)+IF(Inputs!$C$19="Recoverable",Inputs!$C$34,0)</f>
        <v/>
      </c>
      <c r="G17" s="61">
        <f>MIN(E17+F17,D17)</f>
        <v/>
      </c>
      <c r="H17" s="61">
        <f>MAX(0,E17+F17-D17)</f>
        <v/>
      </c>
      <c r="I17" s="50">
        <f>IF(Inputs!$C$17="Yes",C17+MAX(0,D17-(E17+F17)),IF(Inputs!$C$18="Stacked",C17+D17,MAX(C17,D17)))</f>
        <v/>
      </c>
      <c r="J17" s="61">
        <f>IF(Inputs!$C$20="1099",I17*Inputs!$C$74,0)</f>
        <v/>
      </c>
      <c r="K17" s="61">
        <f>I17-J17</f>
        <v/>
      </c>
      <c r="L17" s="81">
        <f>'Monthly Budget'!$C$14</f>
        <v/>
      </c>
      <c r="M17" s="81">
        <f>'Monthly Budget'!$C$23</f>
        <v/>
      </c>
      <c r="N17" s="81">
        <f>'Monthly Budget'!$C$27</f>
        <v/>
      </c>
      <c r="O17" s="61">
        <f>L17+M17+N17</f>
        <v/>
      </c>
      <c r="P17" s="51">
        <f>K17-O17</f>
        <v/>
      </c>
      <c r="Q17" s="82">
        <f>Q16+P17</f>
        <v/>
      </c>
      <c r="R17" s="81">
        <f>IF(COUNTIFS('Certificate Ladder'!$B$8:$B$40,"&gt;="&amp;EOMONTH(A17,-1)+1,'Certificate Ladder'!$B$8:$B$40,"&lt;="&amp;A17)&gt;0,Inputs!$C$59,0)</f>
        <v/>
      </c>
    </row>
    <row r="18">
      <c r="A18" s="67">
        <f>EOMONTH(A17,1)</f>
        <v/>
      </c>
      <c r="B18" s="84">
        <f>COUNTIFS('Draw Recovery'!$B$9:$B$116,"&gt;="&amp;EOMONTH(A18,-1)+1,'Draw Recovery'!$B$9:$B$116,"&lt;="&amp;A18)</f>
        <v/>
      </c>
      <c r="C18" s="66">
        <f>B18*Inputs!$C$12</f>
        <v/>
      </c>
      <c r="D18" s="66">
        <f>IF(SUMIFS('Deal Log'!$G$8:$G$257,'Deal Log'!$L$8:$L$257,A18,'Deal Log'!$I$8:$I$257,"Funded")+SUMIFS('Deal Log'!$K$8:$K$257,'Deal Log'!$L$8:$L$257,A18,'Deal Log'!$I$8:$I$257,"Locked")+SUMIFS('Deal Log'!$K$8:$K$257,'Deal Log'!$L$8:$L$257,A18,'Deal Log'!$I$8:$I$257,"Pre-App")&gt;0,SUMIFS('Deal Log'!$G$8:$G$257,'Deal Log'!$L$8:$L$257,A18,'Deal Log'!$I$8:$I$257,"Funded")+SUMIFS('Deal Log'!$K$8:$K$257,'Deal Log'!$L$8:$L$257,A18,'Deal Log'!$I$8:$I$257,"Locked")+SUMIFS('Deal Log'!$K$8:$K$257,'Deal Log'!$L$8:$L$257,A18,'Deal Log'!$I$8:$I$257,"Pre-App"),Inputs!$C$101)</f>
        <v/>
      </c>
      <c r="E18" s="66">
        <f>H17</f>
        <v/>
      </c>
      <c r="F18" s="66">
        <f>IF(Inputs!$C$17="Yes",C18,0)+IF(Inputs!$C$19="Recoverable",Inputs!$C$34,0)</f>
        <v/>
      </c>
      <c r="G18" s="66">
        <f>MIN(E18+F18,D18)</f>
        <v/>
      </c>
      <c r="H18" s="66">
        <f>MAX(0,E18+F18-D18)</f>
        <v/>
      </c>
      <c r="I18" s="50">
        <f>IF(Inputs!$C$17="Yes",C18+MAX(0,D18-(E18+F18)),IF(Inputs!$C$18="Stacked",C18+D18,MAX(C18,D18)))</f>
        <v/>
      </c>
      <c r="J18" s="66">
        <f>IF(Inputs!$C$20="1099",I18*Inputs!$C$74,0)</f>
        <v/>
      </c>
      <c r="K18" s="66">
        <f>I18-J18</f>
        <v/>
      </c>
      <c r="L18" s="86">
        <f>'Monthly Budget'!$C$14</f>
        <v/>
      </c>
      <c r="M18" s="86">
        <f>'Monthly Budget'!$C$23</f>
        <v/>
      </c>
      <c r="N18" s="86">
        <f>'Monthly Budget'!$C$27</f>
        <v/>
      </c>
      <c r="O18" s="66">
        <f>L18+M18+N18</f>
        <v/>
      </c>
      <c r="P18" s="51">
        <f>K18-O18</f>
        <v/>
      </c>
      <c r="Q18" s="87">
        <f>Q17+P18</f>
        <v/>
      </c>
      <c r="R18" s="86">
        <f>IF(COUNTIFS('Certificate Ladder'!$B$8:$B$40,"&gt;="&amp;EOMONTH(A18,-1)+1,'Certificate Ladder'!$B$8:$B$40,"&lt;="&amp;A18)&gt;0,Inputs!$C$59,0)</f>
        <v/>
      </c>
    </row>
    <row r="19">
      <c r="A19" s="64">
        <f>EOMONTH(A18,1)</f>
        <v/>
      </c>
      <c r="B19" s="79">
        <f>COUNTIFS('Draw Recovery'!$B$9:$B$116,"&gt;="&amp;EOMONTH(A19,-1)+1,'Draw Recovery'!$B$9:$B$116,"&lt;="&amp;A19)</f>
        <v/>
      </c>
      <c r="C19" s="61">
        <f>B19*Inputs!$C$12</f>
        <v/>
      </c>
      <c r="D19" s="61">
        <f>IF(SUMIFS('Deal Log'!$G$8:$G$257,'Deal Log'!$L$8:$L$257,A19,'Deal Log'!$I$8:$I$257,"Funded")+SUMIFS('Deal Log'!$K$8:$K$257,'Deal Log'!$L$8:$L$257,A19,'Deal Log'!$I$8:$I$257,"Locked")+SUMIFS('Deal Log'!$K$8:$K$257,'Deal Log'!$L$8:$L$257,A19,'Deal Log'!$I$8:$I$257,"Pre-App")&gt;0,SUMIFS('Deal Log'!$G$8:$G$257,'Deal Log'!$L$8:$L$257,A19,'Deal Log'!$I$8:$I$257,"Funded")+SUMIFS('Deal Log'!$K$8:$K$257,'Deal Log'!$L$8:$L$257,A19,'Deal Log'!$I$8:$I$257,"Locked")+SUMIFS('Deal Log'!$K$8:$K$257,'Deal Log'!$L$8:$L$257,A19,'Deal Log'!$I$8:$I$257,"Pre-App"),Inputs!$C$101)</f>
        <v/>
      </c>
      <c r="E19" s="61">
        <f>H18</f>
        <v/>
      </c>
      <c r="F19" s="61">
        <f>IF(Inputs!$C$17="Yes",C19,0)+IF(Inputs!$C$19="Recoverable",Inputs!$C$34,0)</f>
        <v/>
      </c>
      <c r="G19" s="61">
        <f>MIN(E19+F19,D19)</f>
        <v/>
      </c>
      <c r="H19" s="61">
        <f>MAX(0,E19+F19-D19)</f>
        <v/>
      </c>
      <c r="I19" s="50">
        <f>IF(Inputs!$C$17="Yes",C19+MAX(0,D19-(E19+F19)),IF(Inputs!$C$18="Stacked",C19+D19,MAX(C19,D19)))</f>
        <v/>
      </c>
      <c r="J19" s="61">
        <f>IF(Inputs!$C$20="1099",I19*Inputs!$C$74,0)</f>
        <v/>
      </c>
      <c r="K19" s="61">
        <f>I19-J19</f>
        <v/>
      </c>
      <c r="L19" s="81">
        <f>'Monthly Budget'!$C$14</f>
        <v/>
      </c>
      <c r="M19" s="81">
        <f>'Monthly Budget'!$C$23</f>
        <v/>
      </c>
      <c r="N19" s="81">
        <f>'Monthly Budget'!$C$27</f>
        <v/>
      </c>
      <c r="O19" s="61">
        <f>L19+M19+N19</f>
        <v/>
      </c>
      <c r="P19" s="51">
        <f>K19-O19</f>
        <v/>
      </c>
      <c r="Q19" s="82">
        <f>Q18+P19</f>
        <v/>
      </c>
      <c r="R19" s="81">
        <f>IF(COUNTIFS('Certificate Ladder'!$B$8:$B$40,"&gt;="&amp;EOMONTH(A19,-1)+1,'Certificate Ladder'!$B$8:$B$40,"&lt;="&amp;A19)&gt;0,Inputs!$C$59,0)</f>
        <v/>
      </c>
    </row>
    <row r="20">
      <c r="A20" s="67">
        <f>EOMONTH(A19,1)</f>
        <v/>
      </c>
      <c r="B20" s="84">
        <f>COUNTIFS('Draw Recovery'!$B$9:$B$116,"&gt;="&amp;EOMONTH(A20,-1)+1,'Draw Recovery'!$B$9:$B$116,"&lt;="&amp;A20)</f>
        <v/>
      </c>
      <c r="C20" s="66">
        <f>B20*Inputs!$C$12</f>
        <v/>
      </c>
      <c r="D20" s="66">
        <f>IF(SUMIFS('Deal Log'!$G$8:$G$257,'Deal Log'!$L$8:$L$257,A20,'Deal Log'!$I$8:$I$257,"Funded")+SUMIFS('Deal Log'!$K$8:$K$257,'Deal Log'!$L$8:$L$257,A20,'Deal Log'!$I$8:$I$257,"Locked")+SUMIFS('Deal Log'!$K$8:$K$257,'Deal Log'!$L$8:$L$257,A20,'Deal Log'!$I$8:$I$257,"Pre-App")&gt;0,SUMIFS('Deal Log'!$G$8:$G$257,'Deal Log'!$L$8:$L$257,A20,'Deal Log'!$I$8:$I$257,"Funded")+SUMIFS('Deal Log'!$K$8:$K$257,'Deal Log'!$L$8:$L$257,A20,'Deal Log'!$I$8:$I$257,"Locked")+SUMIFS('Deal Log'!$K$8:$K$257,'Deal Log'!$L$8:$L$257,A20,'Deal Log'!$I$8:$I$257,"Pre-App"),Inputs!$C$101)</f>
        <v/>
      </c>
      <c r="E20" s="66">
        <f>H19</f>
        <v/>
      </c>
      <c r="F20" s="66">
        <f>IF(Inputs!$C$17="Yes",C20,0)+IF(Inputs!$C$19="Recoverable",Inputs!$C$34,0)</f>
        <v/>
      </c>
      <c r="G20" s="66">
        <f>MIN(E20+F20,D20)</f>
        <v/>
      </c>
      <c r="H20" s="66">
        <f>MAX(0,E20+F20-D20)</f>
        <v/>
      </c>
      <c r="I20" s="50">
        <f>IF(Inputs!$C$17="Yes",C20+MAX(0,D20-(E20+F20)),IF(Inputs!$C$18="Stacked",C20+D20,MAX(C20,D20)))</f>
        <v/>
      </c>
      <c r="J20" s="66">
        <f>IF(Inputs!$C$20="1099",I20*Inputs!$C$74,0)</f>
        <v/>
      </c>
      <c r="K20" s="66">
        <f>I20-J20</f>
        <v/>
      </c>
      <c r="L20" s="86">
        <f>'Monthly Budget'!$C$14</f>
        <v/>
      </c>
      <c r="M20" s="86">
        <f>'Monthly Budget'!$C$23</f>
        <v/>
      </c>
      <c r="N20" s="86">
        <f>'Monthly Budget'!$C$27</f>
        <v/>
      </c>
      <c r="O20" s="66">
        <f>L20+M20+N20</f>
        <v/>
      </c>
      <c r="P20" s="51">
        <f>K20-O20</f>
        <v/>
      </c>
      <c r="Q20" s="87">
        <f>Q19+P20</f>
        <v/>
      </c>
      <c r="R20" s="86">
        <f>IF(COUNTIFS('Certificate Ladder'!$B$8:$B$40,"&gt;="&amp;EOMONTH(A20,-1)+1,'Certificate Ladder'!$B$8:$B$40,"&lt;="&amp;A20)&gt;0,Inputs!$C$59,0)</f>
        <v/>
      </c>
    </row>
    <row r="21">
      <c r="A21" s="64">
        <f>EOMONTH(A20,1)</f>
        <v/>
      </c>
      <c r="B21" s="79">
        <f>COUNTIFS('Draw Recovery'!$B$9:$B$116,"&gt;="&amp;EOMONTH(A21,-1)+1,'Draw Recovery'!$B$9:$B$116,"&lt;="&amp;A21)</f>
        <v/>
      </c>
      <c r="C21" s="61">
        <f>B21*Inputs!$C$12</f>
        <v/>
      </c>
      <c r="D21" s="61">
        <f>IF(SUMIFS('Deal Log'!$G$8:$G$257,'Deal Log'!$L$8:$L$257,A21,'Deal Log'!$I$8:$I$257,"Funded")+SUMIFS('Deal Log'!$K$8:$K$257,'Deal Log'!$L$8:$L$257,A21,'Deal Log'!$I$8:$I$257,"Locked")+SUMIFS('Deal Log'!$K$8:$K$257,'Deal Log'!$L$8:$L$257,A21,'Deal Log'!$I$8:$I$257,"Pre-App")&gt;0,SUMIFS('Deal Log'!$G$8:$G$257,'Deal Log'!$L$8:$L$257,A21,'Deal Log'!$I$8:$I$257,"Funded")+SUMIFS('Deal Log'!$K$8:$K$257,'Deal Log'!$L$8:$L$257,A21,'Deal Log'!$I$8:$I$257,"Locked")+SUMIFS('Deal Log'!$K$8:$K$257,'Deal Log'!$L$8:$L$257,A21,'Deal Log'!$I$8:$I$257,"Pre-App"),Inputs!$C$101)</f>
        <v/>
      </c>
      <c r="E21" s="61">
        <f>H20</f>
        <v/>
      </c>
      <c r="F21" s="61">
        <f>IF(Inputs!$C$17="Yes",C21,0)+IF(Inputs!$C$19="Recoverable",Inputs!$C$34,0)</f>
        <v/>
      </c>
      <c r="G21" s="61">
        <f>MIN(E21+F21,D21)</f>
        <v/>
      </c>
      <c r="H21" s="61">
        <f>MAX(0,E21+F21-D21)</f>
        <v/>
      </c>
      <c r="I21" s="50">
        <f>IF(Inputs!$C$17="Yes",C21+MAX(0,D21-(E21+F21)),IF(Inputs!$C$18="Stacked",C21+D21,MAX(C21,D21)))</f>
        <v/>
      </c>
      <c r="J21" s="61">
        <f>IF(Inputs!$C$20="1099",I21*Inputs!$C$74,0)</f>
        <v/>
      </c>
      <c r="K21" s="61">
        <f>I21-J21</f>
        <v/>
      </c>
      <c r="L21" s="81">
        <f>'Monthly Budget'!$C$14</f>
        <v/>
      </c>
      <c r="M21" s="81">
        <f>'Monthly Budget'!$C$23</f>
        <v/>
      </c>
      <c r="N21" s="81">
        <f>'Monthly Budget'!$C$27</f>
        <v/>
      </c>
      <c r="O21" s="61">
        <f>L21+M21+N21</f>
        <v/>
      </c>
      <c r="P21" s="51">
        <f>K21-O21</f>
        <v/>
      </c>
      <c r="Q21" s="82">
        <f>Q20+P21</f>
        <v/>
      </c>
      <c r="R21" s="81">
        <f>IF(COUNTIFS('Certificate Ladder'!$B$8:$B$40,"&gt;="&amp;EOMONTH(A21,-1)+1,'Certificate Ladder'!$B$8:$B$40,"&lt;="&amp;A21)&gt;0,Inputs!$C$59,0)</f>
        <v/>
      </c>
    </row>
    <row r="22">
      <c r="A22" s="67">
        <f>EOMONTH(A21,1)</f>
        <v/>
      </c>
      <c r="B22" s="84">
        <f>COUNTIFS('Draw Recovery'!$B$9:$B$116,"&gt;="&amp;EOMONTH(A22,-1)+1,'Draw Recovery'!$B$9:$B$116,"&lt;="&amp;A22)</f>
        <v/>
      </c>
      <c r="C22" s="66">
        <f>B22*Inputs!$C$12</f>
        <v/>
      </c>
      <c r="D22" s="66">
        <f>IF(SUMIFS('Deal Log'!$G$8:$G$257,'Deal Log'!$L$8:$L$257,A22,'Deal Log'!$I$8:$I$257,"Funded")+SUMIFS('Deal Log'!$K$8:$K$257,'Deal Log'!$L$8:$L$257,A22,'Deal Log'!$I$8:$I$257,"Locked")+SUMIFS('Deal Log'!$K$8:$K$257,'Deal Log'!$L$8:$L$257,A22,'Deal Log'!$I$8:$I$257,"Pre-App")&gt;0,SUMIFS('Deal Log'!$G$8:$G$257,'Deal Log'!$L$8:$L$257,A22,'Deal Log'!$I$8:$I$257,"Funded")+SUMIFS('Deal Log'!$K$8:$K$257,'Deal Log'!$L$8:$L$257,A22,'Deal Log'!$I$8:$I$257,"Locked")+SUMIFS('Deal Log'!$K$8:$K$257,'Deal Log'!$L$8:$L$257,A22,'Deal Log'!$I$8:$I$257,"Pre-App"),Inputs!$C$101)</f>
        <v/>
      </c>
      <c r="E22" s="66">
        <f>H21</f>
        <v/>
      </c>
      <c r="F22" s="66">
        <f>IF(Inputs!$C$17="Yes",C22,0)+IF(Inputs!$C$19="Recoverable",Inputs!$C$34,0)</f>
        <v/>
      </c>
      <c r="G22" s="66">
        <f>MIN(E22+F22,D22)</f>
        <v/>
      </c>
      <c r="H22" s="66">
        <f>MAX(0,E22+F22-D22)</f>
        <v/>
      </c>
      <c r="I22" s="50">
        <f>IF(Inputs!$C$17="Yes",C22+MAX(0,D22-(E22+F22)),IF(Inputs!$C$18="Stacked",C22+D22,MAX(C22,D22)))</f>
        <v/>
      </c>
      <c r="J22" s="66">
        <f>IF(Inputs!$C$20="1099",I22*Inputs!$C$74,0)</f>
        <v/>
      </c>
      <c r="K22" s="66">
        <f>I22-J22</f>
        <v/>
      </c>
      <c r="L22" s="86">
        <f>'Monthly Budget'!$C$14</f>
        <v/>
      </c>
      <c r="M22" s="86">
        <f>'Monthly Budget'!$C$23</f>
        <v/>
      </c>
      <c r="N22" s="86">
        <f>'Monthly Budget'!$C$27</f>
        <v/>
      </c>
      <c r="O22" s="66">
        <f>L22+M22+N22</f>
        <v/>
      </c>
      <c r="P22" s="51">
        <f>K22-O22</f>
        <v/>
      </c>
      <c r="Q22" s="87">
        <f>Q21+P22</f>
        <v/>
      </c>
      <c r="R22" s="86">
        <f>IF(COUNTIFS('Certificate Ladder'!$B$8:$B$40,"&gt;="&amp;EOMONTH(A22,-1)+1,'Certificate Ladder'!$B$8:$B$40,"&lt;="&amp;A22)&gt;0,Inputs!$C$59,0)</f>
        <v/>
      </c>
    </row>
    <row r="23">
      <c r="A23" s="64">
        <f>EOMONTH(A22,1)</f>
        <v/>
      </c>
      <c r="B23" s="79">
        <f>COUNTIFS('Draw Recovery'!$B$9:$B$116,"&gt;="&amp;EOMONTH(A23,-1)+1,'Draw Recovery'!$B$9:$B$116,"&lt;="&amp;A23)</f>
        <v/>
      </c>
      <c r="C23" s="61">
        <f>B23*Inputs!$C$12</f>
        <v/>
      </c>
      <c r="D23" s="61">
        <f>IF(SUMIFS('Deal Log'!$G$8:$G$257,'Deal Log'!$L$8:$L$257,A23,'Deal Log'!$I$8:$I$257,"Funded")+SUMIFS('Deal Log'!$K$8:$K$257,'Deal Log'!$L$8:$L$257,A23,'Deal Log'!$I$8:$I$257,"Locked")+SUMIFS('Deal Log'!$K$8:$K$257,'Deal Log'!$L$8:$L$257,A23,'Deal Log'!$I$8:$I$257,"Pre-App")&gt;0,SUMIFS('Deal Log'!$G$8:$G$257,'Deal Log'!$L$8:$L$257,A23,'Deal Log'!$I$8:$I$257,"Funded")+SUMIFS('Deal Log'!$K$8:$K$257,'Deal Log'!$L$8:$L$257,A23,'Deal Log'!$I$8:$I$257,"Locked")+SUMIFS('Deal Log'!$K$8:$K$257,'Deal Log'!$L$8:$L$257,A23,'Deal Log'!$I$8:$I$257,"Pre-App"),Inputs!$C$101)</f>
        <v/>
      </c>
      <c r="E23" s="61">
        <f>H22</f>
        <v/>
      </c>
      <c r="F23" s="61">
        <f>IF(Inputs!$C$17="Yes",C23,0)+IF(Inputs!$C$19="Recoverable",Inputs!$C$34,0)</f>
        <v/>
      </c>
      <c r="G23" s="61">
        <f>MIN(E23+F23,D23)</f>
        <v/>
      </c>
      <c r="H23" s="61">
        <f>MAX(0,E23+F23-D23)</f>
        <v/>
      </c>
      <c r="I23" s="50">
        <f>IF(Inputs!$C$17="Yes",C23+MAX(0,D23-(E23+F23)),IF(Inputs!$C$18="Stacked",C23+D23,MAX(C23,D23)))</f>
        <v/>
      </c>
      <c r="J23" s="61">
        <f>IF(Inputs!$C$20="1099",I23*Inputs!$C$74,0)</f>
        <v/>
      </c>
      <c r="K23" s="61">
        <f>I23-J23</f>
        <v/>
      </c>
      <c r="L23" s="81">
        <f>'Monthly Budget'!$C$14</f>
        <v/>
      </c>
      <c r="M23" s="81">
        <f>'Monthly Budget'!$C$23</f>
        <v/>
      </c>
      <c r="N23" s="81">
        <f>'Monthly Budget'!$C$27</f>
        <v/>
      </c>
      <c r="O23" s="61">
        <f>L23+M23+N23</f>
        <v/>
      </c>
      <c r="P23" s="51">
        <f>K23-O23</f>
        <v/>
      </c>
      <c r="Q23" s="82">
        <f>Q22+P23</f>
        <v/>
      </c>
      <c r="R23" s="81">
        <f>IF(COUNTIFS('Certificate Ladder'!$B$8:$B$40,"&gt;="&amp;EOMONTH(A23,-1)+1,'Certificate Ladder'!$B$8:$B$40,"&lt;="&amp;A23)&gt;0,Inputs!$C$59,0)</f>
        <v/>
      </c>
    </row>
    <row r="24">
      <c r="A24" s="67">
        <f>EOMONTH(A23,1)</f>
        <v/>
      </c>
      <c r="B24" s="84">
        <f>COUNTIFS('Draw Recovery'!$B$9:$B$116,"&gt;="&amp;EOMONTH(A24,-1)+1,'Draw Recovery'!$B$9:$B$116,"&lt;="&amp;A24)</f>
        <v/>
      </c>
      <c r="C24" s="66">
        <f>B24*Inputs!$C$12</f>
        <v/>
      </c>
      <c r="D24" s="66">
        <f>IF(SUMIFS('Deal Log'!$G$8:$G$257,'Deal Log'!$L$8:$L$257,A24,'Deal Log'!$I$8:$I$257,"Funded")+SUMIFS('Deal Log'!$K$8:$K$257,'Deal Log'!$L$8:$L$257,A24,'Deal Log'!$I$8:$I$257,"Locked")+SUMIFS('Deal Log'!$K$8:$K$257,'Deal Log'!$L$8:$L$257,A24,'Deal Log'!$I$8:$I$257,"Pre-App")&gt;0,SUMIFS('Deal Log'!$G$8:$G$257,'Deal Log'!$L$8:$L$257,A24,'Deal Log'!$I$8:$I$257,"Funded")+SUMIFS('Deal Log'!$K$8:$K$257,'Deal Log'!$L$8:$L$257,A24,'Deal Log'!$I$8:$I$257,"Locked")+SUMIFS('Deal Log'!$K$8:$K$257,'Deal Log'!$L$8:$L$257,A24,'Deal Log'!$I$8:$I$257,"Pre-App"),Inputs!$C$101)</f>
        <v/>
      </c>
      <c r="E24" s="66">
        <f>H23</f>
        <v/>
      </c>
      <c r="F24" s="66">
        <f>IF(Inputs!$C$17="Yes",C24,0)+IF(Inputs!$C$19="Recoverable",Inputs!$C$34,0)</f>
        <v/>
      </c>
      <c r="G24" s="66">
        <f>MIN(E24+F24,D24)</f>
        <v/>
      </c>
      <c r="H24" s="66">
        <f>MAX(0,E24+F24-D24)</f>
        <v/>
      </c>
      <c r="I24" s="50">
        <f>IF(Inputs!$C$17="Yes",C24+MAX(0,D24-(E24+F24)),IF(Inputs!$C$18="Stacked",C24+D24,MAX(C24,D24)))</f>
        <v/>
      </c>
      <c r="J24" s="66">
        <f>IF(Inputs!$C$20="1099",I24*Inputs!$C$74,0)</f>
        <v/>
      </c>
      <c r="K24" s="66">
        <f>I24-J24</f>
        <v/>
      </c>
      <c r="L24" s="86">
        <f>'Monthly Budget'!$C$14</f>
        <v/>
      </c>
      <c r="M24" s="86">
        <f>'Monthly Budget'!$C$23</f>
        <v/>
      </c>
      <c r="N24" s="86">
        <f>'Monthly Budget'!$C$27</f>
        <v/>
      </c>
      <c r="O24" s="66">
        <f>L24+M24+N24</f>
        <v/>
      </c>
      <c r="P24" s="51">
        <f>K24-O24</f>
        <v/>
      </c>
      <c r="Q24" s="87">
        <f>Q23+P24</f>
        <v/>
      </c>
      <c r="R24" s="86">
        <f>IF(COUNTIFS('Certificate Ladder'!$B$8:$B$40,"&gt;="&amp;EOMONTH(A24,-1)+1,'Certificate Ladder'!$B$8:$B$40,"&lt;="&amp;A24)&gt;0,Inputs!$C$59,0)</f>
        <v/>
      </c>
    </row>
    <row r="25">
      <c r="A25" s="64">
        <f>EOMONTH(A24,1)</f>
        <v/>
      </c>
      <c r="B25" s="79">
        <f>COUNTIFS('Draw Recovery'!$B$9:$B$116,"&gt;="&amp;EOMONTH(A25,-1)+1,'Draw Recovery'!$B$9:$B$116,"&lt;="&amp;A25)</f>
        <v/>
      </c>
      <c r="C25" s="61">
        <f>B25*Inputs!$C$12</f>
        <v/>
      </c>
      <c r="D25" s="61">
        <f>IF(SUMIFS('Deal Log'!$G$8:$G$257,'Deal Log'!$L$8:$L$257,A25,'Deal Log'!$I$8:$I$257,"Funded")+SUMIFS('Deal Log'!$K$8:$K$257,'Deal Log'!$L$8:$L$257,A25,'Deal Log'!$I$8:$I$257,"Locked")+SUMIFS('Deal Log'!$K$8:$K$257,'Deal Log'!$L$8:$L$257,A25,'Deal Log'!$I$8:$I$257,"Pre-App")&gt;0,SUMIFS('Deal Log'!$G$8:$G$257,'Deal Log'!$L$8:$L$257,A25,'Deal Log'!$I$8:$I$257,"Funded")+SUMIFS('Deal Log'!$K$8:$K$257,'Deal Log'!$L$8:$L$257,A25,'Deal Log'!$I$8:$I$257,"Locked")+SUMIFS('Deal Log'!$K$8:$K$257,'Deal Log'!$L$8:$L$257,A25,'Deal Log'!$I$8:$I$257,"Pre-App"),Inputs!$C$101)</f>
        <v/>
      </c>
      <c r="E25" s="61">
        <f>H24</f>
        <v/>
      </c>
      <c r="F25" s="61">
        <f>IF(Inputs!$C$17="Yes",C25,0)+IF(Inputs!$C$19="Recoverable",Inputs!$C$34,0)</f>
        <v/>
      </c>
      <c r="G25" s="61">
        <f>MIN(E25+F25,D25)</f>
        <v/>
      </c>
      <c r="H25" s="61">
        <f>MAX(0,E25+F25-D25)</f>
        <v/>
      </c>
      <c r="I25" s="50">
        <f>IF(Inputs!$C$17="Yes",C25+MAX(0,D25-(E25+F25)),IF(Inputs!$C$18="Stacked",C25+D25,MAX(C25,D25)))</f>
        <v/>
      </c>
      <c r="J25" s="61">
        <f>IF(Inputs!$C$20="1099",I25*Inputs!$C$74,0)</f>
        <v/>
      </c>
      <c r="K25" s="61">
        <f>I25-J25</f>
        <v/>
      </c>
      <c r="L25" s="81">
        <f>'Monthly Budget'!$C$14</f>
        <v/>
      </c>
      <c r="M25" s="81">
        <f>'Monthly Budget'!$C$23</f>
        <v/>
      </c>
      <c r="N25" s="81">
        <f>'Monthly Budget'!$C$27</f>
        <v/>
      </c>
      <c r="O25" s="61">
        <f>L25+M25+N25</f>
        <v/>
      </c>
      <c r="P25" s="51">
        <f>K25-O25</f>
        <v/>
      </c>
      <c r="Q25" s="82">
        <f>Q24+P25</f>
        <v/>
      </c>
      <c r="R25" s="81">
        <f>IF(COUNTIFS('Certificate Ladder'!$B$8:$B$40,"&gt;="&amp;EOMONTH(A25,-1)+1,'Certificate Ladder'!$B$8:$B$40,"&lt;="&amp;A25)&gt;0,Inputs!$C$59,0)</f>
        <v/>
      </c>
    </row>
    <row r="26">
      <c r="A26" s="67">
        <f>EOMONTH(A25,1)</f>
        <v/>
      </c>
      <c r="B26" s="84">
        <f>COUNTIFS('Draw Recovery'!$B$9:$B$116,"&gt;="&amp;EOMONTH(A26,-1)+1,'Draw Recovery'!$B$9:$B$116,"&lt;="&amp;A26)</f>
        <v/>
      </c>
      <c r="C26" s="66">
        <f>B26*Inputs!$C$12</f>
        <v/>
      </c>
      <c r="D26" s="66">
        <f>IF(SUMIFS('Deal Log'!$G$8:$G$257,'Deal Log'!$L$8:$L$257,A26,'Deal Log'!$I$8:$I$257,"Funded")+SUMIFS('Deal Log'!$K$8:$K$257,'Deal Log'!$L$8:$L$257,A26,'Deal Log'!$I$8:$I$257,"Locked")+SUMIFS('Deal Log'!$K$8:$K$257,'Deal Log'!$L$8:$L$257,A26,'Deal Log'!$I$8:$I$257,"Pre-App")&gt;0,SUMIFS('Deal Log'!$G$8:$G$257,'Deal Log'!$L$8:$L$257,A26,'Deal Log'!$I$8:$I$257,"Funded")+SUMIFS('Deal Log'!$K$8:$K$257,'Deal Log'!$L$8:$L$257,A26,'Deal Log'!$I$8:$I$257,"Locked")+SUMIFS('Deal Log'!$K$8:$K$257,'Deal Log'!$L$8:$L$257,A26,'Deal Log'!$I$8:$I$257,"Pre-App"),Inputs!$C$101)</f>
        <v/>
      </c>
      <c r="E26" s="66">
        <f>H25</f>
        <v/>
      </c>
      <c r="F26" s="66">
        <f>IF(Inputs!$C$17="Yes",C26,0)+IF(Inputs!$C$19="Recoverable",Inputs!$C$34,0)</f>
        <v/>
      </c>
      <c r="G26" s="66">
        <f>MIN(E26+F26,D26)</f>
        <v/>
      </c>
      <c r="H26" s="66">
        <f>MAX(0,E26+F26-D26)</f>
        <v/>
      </c>
      <c r="I26" s="50">
        <f>IF(Inputs!$C$17="Yes",C26+MAX(0,D26-(E26+F26)),IF(Inputs!$C$18="Stacked",C26+D26,MAX(C26,D26)))</f>
        <v/>
      </c>
      <c r="J26" s="66">
        <f>IF(Inputs!$C$20="1099",I26*Inputs!$C$74,0)</f>
        <v/>
      </c>
      <c r="K26" s="66">
        <f>I26-J26</f>
        <v/>
      </c>
      <c r="L26" s="86">
        <f>'Monthly Budget'!$C$14</f>
        <v/>
      </c>
      <c r="M26" s="86">
        <f>'Monthly Budget'!$C$23</f>
        <v/>
      </c>
      <c r="N26" s="86">
        <f>'Monthly Budget'!$C$27</f>
        <v/>
      </c>
      <c r="O26" s="66">
        <f>L26+M26+N26</f>
        <v/>
      </c>
      <c r="P26" s="51">
        <f>K26-O26</f>
        <v/>
      </c>
      <c r="Q26" s="87">
        <f>Q25+P26</f>
        <v/>
      </c>
      <c r="R26" s="86">
        <f>IF(COUNTIFS('Certificate Ladder'!$B$8:$B$40,"&gt;="&amp;EOMONTH(A26,-1)+1,'Certificate Ladder'!$B$8:$B$40,"&lt;="&amp;A26)&gt;0,Inputs!$C$59,0)</f>
        <v/>
      </c>
    </row>
    <row r="27">
      <c r="A27" s="64">
        <f>EOMONTH(A26,1)</f>
        <v/>
      </c>
      <c r="B27" s="79">
        <f>COUNTIFS('Draw Recovery'!$B$9:$B$116,"&gt;="&amp;EOMONTH(A27,-1)+1,'Draw Recovery'!$B$9:$B$116,"&lt;="&amp;A27)</f>
        <v/>
      </c>
      <c r="C27" s="61">
        <f>B27*Inputs!$C$12</f>
        <v/>
      </c>
      <c r="D27" s="61">
        <f>IF(SUMIFS('Deal Log'!$G$8:$G$257,'Deal Log'!$L$8:$L$257,A27,'Deal Log'!$I$8:$I$257,"Funded")+SUMIFS('Deal Log'!$K$8:$K$257,'Deal Log'!$L$8:$L$257,A27,'Deal Log'!$I$8:$I$257,"Locked")+SUMIFS('Deal Log'!$K$8:$K$257,'Deal Log'!$L$8:$L$257,A27,'Deal Log'!$I$8:$I$257,"Pre-App")&gt;0,SUMIFS('Deal Log'!$G$8:$G$257,'Deal Log'!$L$8:$L$257,A27,'Deal Log'!$I$8:$I$257,"Funded")+SUMIFS('Deal Log'!$K$8:$K$257,'Deal Log'!$L$8:$L$257,A27,'Deal Log'!$I$8:$I$257,"Locked")+SUMIFS('Deal Log'!$K$8:$K$257,'Deal Log'!$L$8:$L$257,A27,'Deal Log'!$I$8:$I$257,"Pre-App"),Inputs!$C$101)</f>
        <v/>
      </c>
      <c r="E27" s="61">
        <f>H26</f>
        <v/>
      </c>
      <c r="F27" s="61">
        <f>IF(Inputs!$C$17="Yes",C27,0)+IF(Inputs!$C$19="Recoverable",Inputs!$C$34,0)</f>
        <v/>
      </c>
      <c r="G27" s="61">
        <f>MIN(E27+F27,D27)</f>
        <v/>
      </c>
      <c r="H27" s="61">
        <f>MAX(0,E27+F27-D27)</f>
        <v/>
      </c>
      <c r="I27" s="50">
        <f>IF(Inputs!$C$17="Yes",C27+MAX(0,D27-(E27+F27)),IF(Inputs!$C$18="Stacked",C27+D27,MAX(C27,D27)))</f>
        <v/>
      </c>
      <c r="J27" s="61">
        <f>IF(Inputs!$C$20="1099",I27*Inputs!$C$74,0)</f>
        <v/>
      </c>
      <c r="K27" s="61">
        <f>I27-J27</f>
        <v/>
      </c>
      <c r="L27" s="81">
        <f>'Monthly Budget'!$C$14</f>
        <v/>
      </c>
      <c r="M27" s="81">
        <f>'Monthly Budget'!$C$23</f>
        <v/>
      </c>
      <c r="N27" s="81">
        <f>'Monthly Budget'!$C$27</f>
        <v/>
      </c>
      <c r="O27" s="61">
        <f>L27+M27+N27</f>
        <v/>
      </c>
      <c r="P27" s="51">
        <f>K27-O27</f>
        <v/>
      </c>
      <c r="Q27" s="82">
        <f>Q26+P27</f>
        <v/>
      </c>
      <c r="R27" s="81">
        <f>IF(COUNTIFS('Certificate Ladder'!$B$8:$B$40,"&gt;="&amp;EOMONTH(A27,-1)+1,'Certificate Ladder'!$B$8:$B$40,"&lt;="&amp;A27)&gt;0,Inputs!$C$59,0)</f>
        <v/>
      </c>
    </row>
    <row r="28">
      <c r="A28" s="67">
        <f>EOMONTH(A27,1)</f>
        <v/>
      </c>
      <c r="B28" s="84">
        <f>COUNTIFS('Draw Recovery'!$B$9:$B$116,"&gt;="&amp;EOMONTH(A28,-1)+1,'Draw Recovery'!$B$9:$B$116,"&lt;="&amp;A28)</f>
        <v/>
      </c>
      <c r="C28" s="66">
        <f>B28*Inputs!$C$12</f>
        <v/>
      </c>
      <c r="D28" s="66">
        <f>IF(SUMIFS('Deal Log'!$G$8:$G$257,'Deal Log'!$L$8:$L$257,A28,'Deal Log'!$I$8:$I$257,"Funded")+SUMIFS('Deal Log'!$K$8:$K$257,'Deal Log'!$L$8:$L$257,A28,'Deal Log'!$I$8:$I$257,"Locked")+SUMIFS('Deal Log'!$K$8:$K$257,'Deal Log'!$L$8:$L$257,A28,'Deal Log'!$I$8:$I$257,"Pre-App")&gt;0,SUMIFS('Deal Log'!$G$8:$G$257,'Deal Log'!$L$8:$L$257,A28,'Deal Log'!$I$8:$I$257,"Funded")+SUMIFS('Deal Log'!$K$8:$K$257,'Deal Log'!$L$8:$L$257,A28,'Deal Log'!$I$8:$I$257,"Locked")+SUMIFS('Deal Log'!$K$8:$K$257,'Deal Log'!$L$8:$L$257,A28,'Deal Log'!$I$8:$I$257,"Pre-App"),Inputs!$C$101)</f>
        <v/>
      </c>
      <c r="E28" s="66">
        <f>H27</f>
        <v/>
      </c>
      <c r="F28" s="66">
        <f>IF(Inputs!$C$17="Yes",C28,0)+IF(Inputs!$C$19="Recoverable",Inputs!$C$34,0)</f>
        <v/>
      </c>
      <c r="G28" s="66">
        <f>MIN(E28+F28,D28)</f>
        <v/>
      </c>
      <c r="H28" s="66">
        <f>MAX(0,E28+F28-D28)</f>
        <v/>
      </c>
      <c r="I28" s="50">
        <f>IF(Inputs!$C$17="Yes",C28+MAX(0,D28-(E28+F28)),IF(Inputs!$C$18="Stacked",C28+D28,MAX(C28,D28)))</f>
        <v/>
      </c>
      <c r="J28" s="66">
        <f>IF(Inputs!$C$20="1099",I28*Inputs!$C$74,0)</f>
        <v/>
      </c>
      <c r="K28" s="66">
        <f>I28-J28</f>
        <v/>
      </c>
      <c r="L28" s="86">
        <f>'Monthly Budget'!$C$14</f>
        <v/>
      </c>
      <c r="M28" s="86">
        <f>'Monthly Budget'!$C$23</f>
        <v/>
      </c>
      <c r="N28" s="86">
        <f>'Monthly Budget'!$C$27</f>
        <v/>
      </c>
      <c r="O28" s="66">
        <f>L28+M28+N28</f>
        <v/>
      </c>
      <c r="P28" s="51">
        <f>K28-O28</f>
        <v/>
      </c>
      <c r="Q28" s="87">
        <f>Q27+P28</f>
        <v/>
      </c>
      <c r="R28" s="86">
        <f>IF(COUNTIFS('Certificate Ladder'!$B$8:$B$40,"&gt;="&amp;EOMONTH(A28,-1)+1,'Certificate Ladder'!$B$8:$B$40,"&lt;="&amp;A28)&gt;0,Inputs!$C$59,0)</f>
        <v/>
      </c>
    </row>
    <row r="29">
      <c r="A29" s="64">
        <f>EOMONTH(A28,1)</f>
        <v/>
      </c>
      <c r="B29" s="79">
        <f>COUNTIFS('Draw Recovery'!$B$9:$B$116,"&gt;="&amp;EOMONTH(A29,-1)+1,'Draw Recovery'!$B$9:$B$116,"&lt;="&amp;A29)</f>
        <v/>
      </c>
      <c r="C29" s="61">
        <f>B29*Inputs!$C$12</f>
        <v/>
      </c>
      <c r="D29" s="61">
        <f>IF(SUMIFS('Deal Log'!$G$8:$G$257,'Deal Log'!$L$8:$L$257,A29,'Deal Log'!$I$8:$I$257,"Funded")+SUMIFS('Deal Log'!$K$8:$K$257,'Deal Log'!$L$8:$L$257,A29,'Deal Log'!$I$8:$I$257,"Locked")+SUMIFS('Deal Log'!$K$8:$K$257,'Deal Log'!$L$8:$L$257,A29,'Deal Log'!$I$8:$I$257,"Pre-App")&gt;0,SUMIFS('Deal Log'!$G$8:$G$257,'Deal Log'!$L$8:$L$257,A29,'Deal Log'!$I$8:$I$257,"Funded")+SUMIFS('Deal Log'!$K$8:$K$257,'Deal Log'!$L$8:$L$257,A29,'Deal Log'!$I$8:$I$257,"Locked")+SUMIFS('Deal Log'!$K$8:$K$257,'Deal Log'!$L$8:$L$257,A29,'Deal Log'!$I$8:$I$257,"Pre-App"),Inputs!$C$101)</f>
        <v/>
      </c>
      <c r="E29" s="61">
        <f>H28</f>
        <v/>
      </c>
      <c r="F29" s="61">
        <f>IF(Inputs!$C$17="Yes",C29,0)+IF(Inputs!$C$19="Recoverable",Inputs!$C$34,0)</f>
        <v/>
      </c>
      <c r="G29" s="61">
        <f>MIN(E29+F29,D29)</f>
        <v/>
      </c>
      <c r="H29" s="61">
        <f>MAX(0,E29+F29-D29)</f>
        <v/>
      </c>
      <c r="I29" s="50">
        <f>IF(Inputs!$C$17="Yes",C29+MAX(0,D29-(E29+F29)),IF(Inputs!$C$18="Stacked",C29+D29,MAX(C29,D29)))</f>
        <v/>
      </c>
      <c r="J29" s="61">
        <f>IF(Inputs!$C$20="1099",I29*Inputs!$C$74,0)</f>
        <v/>
      </c>
      <c r="K29" s="61">
        <f>I29-J29</f>
        <v/>
      </c>
      <c r="L29" s="81">
        <f>'Monthly Budget'!$C$14</f>
        <v/>
      </c>
      <c r="M29" s="81">
        <f>'Monthly Budget'!$C$23</f>
        <v/>
      </c>
      <c r="N29" s="81">
        <f>'Monthly Budget'!$C$27</f>
        <v/>
      </c>
      <c r="O29" s="61">
        <f>L29+M29+N29</f>
        <v/>
      </c>
      <c r="P29" s="51">
        <f>K29-O29</f>
        <v/>
      </c>
      <c r="Q29" s="82">
        <f>Q28+P29</f>
        <v/>
      </c>
      <c r="R29" s="81">
        <f>IF(COUNTIFS('Certificate Ladder'!$B$8:$B$40,"&gt;="&amp;EOMONTH(A29,-1)+1,'Certificate Ladder'!$B$8:$B$40,"&lt;="&amp;A29)&gt;0,Inputs!$C$59,0)</f>
        <v/>
      </c>
    </row>
    <row r="30">
      <c r="A30" s="67">
        <f>EOMONTH(A29,1)</f>
        <v/>
      </c>
      <c r="B30" s="84">
        <f>COUNTIFS('Draw Recovery'!$B$9:$B$116,"&gt;="&amp;EOMONTH(A30,-1)+1,'Draw Recovery'!$B$9:$B$116,"&lt;="&amp;A30)</f>
        <v/>
      </c>
      <c r="C30" s="66">
        <f>B30*Inputs!$C$12</f>
        <v/>
      </c>
      <c r="D30" s="66">
        <f>IF(SUMIFS('Deal Log'!$G$8:$G$257,'Deal Log'!$L$8:$L$257,A30,'Deal Log'!$I$8:$I$257,"Funded")+SUMIFS('Deal Log'!$K$8:$K$257,'Deal Log'!$L$8:$L$257,A30,'Deal Log'!$I$8:$I$257,"Locked")+SUMIFS('Deal Log'!$K$8:$K$257,'Deal Log'!$L$8:$L$257,A30,'Deal Log'!$I$8:$I$257,"Pre-App")&gt;0,SUMIFS('Deal Log'!$G$8:$G$257,'Deal Log'!$L$8:$L$257,A30,'Deal Log'!$I$8:$I$257,"Funded")+SUMIFS('Deal Log'!$K$8:$K$257,'Deal Log'!$L$8:$L$257,A30,'Deal Log'!$I$8:$I$257,"Locked")+SUMIFS('Deal Log'!$K$8:$K$257,'Deal Log'!$L$8:$L$257,A30,'Deal Log'!$I$8:$I$257,"Pre-App"),Inputs!$C$101)</f>
        <v/>
      </c>
      <c r="E30" s="66">
        <f>H29</f>
        <v/>
      </c>
      <c r="F30" s="66">
        <f>IF(Inputs!$C$17="Yes",C30,0)+IF(Inputs!$C$19="Recoverable",Inputs!$C$34,0)</f>
        <v/>
      </c>
      <c r="G30" s="66">
        <f>MIN(E30+F30,D30)</f>
        <v/>
      </c>
      <c r="H30" s="66">
        <f>MAX(0,E30+F30-D30)</f>
        <v/>
      </c>
      <c r="I30" s="50">
        <f>IF(Inputs!$C$17="Yes",C30+MAX(0,D30-(E30+F30)),IF(Inputs!$C$18="Stacked",C30+D30,MAX(C30,D30)))</f>
        <v/>
      </c>
      <c r="J30" s="66">
        <f>IF(Inputs!$C$20="1099",I30*Inputs!$C$74,0)</f>
        <v/>
      </c>
      <c r="K30" s="66">
        <f>I30-J30</f>
        <v/>
      </c>
      <c r="L30" s="86">
        <f>'Monthly Budget'!$C$14</f>
        <v/>
      </c>
      <c r="M30" s="86">
        <f>'Monthly Budget'!$C$23</f>
        <v/>
      </c>
      <c r="N30" s="86">
        <f>'Monthly Budget'!$C$27</f>
        <v/>
      </c>
      <c r="O30" s="66">
        <f>L30+M30+N30</f>
        <v/>
      </c>
      <c r="P30" s="51">
        <f>K30-O30</f>
        <v/>
      </c>
      <c r="Q30" s="87">
        <f>Q29+P30</f>
        <v/>
      </c>
      <c r="R30" s="86">
        <f>IF(COUNTIFS('Certificate Ladder'!$B$8:$B$40,"&gt;="&amp;EOMONTH(A30,-1)+1,'Certificate Ladder'!$B$8:$B$40,"&lt;="&amp;A30)&gt;0,Inputs!$C$59,0)</f>
        <v/>
      </c>
    </row>
    <row r="31">
      <c r="A31" s="64">
        <f>EOMONTH(A30,1)</f>
        <v/>
      </c>
      <c r="B31" s="79">
        <f>COUNTIFS('Draw Recovery'!$B$9:$B$116,"&gt;="&amp;EOMONTH(A31,-1)+1,'Draw Recovery'!$B$9:$B$116,"&lt;="&amp;A31)</f>
        <v/>
      </c>
      <c r="C31" s="61">
        <f>B31*Inputs!$C$12</f>
        <v/>
      </c>
      <c r="D31" s="61">
        <f>IF(SUMIFS('Deal Log'!$G$8:$G$257,'Deal Log'!$L$8:$L$257,A31,'Deal Log'!$I$8:$I$257,"Funded")+SUMIFS('Deal Log'!$K$8:$K$257,'Deal Log'!$L$8:$L$257,A31,'Deal Log'!$I$8:$I$257,"Locked")+SUMIFS('Deal Log'!$K$8:$K$257,'Deal Log'!$L$8:$L$257,A31,'Deal Log'!$I$8:$I$257,"Pre-App")&gt;0,SUMIFS('Deal Log'!$G$8:$G$257,'Deal Log'!$L$8:$L$257,A31,'Deal Log'!$I$8:$I$257,"Funded")+SUMIFS('Deal Log'!$K$8:$K$257,'Deal Log'!$L$8:$L$257,A31,'Deal Log'!$I$8:$I$257,"Locked")+SUMIFS('Deal Log'!$K$8:$K$257,'Deal Log'!$L$8:$L$257,A31,'Deal Log'!$I$8:$I$257,"Pre-App"),Inputs!$C$101)</f>
        <v/>
      </c>
      <c r="E31" s="61">
        <f>H30</f>
        <v/>
      </c>
      <c r="F31" s="61">
        <f>IF(Inputs!$C$17="Yes",C31,0)+IF(Inputs!$C$19="Recoverable",Inputs!$C$34,0)</f>
        <v/>
      </c>
      <c r="G31" s="61">
        <f>MIN(E31+F31,D31)</f>
        <v/>
      </c>
      <c r="H31" s="61">
        <f>MAX(0,E31+F31-D31)</f>
        <v/>
      </c>
      <c r="I31" s="50">
        <f>IF(Inputs!$C$17="Yes",C31+MAX(0,D31-(E31+F31)),IF(Inputs!$C$18="Stacked",C31+D31,MAX(C31,D31)))</f>
        <v/>
      </c>
      <c r="J31" s="61">
        <f>IF(Inputs!$C$20="1099",I31*Inputs!$C$74,0)</f>
        <v/>
      </c>
      <c r="K31" s="61">
        <f>I31-J31</f>
        <v/>
      </c>
      <c r="L31" s="81">
        <f>'Monthly Budget'!$C$14</f>
        <v/>
      </c>
      <c r="M31" s="81">
        <f>'Monthly Budget'!$C$23</f>
        <v/>
      </c>
      <c r="N31" s="81">
        <f>'Monthly Budget'!$C$27</f>
        <v/>
      </c>
      <c r="O31" s="61">
        <f>L31+M31+N31</f>
        <v/>
      </c>
      <c r="P31" s="51">
        <f>K31-O31</f>
        <v/>
      </c>
      <c r="Q31" s="82">
        <f>Q30+P31</f>
        <v/>
      </c>
      <c r="R31" s="81">
        <f>IF(COUNTIFS('Certificate Ladder'!$B$8:$B$40,"&gt;="&amp;EOMONTH(A31,-1)+1,'Certificate Ladder'!$B$8:$B$40,"&lt;="&amp;A31)&gt;0,Inputs!$C$59,0)</f>
        <v/>
      </c>
    </row>
    <row r="32">
      <c r="A32" s="67">
        <f>EOMONTH(A31,1)</f>
        <v/>
      </c>
      <c r="B32" s="84">
        <f>COUNTIFS('Draw Recovery'!$B$9:$B$116,"&gt;="&amp;EOMONTH(A32,-1)+1,'Draw Recovery'!$B$9:$B$116,"&lt;="&amp;A32)</f>
        <v/>
      </c>
      <c r="C32" s="66">
        <f>B32*Inputs!$C$12</f>
        <v/>
      </c>
      <c r="D32" s="66">
        <f>IF(SUMIFS('Deal Log'!$G$8:$G$257,'Deal Log'!$L$8:$L$257,A32,'Deal Log'!$I$8:$I$257,"Funded")+SUMIFS('Deal Log'!$K$8:$K$257,'Deal Log'!$L$8:$L$257,A32,'Deal Log'!$I$8:$I$257,"Locked")+SUMIFS('Deal Log'!$K$8:$K$257,'Deal Log'!$L$8:$L$257,A32,'Deal Log'!$I$8:$I$257,"Pre-App")&gt;0,SUMIFS('Deal Log'!$G$8:$G$257,'Deal Log'!$L$8:$L$257,A32,'Deal Log'!$I$8:$I$257,"Funded")+SUMIFS('Deal Log'!$K$8:$K$257,'Deal Log'!$L$8:$L$257,A32,'Deal Log'!$I$8:$I$257,"Locked")+SUMIFS('Deal Log'!$K$8:$K$257,'Deal Log'!$L$8:$L$257,A32,'Deal Log'!$I$8:$I$257,"Pre-App"),Inputs!$C$101)</f>
        <v/>
      </c>
      <c r="E32" s="66">
        <f>H31</f>
        <v/>
      </c>
      <c r="F32" s="66">
        <f>IF(Inputs!$C$17="Yes",C32,0)+IF(Inputs!$C$19="Recoverable",Inputs!$C$34,0)</f>
        <v/>
      </c>
      <c r="G32" s="66">
        <f>MIN(E32+F32,D32)</f>
        <v/>
      </c>
      <c r="H32" s="66">
        <f>MAX(0,E32+F32-D32)</f>
        <v/>
      </c>
      <c r="I32" s="50">
        <f>IF(Inputs!$C$17="Yes",C32+MAX(0,D32-(E32+F32)),IF(Inputs!$C$18="Stacked",C32+D32,MAX(C32,D32)))</f>
        <v/>
      </c>
      <c r="J32" s="66">
        <f>IF(Inputs!$C$20="1099",I32*Inputs!$C$74,0)</f>
        <v/>
      </c>
      <c r="K32" s="66">
        <f>I32-J32</f>
        <v/>
      </c>
      <c r="L32" s="86">
        <f>'Monthly Budget'!$C$14</f>
        <v/>
      </c>
      <c r="M32" s="86">
        <f>'Monthly Budget'!$C$23</f>
        <v/>
      </c>
      <c r="N32" s="86">
        <f>'Monthly Budget'!$C$27</f>
        <v/>
      </c>
      <c r="O32" s="66">
        <f>L32+M32+N32</f>
        <v/>
      </c>
      <c r="P32" s="51">
        <f>K32-O32</f>
        <v/>
      </c>
      <c r="Q32" s="87">
        <f>Q31+P32</f>
        <v/>
      </c>
      <c r="R32" s="86">
        <f>IF(COUNTIFS('Certificate Ladder'!$B$8:$B$40,"&gt;="&amp;EOMONTH(A32,-1)+1,'Certificate Ladder'!$B$8:$B$40,"&lt;="&amp;A32)&gt;0,Inputs!$C$59,0)</f>
        <v/>
      </c>
    </row>
    <row r="33">
      <c r="A33" s="64">
        <f>EOMONTH(A32,1)</f>
        <v/>
      </c>
      <c r="B33" s="79">
        <f>COUNTIFS('Draw Recovery'!$B$9:$B$116,"&gt;="&amp;EOMONTH(A33,-1)+1,'Draw Recovery'!$B$9:$B$116,"&lt;="&amp;A33)</f>
        <v/>
      </c>
      <c r="C33" s="61">
        <f>B33*Inputs!$C$12</f>
        <v/>
      </c>
      <c r="D33" s="61">
        <f>IF(SUMIFS('Deal Log'!$G$8:$G$257,'Deal Log'!$L$8:$L$257,A33,'Deal Log'!$I$8:$I$257,"Funded")+SUMIFS('Deal Log'!$K$8:$K$257,'Deal Log'!$L$8:$L$257,A33,'Deal Log'!$I$8:$I$257,"Locked")+SUMIFS('Deal Log'!$K$8:$K$257,'Deal Log'!$L$8:$L$257,A33,'Deal Log'!$I$8:$I$257,"Pre-App")&gt;0,SUMIFS('Deal Log'!$G$8:$G$257,'Deal Log'!$L$8:$L$257,A33,'Deal Log'!$I$8:$I$257,"Funded")+SUMIFS('Deal Log'!$K$8:$K$257,'Deal Log'!$L$8:$L$257,A33,'Deal Log'!$I$8:$I$257,"Locked")+SUMIFS('Deal Log'!$K$8:$K$257,'Deal Log'!$L$8:$L$257,A33,'Deal Log'!$I$8:$I$257,"Pre-App"),Inputs!$C$101)</f>
        <v/>
      </c>
      <c r="E33" s="61">
        <f>H32</f>
        <v/>
      </c>
      <c r="F33" s="61">
        <f>IF(Inputs!$C$17="Yes",C33,0)+IF(Inputs!$C$19="Recoverable",Inputs!$C$34,0)</f>
        <v/>
      </c>
      <c r="G33" s="61">
        <f>MIN(E33+F33,D33)</f>
        <v/>
      </c>
      <c r="H33" s="61">
        <f>MAX(0,E33+F33-D33)</f>
        <v/>
      </c>
      <c r="I33" s="50">
        <f>IF(Inputs!$C$17="Yes",C33+MAX(0,D33-(E33+F33)),IF(Inputs!$C$18="Stacked",C33+D33,MAX(C33,D33)))</f>
        <v/>
      </c>
      <c r="J33" s="61">
        <f>IF(Inputs!$C$20="1099",I33*Inputs!$C$74,0)</f>
        <v/>
      </c>
      <c r="K33" s="61">
        <f>I33-J33</f>
        <v/>
      </c>
      <c r="L33" s="81">
        <f>'Monthly Budget'!$C$14</f>
        <v/>
      </c>
      <c r="M33" s="81">
        <f>'Monthly Budget'!$C$23</f>
        <v/>
      </c>
      <c r="N33" s="81">
        <f>'Monthly Budget'!$C$27</f>
        <v/>
      </c>
      <c r="O33" s="61">
        <f>L33+M33+N33</f>
        <v/>
      </c>
      <c r="P33" s="51">
        <f>K33-O33</f>
        <v/>
      </c>
      <c r="Q33" s="82">
        <f>Q32+P33</f>
        <v/>
      </c>
      <c r="R33" s="81">
        <f>IF(COUNTIFS('Certificate Ladder'!$B$8:$B$40,"&gt;="&amp;EOMONTH(A33,-1)+1,'Certificate Ladder'!$B$8:$B$40,"&lt;="&amp;A33)&gt;0,Inputs!$C$59,0)</f>
        <v/>
      </c>
    </row>
    <row r="34">
      <c r="A34" s="67">
        <f>EOMONTH(A33,1)</f>
        <v/>
      </c>
      <c r="B34" s="84">
        <f>COUNTIFS('Draw Recovery'!$B$9:$B$116,"&gt;="&amp;EOMONTH(A34,-1)+1,'Draw Recovery'!$B$9:$B$116,"&lt;="&amp;A34)</f>
        <v/>
      </c>
      <c r="C34" s="66">
        <f>B34*Inputs!$C$12</f>
        <v/>
      </c>
      <c r="D34" s="66">
        <f>IF(SUMIFS('Deal Log'!$G$8:$G$257,'Deal Log'!$L$8:$L$257,A34,'Deal Log'!$I$8:$I$257,"Funded")+SUMIFS('Deal Log'!$K$8:$K$257,'Deal Log'!$L$8:$L$257,A34,'Deal Log'!$I$8:$I$257,"Locked")+SUMIFS('Deal Log'!$K$8:$K$257,'Deal Log'!$L$8:$L$257,A34,'Deal Log'!$I$8:$I$257,"Pre-App")&gt;0,SUMIFS('Deal Log'!$G$8:$G$257,'Deal Log'!$L$8:$L$257,A34,'Deal Log'!$I$8:$I$257,"Funded")+SUMIFS('Deal Log'!$K$8:$K$257,'Deal Log'!$L$8:$L$257,A34,'Deal Log'!$I$8:$I$257,"Locked")+SUMIFS('Deal Log'!$K$8:$K$257,'Deal Log'!$L$8:$L$257,A34,'Deal Log'!$I$8:$I$257,"Pre-App"),Inputs!$C$101)</f>
        <v/>
      </c>
      <c r="E34" s="66">
        <f>H33</f>
        <v/>
      </c>
      <c r="F34" s="66">
        <f>IF(Inputs!$C$17="Yes",C34,0)+IF(Inputs!$C$19="Recoverable",Inputs!$C$34,0)</f>
        <v/>
      </c>
      <c r="G34" s="66">
        <f>MIN(E34+F34,D34)</f>
        <v/>
      </c>
      <c r="H34" s="66">
        <f>MAX(0,E34+F34-D34)</f>
        <v/>
      </c>
      <c r="I34" s="50">
        <f>IF(Inputs!$C$17="Yes",C34+MAX(0,D34-(E34+F34)),IF(Inputs!$C$18="Stacked",C34+D34,MAX(C34,D34)))</f>
        <v/>
      </c>
      <c r="J34" s="66">
        <f>IF(Inputs!$C$20="1099",I34*Inputs!$C$74,0)</f>
        <v/>
      </c>
      <c r="K34" s="66">
        <f>I34-J34</f>
        <v/>
      </c>
      <c r="L34" s="86">
        <f>'Monthly Budget'!$C$14</f>
        <v/>
      </c>
      <c r="M34" s="86">
        <f>'Monthly Budget'!$C$23</f>
        <v/>
      </c>
      <c r="N34" s="86">
        <f>'Monthly Budget'!$C$27</f>
        <v/>
      </c>
      <c r="O34" s="66">
        <f>L34+M34+N34</f>
        <v/>
      </c>
      <c r="P34" s="51">
        <f>K34-O34</f>
        <v/>
      </c>
      <c r="Q34" s="87">
        <f>Q33+P34</f>
        <v/>
      </c>
      <c r="R34" s="86">
        <f>IF(COUNTIFS('Certificate Ladder'!$B$8:$B$40,"&gt;="&amp;EOMONTH(A34,-1)+1,'Certificate Ladder'!$B$8:$B$40,"&lt;="&amp;A34)&gt;0,Inputs!$C$59,0)</f>
        <v/>
      </c>
    </row>
    <row r="35">
      <c r="A35" s="64">
        <f>EOMONTH(A34,1)</f>
        <v/>
      </c>
      <c r="B35" s="79">
        <f>COUNTIFS('Draw Recovery'!$B$9:$B$116,"&gt;="&amp;EOMONTH(A35,-1)+1,'Draw Recovery'!$B$9:$B$116,"&lt;="&amp;A35)</f>
        <v/>
      </c>
      <c r="C35" s="61">
        <f>B35*Inputs!$C$12</f>
        <v/>
      </c>
      <c r="D35" s="61">
        <f>IF(SUMIFS('Deal Log'!$G$8:$G$257,'Deal Log'!$L$8:$L$257,A35,'Deal Log'!$I$8:$I$257,"Funded")+SUMIFS('Deal Log'!$K$8:$K$257,'Deal Log'!$L$8:$L$257,A35,'Deal Log'!$I$8:$I$257,"Locked")+SUMIFS('Deal Log'!$K$8:$K$257,'Deal Log'!$L$8:$L$257,A35,'Deal Log'!$I$8:$I$257,"Pre-App")&gt;0,SUMIFS('Deal Log'!$G$8:$G$257,'Deal Log'!$L$8:$L$257,A35,'Deal Log'!$I$8:$I$257,"Funded")+SUMIFS('Deal Log'!$K$8:$K$257,'Deal Log'!$L$8:$L$257,A35,'Deal Log'!$I$8:$I$257,"Locked")+SUMIFS('Deal Log'!$K$8:$K$257,'Deal Log'!$L$8:$L$257,A35,'Deal Log'!$I$8:$I$257,"Pre-App"),Inputs!$C$101)</f>
        <v/>
      </c>
      <c r="E35" s="61">
        <f>H34</f>
        <v/>
      </c>
      <c r="F35" s="61">
        <f>IF(Inputs!$C$17="Yes",C35,0)+IF(Inputs!$C$19="Recoverable",Inputs!$C$34,0)</f>
        <v/>
      </c>
      <c r="G35" s="61">
        <f>MIN(E35+F35,D35)</f>
        <v/>
      </c>
      <c r="H35" s="61">
        <f>MAX(0,E35+F35-D35)</f>
        <v/>
      </c>
      <c r="I35" s="50">
        <f>IF(Inputs!$C$17="Yes",C35+MAX(0,D35-(E35+F35)),IF(Inputs!$C$18="Stacked",C35+D35,MAX(C35,D35)))</f>
        <v/>
      </c>
      <c r="J35" s="61">
        <f>IF(Inputs!$C$20="1099",I35*Inputs!$C$74,0)</f>
        <v/>
      </c>
      <c r="K35" s="61">
        <f>I35-J35</f>
        <v/>
      </c>
      <c r="L35" s="81">
        <f>'Monthly Budget'!$C$14</f>
        <v/>
      </c>
      <c r="M35" s="81">
        <f>'Monthly Budget'!$C$23</f>
        <v/>
      </c>
      <c r="N35" s="81">
        <f>'Monthly Budget'!$C$27</f>
        <v/>
      </c>
      <c r="O35" s="61">
        <f>L35+M35+N35</f>
        <v/>
      </c>
      <c r="P35" s="51">
        <f>K35-O35</f>
        <v/>
      </c>
      <c r="Q35" s="82">
        <f>Q34+P35</f>
        <v/>
      </c>
      <c r="R35" s="81">
        <f>IF(COUNTIFS('Certificate Ladder'!$B$8:$B$40,"&gt;="&amp;EOMONTH(A35,-1)+1,'Certificate Ladder'!$B$8:$B$40,"&lt;="&amp;A35)&gt;0,Inputs!$C$59,0)</f>
        <v/>
      </c>
    </row>
    <row r="36">
      <c r="A36" s="67">
        <f>EOMONTH(A35,1)</f>
        <v/>
      </c>
      <c r="B36" s="84">
        <f>COUNTIFS('Draw Recovery'!$B$9:$B$116,"&gt;="&amp;EOMONTH(A36,-1)+1,'Draw Recovery'!$B$9:$B$116,"&lt;="&amp;A36)</f>
        <v/>
      </c>
      <c r="C36" s="66">
        <f>B36*Inputs!$C$12</f>
        <v/>
      </c>
      <c r="D36" s="66">
        <f>IF(SUMIFS('Deal Log'!$G$8:$G$257,'Deal Log'!$L$8:$L$257,A36,'Deal Log'!$I$8:$I$257,"Funded")+SUMIFS('Deal Log'!$K$8:$K$257,'Deal Log'!$L$8:$L$257,A36,'Deal Log'!$I$8:$I$257,"Locked")+SUMIFS('Deal Log'!$K$8:$K$257,'Deal Log'!$L$8:$L$257,A36,'Deal Log'!$I$8:$I$257,"Pre-App")&gt;0,SUMIFS('Deal Log'!$G$8:$G$257,'Deal Log'!$L$8:$L$257,A36,'Deal Log'!$I$8:$I$257,"Funded")+SUMIFS('Deal Log'!$K$8:$K$257,'Deal Log'!$L$8:$L$257,A36,'Deal Log'!$I$8:$I$257,"Locked")+SUMIFS('Deal Log'!$K$8:$K$257,'Deal Log'!$L$8:$L$257,A36,'Deal Log'!$I$8:$I$257,"Pre-App"),Inputs!$C$101)</f>
        <v/>
      </c>
      <c r="E36" s="66">
        <f>H35</f>
        <v/>
      </c>
      <c r="F36" s="66">
        <f>IF(Inputs!$C$17="Yes",C36,0)+IF(Inputs!$C$19="Recoverable",Inputs!$C$34,0)</f>
        <v/>
      </c>
      <c r="G36" s="66">
        <f>MIN(E36+F36,D36)</f>
        <v/>
      </c>
      <c r="H36" s="66">
        <f>MAX(0,E36+F36-D36)</f>
        <v/>
      </c>
      <c r="I36" s="50">
        <f>IF(Inputs!$C$17="Yes",C36+MAX(0,D36-(E36+F36)),IF(Inputs!$C$18="Stacked",C36+D36,MAX(C36,D36)))</f>
        <v/>
      </c>
      <c r="J36" s="66">
        <f>IF(Inputs!$C$20="1099",I36*Inputs!$C$74,0)</f>
        <v/>
      </c>
      <c r="K36" s="66">
        <f>I36-J36</f>
        <v/>
      </c>
      <c r="L36" s="86">
        <f>'Monthly Budget'!$C$14</f>
        <v/>
      </c>
      <c r="M36" s="86">
        <f>'Monthly Budget'!$C$23</f>
        <v/>
      </c>
      <c r="N36" s="86">
        <f>'Monthly Budget'!$C$27</f>
        <v/>
      </c>
      <c r="O36" s="66">
        <f>L36+M36+N36</f>
        <v/>
      </c>
      <c r="P36" s="51">
        <f>K36-O36</f>
        <v/>
      </c>
      <c r="Q36" s="87">
        <f>Q35+P36</f>
        <v/>
      </c>
      <c r="R36" s="86">
        <f>IF(COUNTIFS('Certificate Ladder'!$B$8:$B$40,"&gt;="&amp;EOMONTH(A36,-1)+1,'Certificate Ladder'!$B$8:$B$40,"&lt;="&amp;A36)&gt;0,Inputs!$C$59,0)</f>
        <v/>
      </c>
    </row>
    <row r="37">
      <c r="A37" s="64">
        <f>EOMONTH(A36,1)</f>
        <v/>
      </c>
      <c r="B37" s="79">
        <f>COUNTIFS('Draw Recovery'!$B$9:$B$116,"&gt;="&amp;EOMONTH(A37,-1)+1,'Draw Recovery'!$B$9:$B$116,"&lt;="&amp;A37)</f>
        <v/>
      </c>
      <c r="C37" s="61">
        <f>B37*Inputs!$C$12</f>
        <v/>
      </c>
      <c r="D37" s="61">
        <f>IF(SUMIFS('Deal Log'!$G$8:$G$257,'Deal Log'!$L$8:$L$257,A37,'Deal Log'!$I$8:$I$257,"Funded")+SUMIFS('Deal Log'!$K$8:$K$257,'Deal Log'!$L$8:$L$257,A37,'Deal Log'!$I$8:$I$257,"Locked")+SUMIFS('Deal Log'!$K$8:$K$257,'Deal Log'!$L$8:$L$257,A37,'Deal Log'!$I$8:$I$257,"Pre-App")&gt;0,SUMIFS('Deal Log'!$G$8:$G$257,'Deal Log'!$L$8:$L$257,A37,'Deal Log'!$I$8:$I$257,"Funded")+SUMIFS('Deal Log'!$K$8:$K$257,'Deal Log'!$L$8:$L$257,A37,'Deal Log'!$I$8:$I$257,"Locked")+SUMIFS('Deal Log'!$K$8:$K$257,'Deal Log'!$L$8:$L$257,A37,'Deal Log'!$I$8:$I$257,"Pre-App"),Inputs!$C$101)</f>
        <v/>
      </c>
      <c r="E37" s="61">
        <f>H36</f>
        <v/>
      </c>
      <c r="F37" s="61">
        <f>IF(Inputs!$C$17="Yes",C37,0)+IF(Inputs!$C$19="Recoverable",Inputs!$C$34,0)</f>
        <v/>
      </c>
      <c r="G37" s="61">
        <f>MIN(E37+F37,D37)</f>
        <v/>
      </c>
      <c r="H37" s="61">
        <f>MAX(0,E37+F37-D37)</f>
        <v/>
      </c>
      <c r="I37" s="50">
        <f>IF(Inputs!$C$17="Yes",C37+MAX(0,D37-(E37+F37)),IF(Inputs!$C$18="Stacked",C37+D37,MAX(C37,D37)))</f>
        <v/>
      </c>
      <c r="J37" s="61">
        <f>IF(Inputs!$C$20="1099",I37*Inputs!$C$74,0)</f>
        <v/>
      </c>
      <c r="K37" s="61">
        <f>I37-J37</f>
        <v/>
      </c>
      <c r="L37" s="81">
        <f>'Monthly Budget'!$C$14</f>
        <v/>
      </c>
      <c r="M37" s="81">
        <f>'Monthly Budget'!$C$23</f>
        <v/>
      </c>
      <c r="N37" s="81">
        <f>'Monthly Budget'!$C$27</f>
        <v/>
      </c>
      <c r="O37" s="61">
        <f>L37+M37+N37</f>
        <v/>
      </c>
      <c r="P37" s="51">
        <f>K37-O37</f>
        <v/>
      </c>
      <c r="Q37" s="82">
        <f>Q36+P37</f>
        <v/>
      </c>
      <c r="R37" s="81">
        <f>IF(COUNTIFS('Certificate Ladder'!$B$8:$B$40,"&gt;="&amp;EOMONTH(A37,-1)+1,'Certificate Ladder'!$B$8:$B$40,"&lt;="&amp;A37)&gt;0,Inputs!$C$59,0)</f>
        <v/>
      </c>
    </row>
    <row r="38">
      <c r="A38" s="67">
        <f>EOMONTH(A37,1)</f>
        <v/>
      </c>
      <c r="B38" s="84">
        <f>COUNTIFS('Draw Recovery'!$B$9:$B$116,"&gt;="&amp;EOMONTH(A38,-1)+1,'Draw Recovery'!$B$9:$B$116,"&lt;="&amp;A38)</f>
        <v/>
      </c>
      <c r="C38" s="66">
        <f>B38*Inputs!$C$12</f>
        <v/>
      </c>
      <c r="D38" s="66">
        <f>IF(SUMIFS('Deal Log'!$G$8:$G$257,'Deal Log'!$L$8:$L$257,A38,'Deal Log'!$I$8:$I$257,"Funded")+SUMIFS('Deal Log'!$K$8:$K$257,'Deal Log'!$L$8:$L$257,A38,'Deal Log'!$I$8:$I$257,"Locked")+SUMIFS('Deal Log'!$K$8:$K$257,'Deal Log'!$L$8:$L$257,A38,'Deal Log'!$I$8:$I$257,"Pre-App")&gt;0,SUMIFS('Deal Log'!$G$8:$G$257,'Deal Log'!$L$8:$L$257,A38,'Deal Log'!$I$8:$I$257,"Funded")+SUMIFS('Deal Log'!$K$8:$K$257,'Deal Log'!$L$8:$L$257,A38,'Deal Log'!$I$8:$I$257,"Locked")+SUMIFS('Deal Log'!$K$8:$K$257,'Deal Log'!$L$8:$L$257,A38,'Deal Log'!$I$8:$I$257,"Pre-App"),Inputs!$C$101)</f>
        <v/>
      </c>
      <c r="E38" s="66">
        <f>H37</f>
        <v/>
      </c>
      <c r="F38" s="66">
        <f>IF(Inputs!$C$17="Yes",C38,0)+IF(Inputs!$C$19="Recoverable",Inputs!$C$34,0)</f>
        <v/>
      </c>
      <c r="G38" s="66">
        <f>MIN(E38+F38,D38)</f>
        <v/>
      </c>
      <c r="H38" s="66">
        <f>MAX(0,E38+F38-D38)</f>
        <v/>
      </c>
      <c r="I38" s="50">
        <f>IF(Inputs!$C$17="Yes",C38+MAX(0,D38-(E38+F38)),IF(Inputs!$C$18="Stacked",C38+D38,MAX(C38,D38)))</f>
        <v/>
      </c>
      <c r="J38" s="66">
        <f>IF(Inputs!$C$20="1099",I38*Inputs!$C$74,0)</f>
        <v/>
      </c>
      <c r="K38" s="66">
        <f>I38-J38</f>
        <v/>
      </c>
      <c r="L38" s="86">
        <f>'Monthly Budget'!$C$14</f>
        <v/>
      </c>
      <c r="M38" s="86">
        <f>'Monthly Budget'!$C$23</f>
        <v/>
      </c>
      <c r="N38" s="86">
        <f>'Monthly Budget'!$C$27</f>
        <v/>
      </c>
      <c r="O38" s="66">
        <f>L38+M38+N38</f>
        <v/>
      </c>
      <c r="P38" s="51">
        <f>K38-O38</f>
        <v/>
      </c>
      <c r="Q38" s="87">
        <f>Q37+P38</f>
        <v/>
      </c>
      <c r="R38" s="86">
        <f>IF(COUNTIFS('Certificate Ladder'!$B$8:$B$40,"&gt;="&amp;EOMONTH(A38,-1)+1,'Certificate Ladder'!$B$8:$B$40,"&lt;="&amp;A38)&gt;0,Inputs!$C$59,0)</f>
        <v/>
      </c>
    </row>
    <row r="39">
      <c r="A39" s="64">
        <f>EOMONTH(A38,1)</f>
        <v/>
      </c>
      <c r="B39" s="79">
        <f>COUNTIFS('Draw Recovery'!$B$9:$B$116,"&gt;="&amp;EOMONTH(A39,-1)+1,'Draw Recovery'!$B$9:$B$116,"&lt;="&amp;A39)</f>
        <v/>
      </c>
      <c r="C39" s="61">
        <f>B39*Inputs!$C$12</f>
        <v/>
      </c>
      <c r="D39" s="61">
        <f>IF(SUMIFS('Deal Log'!$G$8:$G$257,'Deal Log'!$L$8:$L$257,A39,'Deal Log'!$I$8:$I$257,"Funded")+SUMIFS('Deal Log'!$K$8:$K$257,'Deal Log'!$L$8:$L$257,A39,'Deal Log'!$I$8:$I$257,"Locked")+SUMIFS('Deal Log'!$K$8:$K$257,'Deal Log'!$L$8:$L$257,A39,'Deal Log'!$I$8:$I$257,"Pre-App")&gt;0,SUMIFS('Deal Log'!$G$8:$G$257,'Deal Log'!$L$8:$L$257,A39,'Deal Log'!$I$8:$I$257,"Funded")+SUMIFS('Deal Log'!$K$8:$K$257,'Deal Log'!$L$8:$L$257,A39,'Deal Log'!$I$8:$I$257,"Locked")+SUMIFS('Deal Log'!$K$8:$K$257,'Deal Log'!$L$8:$L$257,A39,'Deal Log'!$I$8:$I$257,"Pre-App"),Inputs!$C$101)</f>
        <v/>
      </c>
      <c r="E39" s="61">
        <f>H38</f>
        <v/>
      </c>
      <c r="F39" s="61">
        <f>IF(Inputs!$C$17="Yes",C39,0)+IF(Inputs!$C$19="Recoverable",Inputs!$C$34,0)</f>
        <v/>
      </c>
      <c r="G39" s="61">
        <f>MIN(E39+F39,D39)</f>
        <v/>
      </c>
      <c r="H39" s="61">
        <f>MAX(0,E39+F39-D39)</f>
        <v/>
      </c>
      <c r="I39" s="50">
        <f>IF(Inputs!$C$17="Yes",C39+MAX(0,D39-(E39+F39)),IF(Inputs!$C$18="Stacked",C39+D39,MAX(C39,D39)))</f>
        <v/>
      </c>
      <c r="J39" s="61">
        <f>IF(Inputs!$C$20="1099",I39*Inputs!$C$74,0)</f>
        <v/>
      </c>
      <c r="K39" s="61">
        <f>I39-J39</f>
        <v/>
      </c>
      <c r="L39" s="81">
        <f>'Monthly Budget'!$C$14</f>
        <v/>
      </c>
      <c r="M39" s="81">
        <f>'Monthly Budget'!$C$23</f>
        <v/>
      </c>
      <c r="N39" s="81">
        <f>'Monthly Budget'!$C$27</f>
        <v/>
      </c>
      <c r="O39" s="61">
        <f>L39+M39+N39</f>
        <v/>
      </c>
      <c r="P39" s="51">
        <f>K39-O39</f>
        <v/>
      </c>
      <c r="Q39" s="82">
        <f>Q38+P39</f>
        <v/>
      </c>
      <c r="R39" s="81">
        <f>IF(COUNTIFS('Certificate Ladder'!$B$8:$B$40,"&gt;="&amp;EOMONTH(A39,-1)+1,'Certificate Ladder'!$B$8:$B$40,"&lt;="&amp;A39)&gt;0,Inputs!$C$59,0)</f>
        <v/>
      </c>
    </row>
    <row r="40">
      <c r="A40" s="67">
        <f>EOMONTH(A39,1)</f>
        <v/>
      </c>
      <c r="B40" s="84">
        <f>COUNTIFS('Draw Recovery'!$B$9:$B$116,"&gt;="&amp;EOMONTH(A40,-1)+1,'Draw Recovery'!$B$9:$B$116,"&lt;="&amp;A40)</f>
        <v/>
      </c>
      <c r="C40" s="66">
        <f>B40*Inputs!$C$12</f>
        <v/>
      </c>
      <c r="D40" s="66">
        <f>IF(SUMIFS('Deal Log'!$G$8:$G$257,'Deal Log'!$L$8:$L$257,A40,'Deal Log'!$I$8:$I$257,"Funded")+SUMIFS('Deal Log'!$K$8:$K$257,'Deal Log'!$L$8:$L$257,A40,'Deal Log'!$I$8:$I$257,"Locked")+SUMIFS('Deal Log'!$K$8:$K$257,'Deal Log'!$L$8:$L$257,A40,'Deal Log'!$I$8:$I$257,"Pre-App")&gt;0,SUMIFS('Deal Log'!$G$8:$G$257,'Deal Log'!$L$8:$L$257,A40,'Deal Log'!$I$8:$I$257,"Funded")+SUMIFS('Deal Log'!$K$8:$K$257,'Deal Log'!$L$8:$L$257,A40,'Deal Log'!$I$8:$I$257,"Locked")+SUMIFS('Deal Log'!$K$8:$K$257,'Deal Log'!$L$8:$L$257,A40,'Deal Log'!$I$8:$I$257,"Pre-App"),Inputs!$C$101)</f>
        <v/>
      </c>
      <c r="E40" s="66">
        <f>H39</f>
        <v/>
      </c>
      <c r="F40" s="66">
        <f>IF(Inputs!$C$17="Yes",C40,0)+IF(Inputs!$C$19="Recoverable",Inputs!$C$34,0)</f>
        <v/>
      </c>
      <c r="G40" s="66">
        <f>MIN(E40+F40,D40)</f>
        <v/>
      </c>
      <c r="H40" s="66">
        <f>MAX(0,E40+F40-D40)</f>
        <v/>
      </c>
      <c r="I40" s="50">
        <f>IF(Inputs!$C$17="Yes",C40+MAX(0,D40-(E40+F40)),IF(Inputs!$C$18="Stacked",C40+D40,MAX(C40,D40)))</f>
        <v/>
      </c>
      <c r="J40" s="66">
        <f>IF(Inputs!$C$20="1099",I40*Inputs!$C$74,0)</f>
        <v/>
      </c>
      <c r="K40" s="66">
        <f>I40-J40</f>
        <v/>
      </c>
      <c r="L40" s="86">
        <f>'Monthly Budget'!$C$14</f>
        <v/>
      </c>
      <c r="M40" s="86">
        <f>'Monthly Budget'!$C$23</f>
        <v/>
      </c>
      <c r="N40" s="86">
        <f>'Monthly Budget'!$C$27</f>
        <v/>
      </c>
      <c r="O40" s="66">
        <f>L40+M40+N40</f>
        <v/>
      </c>
      <c r="P40" s="51">
        <f>K40-O40</f>
        <v/>
      </c>
      <c r="Q40" s="87">
        <f>Q39+P40</f>
        <v/>
      </c>
      <c r="R40" s="86">
        <f>IF(COUNTIFS('Certificate Ladder'!$B$8:$B$40,"&gt;="&amp;EOMONTH(A40,-1)+1,'Certificate Ladder'!$B$8:$B$40,"&lt;="&amp;A40)&gt;0,Inputs!$C$59,0)</f>
        <v/>
      </c>
    </row>
    <row r="41">
      <c r="A41" s="64">
        <f>EOMONTH(A40,1)</f>
        <v/>
      </c>
      <c r="B41" s="79">
        <f>COUNTIFS('Draw Recovery'!$B$9:$B$116,"&gt;="&amp;EOMONTH(A41,-1)+1,'Draw Recovery'!$B$9:$B$116,"&lt;="&amp;A41)</f>
        <v/>
      </c>
      <c r="C41" s="61">
        <f>B41*Inputs!$C$12</f>
        <v/>
      </c>
      <c r="D41" s="61">
        <f>IF(SUMIFS('Deal Log'!$G$8:$G$257,'Deal Log'!$L$8:$L$257,A41,'Deal Log'!$I$8:$I$257,"Funded")+SUMIFS('Deal Log'!$K$8:$K$257,'Deal Log'!$L$8:$L$257,A41,'Deal Log'!$I$8:$I$257,"Locked")+SUMIFS('Deal Log'!$K$8:$K$257,'Deal Log'!$L$8:$L$257,A41,'Deal Log'!$I$8:$I$257,"Pre-App")&gt;0,SUMIFS('Deal Log'!$G$8:$G$257,'Deal Log'!$L$8:$L$257,A41,'Deal Log'!$I$8:$I$257,"Funded")+SUMIFS('Deal Log'!$K$8:$K$257,'Deal Log'!$L$8:$L$257,A41,'Deal Log'!$I$8:$I$257,"Locked")+SUMIFS('Deal Log'!$K$8:$K$257,'Deal Log'!$L$8:$L$257,A41,'Deal Log'!$I$8:$I$257,"Pre-App"),Inputs!$C$101)</f>
        <v/>
      </c>
      <c r="E41" s="61">
        <f>H40</f>
        <v/>
      </c>
      <c r="F41" s="61">
        <f>IF(Inputs!$C$17="Yes",C41,0)+IF(Inputs!$C$19="Recoverable",Inputs!$C$34,0)</f>
        <v/>
      </c>
      <c r="G41" s="61">
        <f>MIN(E41+F41,D41)</f>
        <v/>
      </c>
      <c r="H41" s="61">
        <f>MAX(0,E41+F41-D41)</f>
        <v/>
      </c>
      <c r="I41" s="50">
        <f>IF(Inputs!$C$17="Yes",C41+MAX(0,D41-(E41+F41)),IF(Inputs!$C$18="Stacked",C41+D41,MAX(C41,D41)))</f>
        <v/>
      </c>
      <c r="J41" s="61">
        <f>IF(Inputs!$C$20="1099",I41*Inputs!$C$74,0)</f>
        <v/>
      </c>
      <c r="K41" s="61">
        <f>I41-J41</f>
        <v/>
      </c>
      <c r="L41" s="81">
        <f>'Monthly Budget'!$C$14</f>
        <v/>
      </c>
      <c r="M41" s="81">
        <f>'Monthly Budget'!$C$23</f>
        <v/>
      </c>
      <c r="N41" s="81">
        <f>'Monthly Budget'!$C$27</f>
        <v/>
      </c>
      <c r="O41" s="61">
        <f>L41+M41+N41</f>
        <v/>
      </c>
      <c r="P41" s="51">
        <f>K41-O41</f>
        <v/>
      </c>
      <c r="Q41" s="82">
        <f>Q40+P41</f>
        <v/>
      </c>
      <c r="R41" s="81">
        <f>IF(COUNTIFS('Certificate Ladder'!$B$8:$B$40,"&gt;="&amp;EOMONTH(A41,-1)+1,'Certificate Ladder'!$B$8:$B$40,"&lt;="&amp;A41)&gt;0,Inputs!$C$59,0)</f>
        <v/>
      </c>
    </row>
    <row r="42">
      <c r="A42" s="67">
        <f>EOMONTH(A41,1)</f>
        <v/>
      </c>
      <c r="B42" s="84">
        <f>COUNTIFS('Draw Recovery'!$B$9:$B$116,"&gt;="&amp;EOMONTH(A42,-1)+1,'Draw Recovery'!$B$9:$B$116,"&lt;="&amp;A42)</f>
        <v/>
      </c>
      <c r="C42" s="66">
        <f>B42*Inputs!$C$12</f>
        <v/>
      </c>
      <c r="D42" s="66">
        <f>IF(SUMIFS('Deal Log'!$G$8:$G$257,'Deal Log'!$L$8:$L$257,A42,'Deal Log'!$I$8:$I$257,"Funded")+SUMIFS('Deal Log'!$K$8:$K$257,'Deal Log'!$L$8:$L$257,A42,'Deal Log'!$I$8:$I$257,"Locked")+SUMIFS('Deal Log'!$K$8:$K$257,'Deal Log'!$L$8:$L$257,A42,'Deal Log'!$I$8:$I$257,"Pre-App")&gt;0,SUMIFS('Deal Log'!$G$8:$G$257,'Deal Log'!$L$8:$L$257,A42,'Deal Log'!$I$8:$I$257,"Funded")+SUMIFS('Deal Log'!$K$8:$K$257,'Deal Log'!$L$8:$L$257,A42,'Deal Log'!$I$8:$I$257,"Locked")+SUMIFS('Deal Log'!$K$8:$K$257,'Deal Log'!$L$8:$L$257,A42,'Deal Log'!$I$8:$I$257,"Pre-App"),Inputs!$C$101)</f>
        <v/>
      </c>
      <c r="E42" s="66">
        <f>H41</f>
        <v/>
      </c>
      <c r="F42" s="66">
        <f>IF(Inputs!$C$17="Yes",C42,0)+IF(Inputs!$C$19="Recoverable",Inputs!$C$34,0)</f>
        <v/>
      </c>
      <c r="G42" s="66">
        <f>MIN(E42+F42,D42)</f>
        <v/>
      </c>
      <c r="H42" s="66">
        <f>MAX(0,E42+F42-D42)</f>
        <v/>
      </c>
      <c r="I42" s="50">
        <f>IF(Inputs!$C$17="Yes",C42+MAX(0,D42-(E42+F42)),IF(Inputs!$C$18="Stacked",C42+D42,MAX(C42,D42)))</f>
        <v/>
      </c>
      <c r="J42" s="66">
        <f>IF(Inputs!$C$20="1099",I42*Inputs!$C$74,0)</f>
        <v/>
      </c>
      <c r="K42" s="66">
        <f>I42-J42</f>
        <v/>
      </c>
      <c r="L42" s="86">
        <f>'Monthly Budget'!$C$14</f>
        <v/>
      </c>
      <c r="M42" s="86">
        <f>'Monthly Budget'!$C$23</f>
        <v/>
      </c>
      <c r="N42" s="86">
        <f>'Monthly Budget'!$C$27</f>
        <v/>
      </c>
      <c r="O42" s="66">
        <f>L42+M42+N42</f>
        <v/>
      </c>
      <c r="P42" s="51">
        <f>K42-O42</f>
        <v/>
      </c>
      <c r="Q42" s="87">
        <f>Q41+P42</f>
        <v/>
      </c>
      <c r="R42" s="86">
        <f>IF(COUNTIFS('Certificate Ladder'!$B$8:$B$40,"&gt;="&amp;EOMONTH(A42,-1)+1,'Certificate Ladder'!$B$8:$B$40,"&lt;="&amp;A42)&gt;0,Inputs!$C$59,0)</f>
        <v/>
      </c>
    </row>
    <row r="43">
      <c r="A43" s="64">
        <f>EOMONTH(A42,1)</f>
        <v/>
      </c>
      <c r="B43" s="79">
        <f>COUNTIFS('Draw Recovery'!$B$9:$B$116,"&gt;="&amp;EOMONTH(A43,-1)+1,'Draw Recovery'!$B$9:$B$116,"&lt;="&amp;A43)</f>
        <v/>
      </c>
      <c r="C43" s="61">
        <f>B43*Inputs!$C$12</f>
        <v/>
      </c>
      <c r="D43" s="61">
        <f>IF(SUMIFS('Deal Log'!$G$8:$G$257,'Deal Log'!$L$8:$L$257,A43,'Deal Log'!$I$8:$I$257,"Funded")+SUMIFS('Deal Log'!$K$8:$K$257,'Deal Log'!$L$8:$L$257,A43,'Deal Log'!$I$8:$I$257,"Locked")+SUMIFS('Deal Log'!$K$8:$K$257,'Deal Log'!$L$8:$L$257,A43,'Deal Log'!$I$8:$I$257,"Pre-App")&gt;0,SUMIFS('Deal Log'!$G$8:$G$257,'Deal Log'!$L$8:$L$257,A43,'Deal Log'!$I$8:$I$257,"Funded")+SUMIFS('Deal Log'!$K$8:$K$257,'Deal Log'!$L$8:$L$257,A43,'Deal Log'!$I$8:$I$257,"Locked")+SUMIFS('Deal Log'!$K$8:$K$257,'Deal Log'!$L$8:$L$257,A43,'Deal Log'!$I$8:$I$257,"Pre-App"),Inputs!$C$101)</f>
        <v/>
      </c>
      <c r="E43" s="61">
        <f>H42</f>
        <v/>
      </c>
      <c r="F43" s="61">
        <f>IF(Inputs!$C$17="Yes",C43,0)+IF(Inputs!$C$19="Recoverable",Inputs!$C$34,0)</f>
        <v/>
      </c>
      <c r="G43" s="61">
        <f>MIN(E43+F43,D43)</f>
        <v/>
      </c>
      <c r="H43" s="61">
        <f>MAX(0,E43+F43-D43)</f>
        <v/>
      </c>
      <c r="I43" s="50">
        <f>IF(Inputs!$C$17="Yes",C43+MAX(0,D43-(E43+F43)),IF(Inputs!$C$18="Stacked",C43+D43,MAX(C43,D43)))</f>
        <v/>
      </c>
      <c r="J43" s="61">
        <f>IF(Inputs!$C$20="1099",I43*Inputs!$C$74,0)</f>
        <v/>
      </c>
      <c r="K43" s="61">
        <f>I43-J43</f>
        <v/>
      </c>
      <c r="L43" s="81">
        <f>'Monthly Budget'!$C$14</f>
        <v/>
      </c>
      <c r="M43" s="81">
        <f>'Monthly Budget'!$C$23</f>
        <v/>
      </c>
      <c r="N43" s="81">
        <f>'Monthly Budget'!$C$27</f>
        <v/>
      </c>
      <c r="O43" s="61">
        <f>L43+M43+N43</f>
        <v/>
      </c>
      <c r="P43" s="51">
        <f>K43-O43</f>
        <v/>
      </c>
      <c r="Q43" s="82">
        <f>Q42+P43</f>
        <v/>
      </c>
      <c r="R43" s="81">
        <f>IF(COUNTIFS('Certificate Ladder'!$B$8:$B$40,"&gt;="&amp;EOMONTH(A43,-1)+1,'Certificate Ladder'!$B$8:$B$40,"&lt;="&amp;A43)&gt;0,Inputs!$C$59,0)</f>
        <v/>
      </c>
    </row>
    <row r="44">
      <c r="A44" s="67">
        <f>EOMONTH(A43,1)</f>
        <v/>
      </c>
      <c r="B44" s="84">
        <f>COUNTIFS('Draw Recovery'!$B$9:$B$116,"&gt;="&amp;EOMONTH(A44,-1)+1,'Draw Recovery'!$B$9:$B$116,"&lt;="&amp;A44)</f>
        <v/>
      </c>
      <c r="C44" s="66">
        <f>B44*Inputs!$C$12</f>
        <v/>
      </c>
      <c r="D44" s="66">
        <f>IF(SUMIFS('Deal Log'!$G$8:$G$257,'Deal Log'!$L$8:$L$257,A44,'Deal Log'!$I$8:$I$257,"Funded")+SUMIFS('Deal Log'!$K$8:$K$257,'Deal Log'!$L$8:$L$257,A44,'Deal Log'!$I$8:$I$257,"Locked")+SUMIFS('Deal Log'!$K$8:$K$257,'Deal Log'!$L$8:$L$257,A44,'Deal Log'!$I$8:$I$257,"Pre-App")&gt;0,SUMIFS('Deal Log'!$G$8:$G$257,'Deal Log'!$L$8:$L$257,A44,'Deal Log'!$I$8:$I$257,"Funded")+SUMIFS('Deal Log'!$K$8:$K$257,'Deal Log'!$L$8:$L$257,A44,'Deal Log'!$I$8:$I$257,"Locked")+SUMIFS('Deal Log'!$K$8:$K$257,'Deal Log'!$L$8:$L$257,A44,'Deal Log'!$I$8:$I$257,"Pre-App"),Inputs!$C$101)</f>
        <v/>
      </c>
      <c r="E44" s="66">
        <f>H43</f>
        <v/>
      </c>
      <c r="F44" s="66">
        <f>IF(Inputs!$C$17="Yes",C44,0)+IF(Inputs!$C$19="Recoverable",Inputs!$C$34,0)</f>
        <v/>
      </c>
      <c r="G44" s="66">
        <f>MIN(E44+F44,D44)</f>
        <v/>
      </c>
      <c r="H44" s="66">
        <f>MAX(0,E44+F44-D44)</f>
        <v/>
      </c>
      <c r="I44" s="50">
        <f>IF(Inputs!$C$17="Yes",C44+MAX(0,D44-(E44+F44)),IF(Inputs!$C$18="Stacked",C44+D44,MAX(C44,D44)))</f>
        <v/>
      </c>
      <c r="J44" s="66">
        <f>IF(Inputs!$C$20="1099",I44*Inputs!$C$74,0)</f>
        <v/>
      </c>
      <c r="K44" s="66">
        <f>I44-J44</f>
        <v/>
      </c>
      <c r="L44" s="86">
        <f>'Monthly Budget'!$C$14</f>
        <v/>
      </c>
      <c r="M44" s="86">
        <f>'Monthly Budget'!$C$23</f>
        <v/>
      </c>
      <c r="N44" s="86">
        <f>'Monthly Budget'!$C$27</f>
        <v/>
      </c>
      <c r="O44" s="66">
        <f>L44+M44+N44</f>
        <v/>
      </c>
      <c r="P44" s="51">
        <f>K44-O44</f>
        <v/>
      </c>
      <c r="Q44" s="87">
        <f>Q43+P44</f>
        <v/>
      </c>
      <c r="R44" s="86">
        <f>IF(COUNTIFS('Certificate Ladder'!$B$8:$B$40,"&gt;="&amp;EOMONTH(A44,-1)+1,'Certificate Ladder'!$B$8:$B$40,"&lt;="&amp;A44)&gt;0,Inputs!$C$59,0)</f>
        <v/>
      </c>
    </row>
    <row r="45">
      <c r="A45" s="92" t="inlineStr">
        <is>
          <t>36-MO TOTAL</t>
        </is>
      </c>
      <c r="C45" s="93">
        <f>SUM(C$9:C$44)</f>
        <v/>
      </c>
      <c r="D45" s="93">
        <f>SUM(D$9:D$44)</f>
        <v/>
      </c>
      <c r="I45" s="93">
        <f>SUM(I$9:I$44)</f>
        <v/>
      </c>
      <c r="J45" s="93">
        <f>SUM(J$9:J$44)</f>
        <v/>
      </c>
      <c r="K45" s="93">
        <f>SUM(K$9:K$44)</f>
        <v/>
      </c>
      <c r="L45" s="93">
        <f>SUM(L$9:L$44)</f>
        <v/>
      </c>
      <c r="M45" s="93">
        <f>SUM(M$9:M$44)</f>
        <v/>
      </c>
      <c r="N45" s="93">
        <f>SUM(N$9:N$44)</f>
        <v/>
      </c>
      <c r="O45" s="93">
        <f>SUM(O$9:O$44)</f>
        <v/>
      </c>
      <c r="P45" s="93">
        <f>SUM(P$9:P$44)</f>
        <v/>
      </c>
      <c r="R45" s="93">
        <f>SUM(R$9:R$44)</f>
        <v/>
      </c>
    </row>
  </sheetData>
  <mergeCells count="4">
    <mergeCell ref="A2:R2"/>
    <mergeCell ref="A4:D4"/>
    <mergeCell ref="A1:R1"/>
    <mergeCell ref="D5:J5"/>
  </mergeCells>
  <conditionalFormatting sqref="P9:P44">
    <cfRule type="cellIs" priority="1" operator="lessThan" dxfId="0">
      <formula>0</formula>
    </cfRule>
  </conditionalFormatting>
  <conditionalFormatting sqref="Q9:Q44">
    <cfRule type="cellIs" priority="2" operator="lessThan" dxfId="0">
      <formula>0</formula>
    </cfRule>
  </conditionalFormatting>
  <pageMargins left="0.75" right="0.75" top="1" bottom="1" header="0.5" footer="0.5"/>
  <legacyDrawing xmlns:r="http://schemas.openxmlformats.org/officeDocument/2006/relationships" r:id="anysvml"/>
</worksheet>
</file>

<file path=xl/worksheets/sheet9.xml><?xml version="1.0" encoding="utf-8"?>
<worksheet xmlns="http://schemas.openxmlformats.org/spreadsheetml/2006/main">
  <sheetPr>
    <tabColor rgb="00833C00"/>
    <outlinePr summaryBelow="1" summaryRight="1"/>
    <pageSetUpPr fitToPage="1"/>
  </sheetPr>
  <dimension ref="A1:G40"/>
  <sheetViews>
    <sheetView showGridLines="0" workbookViewId="0">
      <pane ySplit="8" topLeftCell="A9" activePane="bottomLeft" state="frozen"/>
      <selection pane="bottomLeft" activeCell="A1" sqref="A1"/>
    </sheetView>
  </sheetViews>
  <sheetFormatPr baseColWidth="8" defaultRowHeight="15"/>
  <cols>
    <col width="6" customWidth="1" min="1" max="1"/>
    <col width="30" customWidth="1" min="2" max="2"/>
    <col width="13" customWidth="1" min="3" max="3"/>
    <col width="13" customWidth="1" min="4" max="4"/>
    <col width="15" customWidth="1" min="5" max="5"/>
    <col width="13" customWidth="1" min="6" max="6"/>
    <col width="54" customWidth="1" min="7" max="7"/>
  </cols>
  <sheetData>
    <row r="1" ht="26" customHeight="1">
      <c r="A1" s="1" t="inlineStr">
        <is>
          <t>BILL CALENDAR  —  a typical month, day by day</t>
        </is>
      </c>
      <c r="B1" s="2" t="n"/>
      <c r="C1" s="2" t="n"/>
      <c r="D1" s="2" t="n"/>
      <c r="E1" s="2" t="n"/>
      <c r="F1" s="2" t="n"/>
      <c r="G1" s="2" t="n"/>
    </row>
    <row r="2" ht="15" customHeight="1">
      <c r="A2" s="3" t="inlineStr">
        <is>
          <t>Your draws land on the 15th and the last day. Your bills cluster on the 1st, 7th and 14th. This sheet shows the squeeze that creates.</t>
        </is>
      </c>
      <c r="B2" s="2" t="n"/>
      <c r="C2" s="2" t="n"/>
      <c r="D2" s="2" t="n"/>
      <c r="E2" s="2" t="n"/>
      <c r="F2" s="2" t="n"/>
      <c r="G2" s="2" t="n"/>
    </row>
    <row r="4">
      <c r="A4" s="46" t="inlineStr">
        <is>
          <t>Starting checking balance:</t>
        </is>
      </c>
      <c r="C4" s="119">
        <f>Inputs!$C$51</f>
        <v/>
      </c>
      <c r="D4" s="46" t="inlineStr">
        <is>
          <t>Lowest point in the month -&gt;</t>
        </is>
      </c>
      <c r="F4" s="76">
        <f>MIN(F9:F39)</f>
        <v/>
      </c>
    </row>
    <row r="5">
      <c r="A5" s="120" t="inlineStr">
        <is>
          <t>!!  The gap that hurts: the month-end draw has to carry Prime (1st), the credit card (7th) and the car payment (14th) before the next draw arrives on the 15th.</t>
        </is>
      </c>
    </row>
    <row r="6">
      <c r="A6" s="121">
        <f>"Those three bills total "&amp;TEXT(Inputs!$C$32+Inputs!$C$65+Inputs!$C$28,"$#,##0.00")&amp;" against a single draw of "&amp;TEXT(Inputs!$C$12,"$#,##0.00")&amp;" - leaving "&amp;TEXT(Inputs!$C$12-Inputs!$C$32-Inputs!$C$65-Inputs!$C$28,"$#,##0.00")&amp;" for fuel, food and everything else for two weeks."</f>
        <v/>
      </c>
    </row>
    <row r="8" ht="30" customHeight="1">
      <c r="A8" s="55" t="inlineStr">
        <is>
          <t>Day</t>
        </is>
      </c>
      <c r="B8" s="55" t="inlineStr">
        <is>
          <t>Event</t>
        </is>
      </c>
      <c r="C8" s="55" t="inlineStr">
        <is>
          <t>Money in</t>
        </is>
      </c>
      <c r="D8" s="55" t="inlineStr">
        <is>
          <t>Money out</t>
        </is>
      </c>
      <c r="E8" s="55" t="inlineStr">
        <is>
          <t>Running
balance</t>
        </is>
      </c>
      <c r="F8" s="55" t="inlineStr">
        <is>
          <t>Cumulative
out</t>
        </is>
      </c>
      <c r="G8" s="55" t="inlineStr">
        <is>
          <t>Note</t>
        </is>
      </c>
    </row>
    <row r="9">
      <c r="A9" s="84" t="n">
        <v>1</v>
      </c>
      <c r="B9" s="12" t="inlineStr">
        <is>
          <t>Amazon Prime</t>
        </is>
      </c>
      <c r="C9" s="66" t="n"/>
      <c r="D9" s="66">
        <f>Inputs!$C$32+(Inputs!$C$43+Inputs!$C$46+Inputs!$C$47+Inputs!$C$48+Inputs!$C$49+Inputs!$C$35+Inputs!$C$36+Inputs!$C$37+Inputs!$C$38)/30</f>
        <v/>
      </c>
      <c r="E9" s="87">
        <f>$C$4+C9-D9</f>
        <v/>
      </c>
      <c r="F9" s="66">
        <f>D9</f>
        <v/>
      </c>
      <c r="G9" s="100" t="inlineStr">
        <is>
          <t>Switch to the annual plan and this becomes ~$11.58/mo.</t>
        </is>
      </c>
    </row>
    <row r="10">
      <c r="A10" s="79" t="n">
        <v>2</v>
      </c>
      <c r="B10" s="14" t="inlineStr">
        <is>
          <t>(daily living)</t>
        </is>
      </c>
      <c r="C10" s="61" t="n"/>
      <c r="D10" s="61">
        <f>(Inputs!$C$43+Inputs!$C$46+Inputs!$C$47+Inputs!$C$48+Inputs!$C$49+Inputs!$C$35+Inputs!$C$36+Inputs!$C$37+Inputs!$C$38)/30</f>
        <v/>
      </c>
      <c r="E10" s="82">
        <f>E9+C10-D10</f>
        <v/>
      </c>
      <c r="F10" s="61">
        <f>F9+D10</f>
        <v/>
      </c>
      <c r="G10" s="95" t="n"/>
    </row>
    <row r="11">
      <c r="A11" s="84" t="n">
        <v>3</v>
      </c>
      <c r="B11" s="122" t="inlineStr">
        <is>
          <t>(daily living)</t>
        </is>
      </c>
      <c r="C11" s="66" t="n"/>
      <c r="D11" s="66">
        <f>(Inputs!$C$43+Inputs!$C$46+Inputs!$C$47+Inputs!$C$48+Inputs!$C$49+Inputs!$C$35+Inputs!$C$36+Inputs!$C$37+Inputs!$C$38)/30</f>
        <v/>
      </c>
      <c r="E11" s="87">
        <f>E10+C11-D11</f>
        <v/>
      </c>
      <c r="F11" s="66">
        <f>F10+D11</f>
        <v/>
      </c>
      <c r="G11" s="97" t="n"/>
    </row>
    <row r="12">
      <c r="A12" s="79" t="n">
        <v>4</v>
      </c>
      <c r="B12" s="14" t="inlineStr">
        <is>
          <t>(daily living)</t>
        </is>
      </c>
      <c r="C12" s="61" t="n"/>
      <c r="D12" s="61">
        <f>(Inputs!$C$43+Inputs!$C$46+Inputs!$C$47+Inputs!$C$48+Inputs!$C$49+Inputs!$C$35+Inputs!$C$36+Inputs!$C$37+Inputs!$C$38)/30</f>
        <v/>
      </c>
      <c r="E12" s="82">
        <f>E11+C12-D12</f>
        <v/>
      </c>
      <c r="F12" s="61">
        <f>F11+D12</f>
        <v/>
      </c>
      <c r="G12" s="95" t="n"/>
    </row>
    <row r="13">
      <c r="A13" s="84" t="n">
        <v>5</v>
      </c>
      <c r="B13" s="122" t="inlineStr">
        <is>
          <t>(daily living)</t>
        </is>
      </c>
      <c r="C13" s="66" t="n"/>
      <c r="D13" s="66">
        <f>(Inputs!$C$43+Inputs!$C$46+Inputs!$C$47+Inputs!$C$48+Inputs!$C$49+Inputs!$C$35+Inputs!$C$36+Inputs!$C$37+Inputs!$C$38)/30</f>
        <v/>
      </c>
      <c r="E13" s="87">
        <f>E12+C13-D13</f>
        <v/>
      </c>
      <c r="F13" s="66">
        <f>F12+D13</f>
        <v/>
      </c>
      <c r="G13" s="97" t="n"/>
    </row>
    <row r="14">
      <c r="A14" s="79" t="n">
        <v>6</v>
      </c>
      <c r="B14" s="14" t="inlineStr">
        <is>
          <t>(daily living)</t>
        </is>
      </c>
      <c r="C14" s="61" t="n"/>
      <c r="D14" s="61">
        <f>(Inputs!$C$43+Inputs!$C$46+Inputs!$C$47+Inputs!$C$48+Inputs!$C$49+Inputs!$C$35+Inputs!$C$36+Inputs!$C$37+Inputs!$C$38)/30</f>
        <v/>
      </c>
      <c r="E14" s="82">
        <f>E13+C14-D14</f>
        <v/>
      </c>
      <c r="F14" s="61">
        <f>F13+D14</f>
        <v/>
      </c>
      <c r="G14" s="95" t="n"/>
    </row>
    <row r="15">
      <c r="A15" s="84" t="n">
        <v>7</v>
      </c>
      <c r="B15" s="12" t="inlineStr">
        <is>
          <t>Credit card payment (full)</t>
        </is>
      </c>
      <c r="C15" s="66" t="n"/>
      <c r="D15" s="66">
        <f>Inputs!$C$65+(Inputs!$C$43+Inputs!$C$46+Inputs!$C$47+Inputs!$C$48+Inputs!$C$49+Inputs!$C$35+Inputs!$C$36+Inputs!$C$37+Inputs!$C$38)/30</f>
        <v/>
      </c>
      <c r="E15" s="87">
        <f>E14+C15-D15</f>
        <v/>
      </c>
      <c r="F15" s="66">
        <f>F14+D15</f>
        <v/>
      </c>
      <c r="G15" s="100" t="inlineStr">
        <is>
          <t>Pay the FULL statement balance. Never the minimum, never a partial.</t>
        </is>
      </c>
    </row>
    <row r="16">
      <c r="A16" s="79" t="n">
        <v>8</v>
      </c>
      <c r="B16" s="14" t="inlineStr">
        <is>
          <t>(daily living)</t>
        </is>
      </c>
      <c r="C16" s="61" t="n"/>
      <c r="D16" s="61">
        <f>(Inputs!$C$43+Inputs!$C$46+Inputs!$C$47+Inputs!$C$48+Inputs!$C$49+Inputs!$C$35+Inputs!$C$36+Inputs!$C$37+Inputs!$C$38)/30</f>
        <v/>
      </c>
      <c r="E16" s="82">
        <f>E15+C16-D16</f>
        <v/>
      </c>
      <c r="F16" s="61">
        <f>F15+D16</f>
        <v/>
      </c>
      <c r="G16" s="95" t="n"/>
    </row>
    <row r="17">
      <c r="A17" s="84" t="n">
        <v>9</v>
      </c>
      <c r="B17" s="122" t="inlineStr">
        <is>
          <t>(daily living)</t>
        </is>
      </c>
      <c r="C17" s="66" t="n"/>
      <c r="D17" s="66">
        <f>(Inputs!$C$43+Inputs!$C$46+Inputs!$C$47+Inputs!$C$48+Inputs!$C$49+Inputs!$C$35+Inputs!$C$36+Inputs!$C$37+Inputs!$C$38)/30</f>
        <v/>
      </c>
      <c r="E17" s="87">
        <f>E16+C17-D17</f>
        <v/>
      </c>
      <c r="F17" s="66">
        <f>F16+D17</f>
        <v/>
      </c>
      <c r="G17" s="97" t="n"/>
    </row>
    <row r="18">
      <c r="A18" s="79" t="n">
        <v>10</v>
      </c>
      <c r="B18" s="14" t="inlineStr">
        <is>
          <t>(daily living)</t>
        </is>
      </c>
      <c r="C18" s="61" t="n"/>
      <c r="D18" s="61">
        <f>(Inputs!$C$43+Inputs!$C$46+Inputs!$C$47+Inputs!$C$48+Inputs!$C$49+Inputs!$C$35+Inputs!$C$36+Inputs!$C$37+Inputs!$C$38)/30</f>
        <v/>
      </c>
      <c r="E18" s="82">
        <f>E17+C18-D18</f>
        <v/>
      </c>
      <c r="F18" s="61">
        <f>F17+D18</f>
        <v/>
      </c>
      <c r="G18" s="95" t="n"/>
    </row>
    <row r="19">
      <c r="A19" s="84" t="n">
        <v>11</v>
      </c>
      <c r="B19" s="122" t="inlineStr">
        <is>
          <t>(daily living)</t>
        </is>
      </c>
      <c r="C19" s="66" t="n"/>
      <c r="D19" s="66">
        <f>(Inputs!$C$43+Inputs!$C$46+Inputs!$C$47+Inputs!$C$48+Inputs!$C$49+Inputs!$C$35+Inputs!$C$36+Inputs!$C$37+Inputs!$C$38)/30</f>
        <v/>
      </c>
      <c r="E19" s="87">
        <f>E18+C19-D19</f>
        <v/>
      </c>
      <c r="F19" s="66">
        <f>F18+D19</f>
        <v/>
      </c>
      <c r="G19" s="97" t="n"/>
    </row>
    <row r="20">
      <c r="A20" s="79" t="n">
        <v>12</v>
      </c>
      <c r="B20" s="14" t="inlineStr">
        <is>
          <t>(daily living)</t>
        </is>
      </c>
      <c r="C20" s="61" t="n"/>
      <c r="D20" s="61">
        <f>(Inputs!$C$43+Inputs!$C$46+Inputs!$C$47+Inputs!$C$48+Inputs!$C$49+Inputs!$C$35+Inputs!$C$36+Inputs!$C$37+Inputs!$C$38)/30</f>
        <v/>
      </c>
      <c r="E20" s="82">
        <f>E19+C20-D20</f>
        <v/>
      </c>
      <c r="F20" s="61">
        <f>F19+D20</f>
        <v/>
      </c>
      <c r="G20" s="95" t="n"/>
    </row>
    <row r="21">
      <c r="A21" s="84" t="n">
        <v>13</v>
      </c>
      <c r="B21" s="122" t="inlineStr">
        <is>
          <t>(daily living)</t>
        </is>
      </c>
      <c r="C21" s="66" t="n"/>
      <c r="D21" s="66">
        <f>(Inputs!$C$43+Inputs!$C$46+Inputs!$C$47+Inputs!$C$48+Inputs!$C$49+Inputs!$C$35+Inputs!$C$36+Inputs!$C$37+Inputs!$C$38)/30</f>
        <v/>
      </c>
      <c r="E21" s="87">
        <f>E20+C21-D21</f>
        <v/>
      </c>
      <c r="F21" s="66">
        <f>F20+D21</f>
        <v/>
      </c>
      <c r="G21" s="97" t="n"/>
    </row>
    <row r="22">
      <c r="A22" s="79" t="n">
        <v>14</v>
      </c>
      <c r="B22" s="12" t="inlineStr">
        <is>
          <t>Auto loan payment</t>
        </is>
      </c>
      <c r="C22" s="61" t="n"/>
      <c r="D22" s="61">
        <f>Inputs!$C$28+(Inputs!$C$43+Inputs!$C$46+Inputs!$C$47+Inputs!$C$48+Inputs!$C$49+Inputs!$C$35+Inputs!$C$36+Inputs!$C$37+Inputs!$C$38)/30</f>
        <v/>
      </c>
      <c r="E22" s="82">
        <f>E21+C22-D22</f>
        <v/>
      </c>
      <c r="F22" s="61">
        <f>F21+D22</f>
        <v/>
      </c>
      <c r="G22" s="96" t="inlineStr">
        <is>
          <t>The big one, and it lands the day BEFORE your draw.</t>
        </is>
      </c>
    </row>
    <row r="23">
      <c r="A23" s="84" t="n">
        <v>15</v>
      </c>
      <c r="B23" s="11" t="inlineStr">
        <is>
          <t>DRAW #1 + Gym (mid-month)</t>
        </is>
      </c>
      <c r="C23" s="66">
        <f>Inputs!$C$12</f>
        <v/>
      </c>
      <c r="D23" s="66">
        <f>Inputs!$C$30+(Inputs!$C$43+Inputs!$C$46+Inputs!$C$47+Inputs!$C$48+Inputs!$C$49+Inputs!$C$35+Inputs!$C$36+Inputs!$C$37+Inputs!$C$38)/30</f>
        <v/>
      </c>
      <c r="E23" s="87">
        <f>E22+C23-D23</f>
        <v/>
      </c>
      <c r="F23" s="66">
        <f>F22+D23</f>
        <v/>
      </c>
      <c r="G23" s="100" t="inlineStr">
        <is>
          <t>Semi-monthly. Shifts back to Friday if the 15th is a weekend.</t>
        </is>
      </c>
    </row>
    <row r="24">
      <c r="A24" s="79" t="n">
        <v>16</v>
      </c>
      <c r="B24" s="14" t="inlineStr">
        <is>
          <t>(daily living)</t>
        </is>
      </c>
      <c r="C24" s="61" t="n"/>
      <c r="D24" s="61">
        <f>(Inputs!$C$43+Inputs!$C$46+Inputs!$C$47+Inputs!$C$48+Inputs!$C$49+Inputs!$C$35+Inputs!$C$36+Inputs!$C$37+Inputs!$C$38)/30</f>
        <v/>
      </c>
      <c r="E24" s="82">
        <f>E23+C24-D24</f>
        <v/>
      </c>
      <c r="F24" s="61">
        <f>F23+D24</f>
        <v/>
      </c>
      <c r="G24" s="95" t="n"/>
    </row>
    <row r="25">
      <c r="A25" s="84" t="n">
        <v>17</v>
      </c>
      <c r="B25" s="122" t="inlineStr">
        <is>
          <t>(daily living)</t>
        </is>
      </c>
      <c r="C25" s="66" t="n"/>
      <c r="D25" s="66">
        <f>(Inputs!$C$43+Inputs!$C$46+Inputs!$C$47+Inputs!$C$48+Inputs!$C$49+Inputs!$C$35+Inputs!$C$36+Inputs!$C$37+Inputs!$C$38)/30</f>
        <v/>
      </c>
      <c r="E25" s="87">
        <f>E24+C25-D25</f>
        <v/>
      </c>
      <c r="F25" s="66">
        <f>F24+D25</f>
        <v/>
      </c>
      <c r="G25" s="97" t="n"/>
    </row>
    <row r="26">
      <c r="A26" s="79" t="n">
        <v>18</v>
      </c>
      <c r="B26" s="14" t="inlineStr">
        <is>
          <t>(daily living)</t>
        </is>
      </c>
      <c r="C26" s="61" t="n"/>
      <c r="D26" s="61">
        <f>(Inputs!$C$43+Inputs!$C$46+Inputs!$C$47+Inputs!$C$48+Inputs!$C$49+Inputs!$C$35+Inputs!$C$36+Inputs!$C$37+Inputs!$C$38)/30</f>
        <v/>
      </c>
      <c r="E26" s="82">
        <f>E25+C26-D26</f>
        <v/>
      </c>
      <c r="F26" s="61">
        <f>F25+D26</f>
        <v/>
      </c>
      <c r="G26" s="95" t="n"/>
    </row>
    <row r="27">
      <c r="A27" s="84" t="n">
        <v>19</v>
      </c>
      <c r="B27" s="122" t="inlineStr">
        <is>
          <t>(daily living)</t>
        </is>
      </c>
      <c r="C27" s="66" t="n"/>
      <c r="D27" s="66">
        <f>(Inputs!$C$43+Inputs!$C$46+Inputs!$C$47+Inputs!$C$48+Inputs!$C$49+Inputs!$C$35+Inputs!$C$36+Inputs!$C$37+Inputs!$C$38)/30</f>
        <v/>
      </c>
      <c r="E27" s="87">
        <f>E26+C27-D27</f>
        <v/>
      </c>
      <c r="F27" s="66">
        <f>F26+D27</f>
        <v/>
      </c>
      <c r="G27" s="97" t="n"/>
    </row>
    <row r="28">
      <c r="A28" s="79" t="n">
        <v>20</v>
      </c>
      <c r="B28" s="14" t="inlineStr">
        <is>
          <t>(daily living)</t>
        </is>
      </c>
      <c r="C28" s="61" t="n"/>
      <c r="D28" s="61">
        <f>(Inputs!$C$43+Inputs!$C$46+Inputs!$C$47+Inputs!$C$48+Inputs!$C$49+Inputs!$C$35+Inputs!$C$36+Inputs!$C$37+Inputs!$C$38)/30</f>
        <v/>
      </c>
      <c r="E28" s="82">
        <f>E27+C28-D28</f>
        <v/>
      </c>
      <c r="F28" s="61">
        <f>F27+D28</f>
        <v/>
      </c>
      <c r="G28" s="95" t="n"/>
    </row>
    <row r="29">
      <c r="A29" s="84" t="n">
        <v>21</v>
      </c>
      <c r="B29" s="122" t="inlineStr">
        <is>
          <t>(daily living)</t>
        </is>
      </c>
      <c r="C29" s="66" t="n"/>
      <c r="D29" s="66">
        <f>(Inputs!$C$43+Inputs!$C$46+Inputs!$C$47+Inputs!$C$48+Inputs!$C$49+Inputs!$C$35+Inputs!$C$36+Inputs!$C$37+Inputs!$C$38)/30</f>
        <v/>
      </c>
      <c r="E29" s="87">
        <f>E28+C29-D29</f>
        <v/>
      </c>
      <c r="F29" s="66">
        <f>F28+D29</f>
        <v/>
      </c>
      <c r="G29" s="97" t="n"/>
    </row>
    <row r="30">
      <c r="A30" s="79" t="n">
        <v>22</v>
      </c>
      <c r="B30" s="14" t="inlineStr">
        <is>
          <t>(daily living)</t>
        </is>
      </c>
      <c r="C30" s="61" t="n"/>
      <c r="D30" s="61">
        <f>(Inputs!$C$43+Inputs!$C$46+Inputs!$C$47+Inputs!$C$48+Inputs!$C$49+Inputs!$C$35+Inputs!$C$36+Inputs!$C$37+Inputs!$C$38)/30</f>
        <v/>
      </c>
      <c r="E30" s="82">
        <f>E29+C30-D30</f>
        <v/>
      </c>
      <c r="F30" s="61">
        <f>F29+D30</f>
        <v/>
      </c>
      <c r="G30" s="95" t="n"/>
    </row>
    <row r="31">
      <c r="A31" s="84" t="n">
        <v>23</v>
      </c>
      <c r="B31" s="122" t="inlineStr">
        <is>
          <t>(daily living)</t>
        </is>
      </c>
      <c r="C31" s="66" t="n"/>
      <c r="D31" s="66">
        <f>(Inputs!$C$43+Inputs!$C$46+Inputs!$C$47+Inputs!$C$48+Inputs!$C$49+Inputs!$C$35+Inputs!$C$36+Inputs!$C$37+Inputs!$C$38)/30</f>
        <v/>
      </c>
      <c r="E31" s="87">
        <f>E30+C31-D31</f>
        <v/>
      </c>
      <c r="F31" s="66">
        <f>F30+D31</f>
        <v/>
      </c>
      <c r="G31" s="97" t="n"/>
    </row>
    <row r="32">
      <c r="A32" s="79" t="n">
        <v>24</v>
      </c>
      <c r="B32" s="14" t="inlineStr">
        <is>
          <t>(daily living)</t>
        </is>
      </c>
      <c r="C32" s="61" t="n"/>
      <c r="D32" s="61">
        <f>(Inputs!$C$43+Inputs!$C$46+Inputs!$C$47+Inputs!$C$48+Inputs!$C$49+Inputs!$C$35+Inputs!$C$36+Inputs!$C$37+Inputs!$C$38)/30</f>
        <v/>
      </c>
      <c r="E32" s="82">
        <f>E31+C32-D32</f>
        <v/>
      </c>
      <c r="F32" s="61">
        <f>F31+D32</f>
        <v/>
      </c>
      <c r="G32" s="95" t="n"/>
    </row>
    <row r="33">
      <c r="A33" s="84" t="n">
        <v>25</v>
      </c>
      <c r="B33" s="122" t="inlineStr">
        <is>
          <t>(daily living)</t>
        </is>
      </c>
      <c r="C33" s="66" t="n"/>
      <c r="D33" s="66">
        <f>(Inputs!$C$43+Inputs!$C$46+Inputs!$C$47+Inputs!$C$48+Inputs!$C$49+Inputs!$C$35+Inputs!$C$36+Inputs!$C$37+Inputs!$C$38)/30</f>
        <v/>
      </c>
      <c r="E33" s="87">
        <f>E32+C33-D33</f>
        <v/>
      </c>
      <c r="F33" s="66">
        <f>F32+D33</f>
        <v/>
      </c>
      <c r="G33" s="97" t="n"/>
    </row>
    <row r="34">
      <c r="A34" s="79" t="n">
        <v>26</v>
      </c>
      <c r="B34" s="14" t="inlineStr">
        <is>
          <t>(daily living)</t>
        </is>
      </c>
      <c r="C34" s="61" t="n"/>
      <c r="D34" s="61">
        <f>(Inputs!$C$43+Inputs!$C$46+Inputs!$C$47+Inputs!$C$48+Inputs!$C$49+Inputs!$C$35+Inputs!$C$36+Inputs!$C$37+Inputs!$C$38)/30</f>
        <v/>
      </c>
      <c r="E34" s="82">
        <f>E33+C34-D34</f>
        <v/>
      </c>
      <c r="F34" s="61">
        <f>F33+D34</f>
        <v/>
      </c>
      <c r="G34" s="95" t="n"/>
    </row>
    <row r="35">
      <c r="A35" s="84" t="n">
        <v>27</v>
      </c>
      <c r="B35" s="122" t="inlineStr">
        <is>
          <t>(daily living)</t>
        </is>
      </c>
      <c r="C35" s="66" t="n"/>
      <c r="D35" s="66">
        <f>(Inputs!$C$43+Inputs!$C$46+Inputs!$C$47+Inputs!$C$48+Inputs!$C$49+Inputs!$C$35+Inputs!$C$36+Inputs!$C$37+Inputs!$C$38)/30</f>
        <v/>
      </c>
      <c r="E35" s="87">
        <f>E34+C35-D35</f>
        <v/>
      </c>
      <c r="F35" s="66">
        <f>F34+D35</f>
        <v/>
      </c>
      <c r="G35" s="97" t="n"/>
    </row>
    <row r="36">
      <c r="A36" s="79" t="n">
        <v>28</v>
      </c>
      <c r="B36" s="14" t="inlineStr">
        <is>
          <t>(daily living)</t>
        </is>
      </c>
      <c r="C36" s="61" t="n"/>
      <c r="D36" s="61">
        <f>(Inputs!$C$43+Inputs!$C$46+Inputs!$C$47+Inputs!$C$48+Inputs!$C$49+Inputs!$C$35+Inputs!$C$36+Inputs!$C$37+Inputs!$C$38)/30</f>
        <v/>
      </c>
      <c r="E36" s="82">
        <f>E35+C36-D36</f>
        <v/>
      </c>
      <c r="F36" s="61">
        <f>F35+D36</f>
        <v/>
      </c>
      <c r="G36" s="95" t="n"/>
    </row>
    <row r="37">
      <c r="A37" s="84" t="n">
        <v>29</v>
      </c>
      <c r="B37" s="122" t="inlineStr">
        <is>
          <t>(daily living)</t>
        </is>
      </c>
      <c r="C37" s="66" t="n"/>
      <c r="D37" s="66">
        <f>(Inputs!$C$43+Inputs!$C$46+Inputs!$C$47+Inputs!$C$48+Inputs!$C$49+Inputs!$C$35+Inputs!$C$36+Inputs!$C$37+Inputs!$C$38)/30</f>
        <v/>
      </c>
      <c r="E37" s="87">
        <f>E36+C37-D37</f>
        <v/>
      </c>
      <c r="F37" s="66">
        <f>F36+D37</f>
        <v/>
      </c>
      <c r="G37" s="97" t="n"/>
    </row>
    <row r="38">
      <c r="A38" s="79" t="n">
        <v>30</v>
      </c>
      <c r="B38" s="11" t="inlineStr">
        <is>
          <t>DRAW #2 (last day of month) + Gym (month-end)</t>
        </is>
      </c>
      <c r="C38" s="61">
        <f>Inputs!$C$12</f>
        <v/>
      </c>
      <c r="D38" s="61">
        <f>Inputs!$C$30+(Inputs!$C$43+Inputs!$C$46+Inputs!$C$47+Inputs!$C$48+Inputs!$C$49+Inputs!$C$35+Inputs!$C$36+Inputs!$C$37+Inputs!$C$38)/30</f>
        <v/>
      </c>
      <c r="E38" s="82">
        <f>E37+C38-D38</f>
        <v/>
      </c>
      <c r="F38" s="61">
        <f>F37+D38</f>
        <v/>
      </c>
      <c r="G38" s="96" t="inlineStr">
        <is>
          <t>Month-end draw. This is the one that has to stretch across the 1st, 7th and 14th.</t>
        </is>
      </c>
    </row>
    <row r="40">
      <c r="B40" s="53" t="inlineStr">
        <is>
          <t>Red in the running-balance column means you overdraft. If you see red, the fix is on 'Recommendations' item #1: build the checking cushion first.</t>
        </is>
      </c>
    </row>
  </sheetData>
  <mergeCells count="7">
    <mergeCell ref="A4:B4"/>
    <mergeCell ref="A1:G1"/>
    <mergeCell ref="A6:G6"/>
    <mergeCell ref="A2:G2"/>
    <mergeCell ref="D4:E4"/>
    <mergeCell ref="B40:G40"/>
    <mergeCell ref="A5:G5"/>
  </mergeCells>
  <conditionalFormatting sqref="E9:E38">
    <cfRule type="cellIs" priority="1" operator="lessThan" dxfId="2">
      <formula>0</formula>
    </cfRule>
  </conditionalFormatting>
  <pageMargins left="0.75" right="0.75" top="1" bottom="1" header="0.5" footer="0.5"/>
</worksheet>
</file>

<file path=xl/worksheets/sheet10.xml><?xml version="1.0" encoding="utf-8"?>
<worksheet xmlns="http://schemas.openxmlformats.org/spreadsheetml/2006/main">
  <sheetPr>
    <tabColor rgb="007F6000"/>
    <outlinePr summaryBelow="1" summaryRight="1"/>
    <pageSetUpPr fitToPage="1"/>
  </sheetPr>
  <dimension ref="A1:F21"/>
  <sheetViews>
    <sheetView showGridLines="0" workbookViewId="0">
      <pane ySplit="5" topLeftCell="A6" activePane="bottomLeft" state="frozen"/>
      <selection pane="bottomLeft" activeCell="A1" sqref="A1"/>
    </sheetView>
  </sheetViews>
  <sheetFormatPr baseColWidth="8" defaultRowHeight="15"/>
  <cols>
    <col width="4" customWidth="1" min="1" max="1"/>
    <col width="40" customWidth="1" min="2" max="2"/>
    <col width="16" customWidth="1" min="3" max="3"/>
    <col width="16" customWidth="1" min="4" max="4"/>
    <col width="4" customWidth="1" min="5" max="5"/>
    <col width="56" customWidth="1" min="6" max="6"/>
  </cols>
  <sheetData>
    <row r="1" ht="26" customHeight="1">
      <c r="A1" s="1" t="inlineStr">
        <is>
          <t>ALLOCATION ENGINE  —  "a commission check just hit. Where does it go?"</t>
        </is>
      </c>
      <c r="B1" s="2" t="n"/>
      <c r="C1" s="2" t="n"/>
      <c r="D1" s="2" t="n"/>
      <c r="E1" s="2" t="n"/>
      <c r="F1" s="2" t="n"/>
    </row>
    <row r="2" ht="15" customHeight="1">
      <c r="A2" s="3" t="inlineStr">
        <is>
          <t>Type the gross commission in the blue cell. The sheet splits it for you using the live state of your accounts.</t>
        </is>
      </c>
      <c r="B2" s="2" t="n"/>
      <c r="C2" s="2" t="n"/>
      <c r="D2" s="2" t="n"/>
      <c r="E2" s="2" t="n"/>
      <c r="F2" s="2" t="n"/>
    </row>
    <row r="5">
      <c r="B5" s="123" t="inlineStr">
        <is>
          <t>GROSS COMMISSION RECEIVED</t>
        </is>
      </c>
      <c r="C5" s="124" t="n">
        <v>2250</v>
      </c>
      <c r="D5" s="53" t="inlineStr">
        <is>
          <t>&lt;- type here</t>
        </is>
      </c>
      <c r="F5" s="53" t="inlineStr">
        <is>
          <t>Example: a $300,000 loan at 75 bps.</t>
        </is>
      </c>
    </row>
    <row r="7" ht="18" customHeight="1">
      <c r="A7" s="4" t="inlineStr">
        <is>
          <t>STEP 1  —  OFF THE TOP, BEFORE YOU LOOK AT THE NUMBER</t>
        </is>
      </c>
      <c r="B7" s="5" t="n"/>
      <c r="C7" s="5" t="n"/>
      <c r="D7" s="5" t="n"/>
      <c r="E7" s="5" t="n"/>
      <c r="F7" s="5" t="n"/>
    </row>
    <row r="8">
      <c r="B8" s="95" t="inlineStr">
        <is>
          <t>Taxes  (separate account, same day)</t>
        </is>
      </c>
      <c r="C8" s="88">
        <f>IF(Inputs!$C$20="1099",$C$5*Inputs!$C$74,0)</f>
        <v/>
      </c>
      <c r="F8" s="96" t="inlineStr">
        <is>
          <t>1099 only. This money was never yours. The single most common way commission earners blow up is spending the IRS's share in Q1 and finding out in April.</t>
        </is>
      </c>
    </row>
    <row r="9">
      <c r="B9" s="95" t="inlineStr">
        <is>
          <t>Advance repayment withheld by the owner</t>
        </is>
      </c>
      <c r="C9" s="88">
        <f>IF(Inputs!$C$17="Yes",MIN($C$5-C9,'Cash Flow'!$E$4),0)</f>
        <v/>
      </c>
      <c r="F9" s="96" t="inlineStr">
        <is>
          <t>If the draw is recoverable this is taken before you see the check. Shown here so the number on your deposit slip is not a surprise.</t>
        </is>
      </c>
    </row>
    <row r="10">
      <c r="B10" s="92">
        <f> NET LANDING IN YOUR ACCOUNT</f>
        <v/>
      </c>
      <c r="C10" s="125">
        <f>$C$5-C9-C10</f>
        <v/>
      </c>
    </row>
    <row r="12" ht="18" customHeight="1">
      <c r="A12" s="4" t="inlineStr">
        <is>
          <t>STEP 2  —  THE WATERFALL (in this order, every time)</t>
        </is>
      </c>
      <c r="B12" s="5" t="n"/>
      <c r="C12" s="5" t="n"/>
      <c r="D12" s="5" t="n"/>
      <c r="E12" s="5" t="n"/>
      <c r="F12" s="5" t="n"/>
    </row>
    <row r="13" ht="30" customHeight="1">
      <c r="A13" s="55" t="inlineStr"/>
      <c r="B13" s="55" t="inlineStr">
        <is>
          <t>Priority</t>
        </is>
      </c>
      <c r="C13" s="55" t="inlineStr">
        <is>
          <t>Amount</t>
        </is>
      </c>
      <c r="D13" s="55" t="inlineStr">
        <is>
          <t>Running
remainder</t>
        </is>
      </c>
      <c r="E13" s="55" t="inlineStr"/>
      <c r="F13" s="55" t="inlineStr">
        <is>
          <t>Why this order</t>
        </is>
      </c>
    </row>
    <row r="14">
      <c r="B14" s="95" t="inlineStr">
        <is>
          <t>1. Top checking back up to its cushion</t>
        </is>
      </c>
      <c r="C14" s="51">
        <f>MIN($C$10,MAX(0,Inputs!$C$52-Inputs!$C$51))</f>
        <v/>
      </c>
      <c r="D14" s="61">
        <f>$C$10-C14</f>
        <v/>
      </c>
      <c r="F14" s="96" t="inlineStr">
        <is>
          <t>You are at $395.40 with $865.84 of bills due in the next week. Fix this first, every time.</t>
        </is>
      </c>
    </row>
    <row r="15">
      <c r="B15" s="97" t="inlineStr">
        <is>
          <t>2. Fill the emergency fund to target</t>
        </is>
      </c>
      <c r="C15" s="51">
        <f>MIN(D14,MAX(0,$C$5*0+'Accounts'!$C$5-Inputs!$C$53))</f>
        <v/>
      </c>
      <c r="D15" s="66">
        <f>D14-C15</f>
        <v/>
      </c>
      <c r="F15" s="100" t="inlineStr">
        <is>
          <t>9 months of burn. Nothing below this line gets a dollar until this is full - your income is lumpy and your draw may be clawable.</t>
        </is>
      </c>
    </row>
    <row r="16">
      <c r="B16" s="95" t="inlineStr">
        <is>
          <t>3. Roth IRA (to the annual limit)</t>
        </is>
      </c>
      <c r="C16" s="51">
        <f>MIN(D15,D15*Inputs!$C$87/(Inputs!$C$87+Inputs!$C$88+Inputs!$C$89+Inputs!$C$90+Inputs!$C$91))</f>
        <v/>
      </c>
      <c r="D16" s="61">
        <f>D15-C16</f>
        <v/>
      </c>
      <c r="F16" s="96" t="inlineStr">
        <is>
          <t>You are 25 with $0 invested. Every year you skip is the most expensive year you will ever skip - see 'Retirement'.</t>
        </is>
      </c>
    </row>
    <row r="17">
      <c r="B17" s="97" t="inlineStr">
        <is>
          <t>4. Ring / special savings</t>
        </is>
      </c>
      <c r="C17" s="51">
        <f>D16*Inputs!$C$88/(Inputs!$C$87+Inputs!$C$88+Inputs!$C$89+Inputs!$C$90+Inputs!$C$91)</f>
        <v/>
      </c>
      <c r="D17" s="66">
        <f>D16-C17</f>
        <v/>
      </c>
      <c r="F17" s="100" t="inlineStr">
        <is>
          <t>Dated goal, ~24 months out. Keep it in cash - never invest money you need inside 3 years.</t>
        </is>
      </c>
    </row>
    <row r="18">
      <c r="B18" s="95" t="inlineStr">
        <is>
          <t>5. House down payment fund</t>
        </is>
      </c>
      <c r="C18" s="51">
        <f>D17*Inputs!$C$89/(Inputs!$C$87+Inputs!$C$88+Inputs!$C$89+Inputs!$C$90+Inputs!$C$91)</f>
        <v/>
      </c>
      <c r="D18" s="61">
        <f>D17-C18</f>
        <v/>
      </c>
      <c r="F18" s="96" t="inlineStr">
        <is>
          <t>Separate from the ring so you can see both clocks at once.</t>
        </is>
      </c>
    </row>
    <row r="19">
      <c r="B19" s="97" t="inlineStr">
        <is>
          <t>6. Extra principal on the car</t>
        </is>
      </c>
      <c r="C19" s="51">
        <f>D18*Inputs!$C$90/(Inputs!$C$87+Inputs!$C$88+Inputs!$C$89+Inputs!$C$90+Inputs!$C$91)</f>
        <v/>
      </c>
      <c r="D19" s="66">
        <f>D18-C19</f>
        <v/>
      </c>
      <c r="F19" s="100" t="inlineStr">
        <is>
          <t>Only worth it if the auto APR beats your savings APY. Check both on Inputs.</t>
        </is>
      </c>
    </row>
    <row r="20">
      <c r="B20" s="95" t="inlineStr">
        <is>
          <t>7. Guilt-free spending</t>
        </is>
      </c>
      <c r="C20" s="51">
        <f>D19*Inputs!$C$91/(Inputs!$C$87+Inputs!$C$88+Inputs!$C$89+Inputs!$C$90+Inputs!$C$91)</f>
        <v/>
      </c>
      <c r="D20" s="61">
        <f>D19-C20</f>
        <v/>
      </c>
      <c r="F20" s="96" t="inlineStr">
        <is>
          <t>Non-negotiable. A budget with no fun in it gets abandoned in about six weeks.</t>
        </is>
      </c>
    </row>
    <row r="21">
      <c r="B21" s="92" t="inlineStr">
        <is>
          <t>TOTAL ALLOCATED</t>
        </is>
      </c>
      <c r="C21" s="125">
        <f>SUM(C14:C20)</f>
        <v/>
      </c>
      <c r="D21" s="126">
        <f>IF(ROUND(C21-$C$10,2)=0,"balanced","CHECK - does not tie")</f>
        <v/>
      </c>
    </row>
  </sheetData>
  <mergeCells count="4">
    <mergeCell ref="A2:F2"/>
    <mergeCell ref="A1:F1"/>
    <mergeCell ref="A7:F7"/>
    <mergeCell ref="A12:F12"/>
  </mergeCells>
  <pageMargins left="0.75" right="0.75" top="1" bottom="1" header="0.5" footer="0.5"/>
</worksheet>
</file>

<file path=xl/worksheets/sheet11.xml><?xml version="1.0" encoding="utf-8"?>
<worksheet xmlns="http://schemas.openxmlformats.org/spreadsheetml/2006/main">
  <sheetPr>
    <tabColor rgb="001E7B4F"/>
    <outlinePr summaryBelow="1" summaryRight="1"/>
    <pageSetUpPr fitToPage="1"/>
  </sheetPr>
  <dimension ref="A1:AE44"/>
  <sheetViews>
    <sheetView showGridLines="0" workbookViewId="0">
      <pane xSplit="1" ySplit="8" topLeftCell="B9" activePane="bottomRight" state="frozen"/>
      <selection pane="topRight"/>
      <selection pane="bottomLeft"/>
      <selection pane="bottomRight" activeCell="A1" sqref="A1"/>
    </sheetView>
  </sheetViews>
  <sheetFormatPr baseColWidth="8" defaultRowHeight="15"/>
  <cols>
    <col width="11" customWidth="1" min="1" max="1"/>
    <col width="13" customWidth="1" min="2" max="2"/>
    <col width="12" customWidth="1" min="3" max="3"/>
    <col width="12" customWidth="1" min="4" max="4"/>
    <col width="12" customWidth="1" min="5" max="5"/>
    <col width="13" customWidth="1" min="6" max="6"/>
    <col width="13" customWidth="1" min="7" max="7"/>
    <col width="12" customWidth="1" min="8" max="8"/>
    <col width="11" customWidth="1" min="9" max="9"/>
    <col width="12" customWidth="1" min="10" max="10"/>
    <col width="11" customWidth="1" min="11" max="11"/>
    <col width="12" customWidth="1" min="12" max="12"/>
    <col width="12" customWidth="1" min="13" max="13"/>
    <col width="10" customWidth="1" min="14" max="14"/>
    <col width="10" customWidth="1" min="15" max="15"/>
    <col width="12" customWidth="1" min="16" max="16"/>
    <col width="12" customWidth="1" min="17" max="17"/>
    <col width="11" customWidth="1" min="18" max="18"/>
    <col width="10" customWidth="1" min="19" max="19"/>
    <col width="12" customWidth="1" min="20" max="20"/>
    <col width="11" customWidth="1" min="21" max="21"/>
    <col width="11" customWidth="1" min="22" max="22"/>
    <col width="12" customWidth="1" min="23" max="23"/>
    <col width="11" customWidth="1" min="24" max="24"/>
    <col width="11" customWidth="1" min="25" max="25"/>
    <col width="12" customWidth="1" min="26" max="26"/>
    <col width="11" customWidth="1" min="27" max="27"/>
    <col width="10" customWidth="1" min="28" max="28"/>
    <col width="15" customWidth="1" min="29" max="29"/>
    <col width="13" customWidth="1" min="30" max="30"/>
    <col width="15" customWidth="1" min="31" max="31"/>
  </cols>
  <sheetData>
    <row r="1" ht="26" customHeight="1">
      <c r="A1" s="1" t="inlineStr">
        <is>
          <t>ACCOUNT ROLL-FORWARD  —  where every dollar of surplus actually lands, month by month</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c r="AD1" s="2" t="n"/>
      <c r="AE1" s="2" t="n"/>
    </row>
    <row r="2" ht="15" customHeight="1">
      <c r="A2" s="3" t="inlineStr">
        <is>
          <t>The waterfall: top up checking to its cushion -&gt; fill the emergency fund -&gt; then split by the percentages on Inputs. Interest is credited monthly.</t>
        </is>
      </c>
      <c r="B2" s="2"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c r="AE2" s="2" t="n"/>
    </row>
    <row r="4">
      <c r="A4" s="46" t="inlineStr">
        <is>
          <t>THE WATERFALL:</t>
        </is>
      </c>
      <c r="C4" s="127" t="inlineStr">
        <is>
          <t>1) Checking back to its cushion   -&gt;   2) Emergency fund to full (nothing else gets funded until it is)   -&gt;   3) split the rest: Roth / Ring / House / Car / Fun</t>
        </is>
      </c>
    </row>
    <row r="5">
      <c r="A5" s="46" t="inlineStr">
        <is>
          <t>Emergency fund target:</t>
        </is>
      </c>
      <c r="C5" s="51">
        <f>Inputs!$C$77*'Monthly Budget'!C32</f>
        <v/>
      </c>
      <c r="D5" s="53">
        <f>Inputs!$C$77&amp;" months of total burn. Held in the HYSA."</f>
        <v/>
      </c>
    </row>
    <row r="7">
      <c r="C7" s="128" t="inlineStr">
        <is>
          <t>CHECKING</t>
        </is>
      </c>
      <c r="D7" s="2" t="n"/>
      <c r="E7" s="2" t="n"/>
      <c r="F7" s="2" t="n"/>
      <c r="H7" s="129" t="inlineStr">
        <is>
          <t>HYSA / EMERGENCY FUND</t>
        </is>
      </c>
      <c r="I7" s="25" t="n"/>
      <c r="J7" s="25" t="n"/>
      <c r="K7" s="25" t="n"/>
      <c r="L7" s="25" t="n"/>
      <c r="M7" s="130" t="inlineStr">
        <is>
          <t>CERTIFICATE</t>
        </is>
      </c>
      <c r="N7" s="131" t="n"/>
      <c r="O7" s="131" t="n"/>
      <c r="P7" s="131" t="n"/>
      <c r="Q7" s="132" t="inlineStr">
        <is>
          <t>ROTH IRA</t>
        </is>
      </c>
      <c r="R7" s="133" t="n"/>
      <c r="S7" s="133" t="n"/>
      <c r="T7" s="133" t="n"/>
      <c r="U7" s="134" t="inlineStr">
        <is>
          <t>RING / SPECIAL</t>
        </is>
      </c>
      <c r="V7" s="135" t="n"/>
      <c r="W7" s="135" t="n"/>
      <c r="X7" s="136" t="inlineStr">
        <is>
          <t>HOUSE FUND</t>
        </is>
      </c>
      <c r="Y7" s="137" t="n"/>
      <c r="Z7" s="137" t="n"/>
      <c r="AA7" s="138" t="inlineStr">
        <is>
          <t>OTHER</t>
        </is>
      </c>
      <c r="AB7" s="139" t="n"/>
      <c r="AC7" s="128" t="inlineStr">
        <is>
          <t>TOTALS</t>
        </is>
      </c>
      <c r="AD7" s="2" t="n"/>
      <c r="AE7" s="2" t="n"/>
    </row>
    <row r="8" ht="30" customHeight="1">
      <c r="A8" s="55" t="inlineStr">
        <is>
          <t>Month</t>
        </is>
      </c>
      <c r="B8" s="55" t="inlineStr">
        <is>
          <t>Net surplus</t>
        </is>
      </c>
      <c r="C8" s="55" t="inlineStr">
        <is>
          <t>Chk
open</t>
        </is>
      </c>
      <c r="D8" s="55" t="inlineStr">
        <is>
          <t>Chk
flow</t>
        </is>
      </c>
      <c r="E8" s="55" t="inlineStr">
        <is>
          <t>Chk
close</t>
        </is>
      </c>
      <c r="F8" s="55" t="inlineStr">
        <is>
          <t>Allocatable</t>
        </is>
      </c>
      <c r="G8" s="55" t="inlineStr">
        <is>
          <t>EF target</t>
        </is>
      </c>
      <c r="H8" s="55" t="inlineStr">
        <is>
          <t>Open</t>
        </is>
      </c>
      <c r="I8" s="55" t="inlineStr">
        <is>
          <t>Interest</t>
        </is>
      </c>
      <c r="J8" s="55" t="inlineStr">
        <is>
          <t>EF
contrib</t>
        </is>
      </c>
      <c r="K8" s="55" t="inlineStr">
        <is>
          <t>Cert
transfer</t>
        </is>
      </c>
      <c r="L8" s="55" t="inlineStr">
        <is>
          <t>Close</t>
        </is>
      </c>
      <c r="M8" s="55" t="inlineStr">
        <is>
          <t>Open</t>
        </is>
      </c>
      <c r="N8" s="55" t="inlineStr">
        <is>
          <t>Interest</t>
        </is>
      </c>
      <c r="O8" s="55" t="inlineStr">
        <is>
          <t>Roll-in</t>
        </is>
      </c>
      <c r="P8" s="55" t="inlineStr">
        <is>
          <t>Close</t>
        </is>
      </c>
      <c r="Q8" s="55" t="inlineStr">
        <is>
          <t>Open</t>
        </is>
      </c>
      <c r="R8" s="55" t="inlineStr">
        <is>
          <t>Contrib</t>
        </is>
      </c>
      <c r="S8" s="55" t="inlineStr">
        <is>
          <t>Growth</t>
        </is>
      </c>
      <c r="T8" s="55" t="inlineStr">
        <is>
          <t>Close</t>
        </is>
      </c>
      <c r="U8" s="55" t="inlineStr">
        <is>
          <t>Open</t>
        </is>
      </c>
      <c r="V8" s="55" t="inlineStr">
        <is>
          <t>Contrib</t>
        </is>
      </c>
      <c r="W8" s="55" t="inlineStr">
        <is>
          <t>Close</t>
        </is>
      </c>
      <c r="X8" s="55" t="inlineStr">
        <is>
          <t>Open</t>
        </is>
      </c>
      <c r="Y8" s="55" t="inlineStr">
        <is>
          <t>Contrib</t>
        </is>
      </c>
      <c r="Z8" s="55" t="inlineStr">
        <is>
          <t>Close</t>
        </is>
      </c>
      <c r="AA8" s="55" t="inlineStr">
        <is>
          <t>Car extra
principal</t>
        </is>
      </c>
      <c r="AB8" s="55" t="inlineStr">
        <is>
          <t>Fun
money</t>
        </is>
      </c>
      <c r="AC8" s="55" t="inlineStr">
        <is>
          <t>TOTAL SAVED
&amp; INVESTED</t>
        </is>
      </c>
      <c r="AD8" s="55" t="inlineStr">
        <is>
          <t>Auto loan
balance</t>
        </is>
      </c>
      <c r="AE8" s="55" t="inlineStr">
        <is>
          <t>NET WORTH
(liquid)</t>
        </is>
      </c>
    </row>
    <row r="9">
      <c r="A9" s="118">
        <f>'Cash Flow'!A9</f>
        <v/>
      </c>
      <c r="B9" s="81">
        <f>'Cash Flow'!P9</f>
        <v/>
      </c>
      <c r="C9" s="81">
        <f>Inputs!$C$51</f>
        <v/>
      </c>
      <c r="D9" s="61">
        <f>IF(B9&lt;0,B9,MAX(0,MIN(B9,Inputs!$C$52-C9)))</f>
        <v/>
      </c>
      <c r="E9" s="82">
        <f>C9+D9</f>
        <v/>
      </c>
      <c r="F9" s="61">
        <f>MAX(0,B9-D9)</f>
        <v/>
      </c>
      <c r="G9" s="61">
        <f>$C$5</f>
        <v/>
      </c>
      <c r="H9" s="81">
        <f>Inputs!$C$53</f>
        <v/>
      </c>
      <c r="I9" s="61">
        <f>H9*Inputs!$C$54/12</f>
        <v/>
      </c>
      <c r="J9" s="61">
        <f>IF(H9+I9&lt;G9,MIN(F9,G9-H9-I9),F9*Inputs!$C$86)</f>
        <v/>
      </c>
      <c r="K9" s="81">
        <f>'Cash Flow'!R9</f>
        <v/>
      </c>
      <c r="L9" s="82">
        <f>MAX(0,H9+I9+J9-K9)</f>
        <v/>
      </c>
      <c r="M9" s="81">
        <f>Inputs!$C$55</f>
        <v/>
      </c>
      <c r="N9" s="61">
        <f>M9*Inputs!$C$56/12</f>
        <v/>
      </c>
      <c r="O9" s="61">
        <f>K9</f>
        <v/>
      </c>
      <c r="P9" s="82">
        <f>M9+N9+O9</f>
        <v/>
      </c>
      <c r="Q9" s="81">
        <f>Inputs!$C$61</f>
        <v/>
      </c>
      <c r="R9" s="61">
        <f>IFERROR(MAX(0,F9-J9)*Inputs!$C$87/(Inputs!$C$87+Inputs!$C$88+Inputs!$C$89+Inputs!$C$90+Inputs!$C$91),0)</f>
        <v/>
      </c>
      <c r="S9" s="61">
        <f>Q9*'Retirement'!$C$5/12</f>
        <v/>
      </c>
      <c r="T9" s="82">
        <f>Q9+R9+S9</f>
        <v/>
      </c>
      <c r="U9" s="81">
        <f>Inputs!$C$60</f>
        <v/>
      </c>
      <c r="V9" s="61">
        <f>IFERROR(MAX(0,F9-J9)*Inputs!$C$88/(Inputs!$C$87+Inputs!$C$88+Inputs!$C$89+Inputs!$C$90+Inputs!$C$91),0)</f>
        <v/>
      </c>
      <c r="W9" s="82">
        <f>U9*(1+Inputs!$C$54/12)+V9</f>
        <v/>
      </c>
      <c r="X9" s="61">
        <f>0</f>
        <v/>
      </c>
      <c r="Y9" s="61">
        <f>IFERROR(MAX(0,F9-J9)*Inputs!$C$89/(Inputs!$C$87+Inputs!$C$88+Inputs!$C$89+Inputs!$C$90+Inputs!$C$91),0)</f>
        <v/>
      </c>
      <c r="Z9" s="82">
        <f>X9*(1+Inputs!$C$54/12)+Y9</f>
        <v/>
      </c>
      <c r="AA9" s="61">
        <f>IFERROR(MAX(0,F9-J9)*Inputs!$C$90/(Inputs!$C$87+Inputs!$C$88+Inputs!$C$89+Inputs!$C$90+Inputs!$C$91),0)</f>
        <v/>
      </c>
      <c r="AB9" s="61">
        <f>IFERROR(MAX(0,F9-J9)*Inputs!$C$91/(Inputs!$C$87+Inputs!$C$88+Inputs!$C$89+Inputs!$C$90+Inputs!$C$91),0)</f>
        <v/>
      </c>
      <c r="AC9" s="50">
        <f>E9+L9+P9+T9+W9+Z9</f>
        <v/>
      </c>
      <c r="AD9" s="81">
        <f>'Car Loan'!H10</f>
        <v/>
      </c>
      <c r="AE9" s="51">
        <f>AC9-AD9</f>
        <v/>
      </c>
    </row>
    <row r="10">
      <c r="A10" s="140">
        <f>'Cash Flow'!A10</f>
        <v/>
      </c>
      <c r="B10" s="86">
        <f>'Cash Flow'!P10</f>
        <v/>
      </c>
      <c r="C10" s="66">
        <f>E9</f>
        <v/>
      </c>
      <c r="D10" s="66">
        <f>IF(B10&lt;0,B10,MAX(0,MIN(B10,Inputs!$C$52-C10)))</f>
        <v/>
      </c>
      <c r="E10" s="87">
        <f>C10+D10</f>
        <v/>
      </c>
      <c r="F10" s="66">
        <f>MAX(0,B10-D10)</f>
        <v/>
      </c>
      <c r="G10" s="66">
        <f>$C$5</f>
        <v/>
      </c>
      <c r="H10" s="66">
        <f>L9</f>
        <v/>
      </c>
      <c r="I10" s="66">
        <f>H10*Inputs!$C$54/12</f>
        <v/>
      </c>
      <c r="J10" s="66">
        <f>IF(H10+I10&lt;G10,MIN(F10,G10-H10-I10),F10*Inputs!$C$86)</f>
        <v/>
      </c>
      <c r="K10" s="86">
        <f>'Cash Flow'!R10</f>
        <v/>
      </c>
      <c r="L10" s="87">
        <f>MAX(0,H10+I10+J10-K10)</f>
        <v/>
      </c>
      <c r="M10" s="66">
        <f>P9</f>
        <v/>
      </c>
      <c r="N10" s="66">
        <f>M10*Inputs!$C$56/12</f>
        <v/>
      </c>
      <c r="O10" s="66">
        <f>K10</f>
        <v/>
      </c>
      <c r="P10" s="87">
        <f>M10+N10+O10</f>
        <v/>
      </c>
      <c r="Q10" s="66">
        <f>T9</f>
        <v/>
      </c>
      <c r="R10" s="66">
        <f>IFERROR(MAX(0,F10-J10)*Inputs!$C$87/(Inputs!$C$87+Inputs!$C$88+Inputs!$C$89+Inputs!$C$90+Inputs!$C$91),0)</f>
        <v/>
      </c>
      <c r="S10" s="66">
        <f>Q10*'Retirement'!$C$5/12</f>
        <v/>
      </c>
      <c r="T10" s="87">
        <f>Q10+R10+S10</f>
        <v/>
      </c>
      <c r="U10" s="66">
        <f>W9</f>
        <v/>
      </c>
      <c r="V10" s="66">
        <f>IFERROR(MAX(0,F10-J10)*Inputs!$C$88/(Inputs!$C$87+Inputs!$C$88+Inputs!$C$89+Inputs!$C$90+Inputs!$C$91),0)</f>
        <v/>
      </c>
      <c r="W10" s="87">
        <f>U10*(1+Inputs!$C$54/12)+V10</f>
        <v/>
      </c>
      <c r="X10" s="66">
        <f>Z9</f>
        <v/>
      </c>
      <c r="Y10" s="66">
        <f>IFERROR(MAX(0,F10-J10)*Inputs!$C$89/(Inputs!$C$87+Inputs!$C$88+Inputs!$C$89+Inputs!$C$90+Inputs!$C$91),0)</f>
        <v/>
      </c>
      <c r="Z10" s="87">
        <f>X10*(1+Inputs!$C$54/12)+Y10</f>
        <v/>
      </c>
      <c r="AA10" s="66">
        <f>IFERROR(MAX(0,F10-J10)*Inputs!$C$90/(Inputs!$C$87+Inputs!$C$88+Inputs!$C$89+Inputs!$C$90+Inputs!$C$91),0)</f>
        <v/>
      </c>
      <c r="AB10" s="66">
        <f>IFERROR(MAX(0,F10-J10)*Inputs!$C$91/(Inputs!$C$87+Inputs!$C$88+Inputs!$C$89+Inputs!$C$90+Inputs!$C$91),0)</f>
        <v/>
      </c>
      <c r="AC10" s="50">
        <f>E10+L10+P10+T10+W10+Z10</f>
        <v/>
      </c>
      <c r="AD10" s="86">
        <f>'Car Loan'!H11</f>
        <v/>
      </c>
      <c r="AE10" s="51">
        <f>AC10-AD10</f>
        <v/>
      </c>
    </row>
    <row r="11">
      <c r="A11" s="118">
        <f>'Cash Flow'!A11</f>
        <v/>
      </c>
      <c r="B11" s="81">
        <f>'Cash Flow'!P11</f>
        <v/>
      </c>
      <c r="C11" s="61">
        <f>E10</f>
        <v/>
      </c>
      <c r="D11" s="61">
        <f>IF(B11&lt;0,B11,MAX(0,MIN(B11,Inputs!$C$52-C11)))</f>
        <v/>
      </c>
      <c r="E11" s="82">
        <f>C11+D11</f>
        <v/>
      </c>
      <c r="F11" s="61">
        <f>MAX(0,B11-D11)</f>
        <v/>
      </c>
      <c r="G11" s="61">
        <f>$C$5</f>
        <v/>
      </c>
      <c r="H11" s="61">
        <f>L10</f>
        <v/>
      </c>
      <c r="I11" s="61">
        <f>H11*Inputs!$C$54/12</f>
        <v/>
      </c>
      <c r="J11" s="61">
        <f>IF(H11+I11&lt;G11,MIN(F11,G11-H11-I11),F11*Inputs!$C$86)</f>
        <v/>
      </c>
      <c r="K11" s="81">
        <f>'Cash Flow'!R11</f>
        <v/>
      </c>
      <c r="L11" s="82">
        <f>MAX(0,H11+I11+J11-K11)</f>
        <v/>
      </c>
      <c r="M11" s="61">
        <f>P10</f>
        <v/>
      </c>
      <c r="N11" s="61">
        <f>M11*Inputs!$C$56/12</f>
        <v/>
      </c>
      <c r="O11" s="61">
        <f>K11</f>
        <v/>
      </c>
      <c r="P11" s="82">
        <f>M11+N11+O11</f>
        <v/>
      </c>
      <c r="Q11" s="61">
        <f>T10</f>
        <v/>
      </c>
      <c r="R11" s="61">
        <f>IFERROR(MAX(0,F11-J11)*Inputs!$C$87/(Inputs!$C$87+Inputs!$C$88+Inputs!$C$89+Inputs!$C$90+Inputs!$C$91),0)</f>
        <v/>
      </c>
      <c r="S11" s="61">
        <f>Q11*'Retirement'!$C$5/12</f>
        <v/>
      </c>
      <c r="T11" s="82">
        <f>Q11+R11+S11</f>
        <v/>
      </c>
      <c r="U11" s="61">
        <f>W10</f>
        <v/>
      </c>
      <c r="V11" s="61">
        <f>IFERROR(MAX(0,F11-J11)*Inputs!$C$88/(Inputs!$C$87+Inputs!$C$88+Inputs!$C$89+Inputs!$C$90+Inputs!$C$91),0)</f>
        <v/>
      </c>
      <c r="W11" s="82">
        <f>U11*(1+Inputs!$C$54/12)+V11</f>
        <v/>
      </c>
      <c r="X11" s="61">
        <f>Z10</f>
        <v/>
      </c>
      <c r="Y11" s="61">
        <f>IFERROR(MAX(0,F11-J11)*Inputs!$C$89/(Inputs!$C$87+Inputs!$C$88+Inputs!$C$89+Inputs!$C$90+Inputs!$C$91),0)</f>
        <v/>
      </c>
      <c r="Z11" s="82">
        <f>X11*(1+Inputs!$C$54/12)+Y11</f>
        <v/>
      </c>
      <c r="AA11" s="61">
        <f>IFERROR(MAX(0,F11-J11)*Inputs!$C$90/(Inputs!$C$87+Inputs!$C$88+Inputs!$C$89+Inputs!$C$90+Inputs!$C$91),0)</f>
        <v/>
      </c>
      <c r="AB11" s="61">
        <f>IFERROR(MAX(0,F11-J11)*Inputs!$C$91/(Inputs!$C$87+Inputs!$C$88+Inputs!$C$89+Inputs!$C$90+Inputs!$C$91),0)</f>
        <v/>
      </c>
      <c r="AC11" s="50">
        <f>E11+L11+P11+T11+W11+Z11</f>
        <v/>
      </c>
      <c r="AD11" s="81">
        <f>'Car Loan'!H12</f>
        <v/>
      </c>
      <c r="AE11" s="51">
        <f>AC11-AD11</f>
        <v/>
      </c>
    </row>
    <row r="12">
      <c r="A12" s="140">
        <f>'Cash Flow'!A12</f>
        <v/>
      </c>
      <c r="B12" s="86">
        <f>'Cash Flow'!P12</f>
        <v/>
      </c>
      <c r="C12" s="66">
        <f>E11</f>
        <v/>
      </c>
      <c r="D12" s="66">
        <f>IF(B12&lt;0,B12,MAX(0,MIN(B12,Inputs!$C$52-C12)))</f>
        <v/>
      </c>
      <c r="E12" s="87">
        <f>C12+D12</f>
        <v/>
      </c>
      <c r="F12" s="66">
        <f>MAX(0,B12-D12)</f>
        <v/>
      </c>
      <c r="G12" s="66">
        <f>$C$5</f>
        <v/>
      </c>
      <c r="H12" s="66">
        <f>L11</f>
        <v/>
      </c>
      <c r="I12" s="66">
        <f>H12*Inputs!$C$54/12</f>
        <v/>
      </c>
      <c r="J12" s="66">
        <f>IF(H12+I12&lt;G12,MIN(F12,G12-H12-I12),F12*Inputs!$C$86)</f>
        <v/>
      </c>
      <c r="K12" s="86">
        <f>'Cash Flow'!R12</f>
        <v/>
      </c>
      <c r="L12" s="87">
        <f>MAX(0,H12+I12+J12-K12)</f>
        <v/>
      </c>
      <c r="M12" s="66">
        <f>P11</f>
        <v/>
      </c>
      <c r="N12" s="66">
        <f>M12*Inputs!$C$56/12</f>
        <v/>
      </c>
      <c r="O12" s="66">
        <f>K12</f>
        <v/>
      </c>
      <c r="P12" s="87">
        <f>M12+N12+O12</f>
        <v/>
      </c>
      <c r="Q12" s="66">
        <f>T11</f>
        <v/>
      </c>
      <c r="R12" s="66">
        <f>IFERROR(MAX(0,F12-J12)*Inputs!$C$87/(Inputs!$C$87+Inputs!$C$88+Inputs!$C$89+Inputs!$C$90+Inputs!$C$91),0)</f>
        <v/>
      </c>
      <c r="S12" s="66">
        <f>Q12*'Retirement'!$C$5/12</f>
        <v/>
      </c>
      <c r="T12" s="87">
        <f>Q12+R12+S12</f>
        <v/>
      </c>
      <c r="U12" s="66">
        <f>W11</f>
        <v/>
      </c>
      <c r="V12" s="66">
        <f>IFERROR(MAX(0,F12-J12)*Inputs!$C$88/(Inputs!$C$87+Inputs!$C$88+Inputs!$C$89+Inputs!$C$90+Inputs!$C$91),0)</f>
        <v/>
      </c>
      <c r="W12" s="87">
        <f>U12*(1+Inputs!$C$54/12)+V12</f>
        <v/>
      </c>
      <c r="X12" s="66">
        <f>Z11</f>
        <v/>
      </c>
      <c r="Y12" s="66">
        <f>IFERROR(MAX(0,F12-J12)*Inputs!$C$89/(Inputs!$C$87+Inputs!$C$88+Inputs!$C$89+Inputs!$C$90+Inputs!$C$91),0)</f>
        <v/>
      </c>
      <c r="Z12" s="87">
        <f>X12*(1+Inputs!$C$54/12)+Y12</f>
        <v/>
      </c>
      <c r="AA12" s="66">
        <f>IFERROR(MAX(0,F12-J12)*Inputs!$C$90/(Inputs!$C$87+Inputs!$C$88+Inputs!$C$89+Inputs!$C$90+Inputs!$C$91),0)</f>
        <v/>
      </c>
      <c r="AB12" s="66">
        <f>IFERROR(MAX(0,F12-J12)*Inputs!$C$91/(Inputs!$C$87+Inputs!$C$88+Inputs!$C$89+Inputs!$C$90+Inputs!$C$91),0)</f>
        <v/>
      </c>
      <c r="AC12" s="50">
        <f>E12+L12+P12+T12+W12+Z12</f>
        <v/>
      </c>
      <c r="AD12" s="86">
        <f>'Car Loan'!H13</f>
        <v/>
      </c>
      <c r="AE12" s="51">
        <f>AC12-AD12</f>
        <v/>
      </c>
    </row>
    <row r="13">
      <c r="A13" s="118">
        <f>'Cash Flow'!A13</f>
        <v/>
      </c>
      <c r="B13" s="81">
        <f>'Cash Flow'!P13</f>
        <v/>
      </c>
      <c r="C13" s="61">
        <f>E12</f>
        <v/>
      </c>
      <c r="D13" s="61">
        <f>IF(B13&lt;0,B13,MAX(0,MIN(B13,Inputs!$C$52-C13)))</f>
        <v/>
      </c>
      <c r="E13" s="82">
        <f>C13+D13</f>
        <v/>
      </c>
      <c r="F13" s="61">
        <f>MAX(0,B13-D13)</f>
        <v/>
      </c>
      <c r="G13" s="61">
        <f>$C$5</f>
        <v/>
      </c>
      <c r="H13" s="61">
        <f>L12</f>
        <v/>
      </c>
      <c r="I13" s="61">
        <f>H13*Inputs!$C$54/12</f>
        <v/>
      </c>
      <c r="J13" s="61">
        <f>IF(H13+I13&lt;G13,MIN(F13,G13-H13-I13),F13*Inputs!$C$86)</f>
        <v/>
      </c>
      <c r="K13" s="81">
        <f>'Cash Flow'!R13</f>
        <v/>
      </c>
      <c r="L13" s="82">
        <f>MAX(0,H13+I13+J13-K13)</f>
        <v/>
      </c>
      <c r="M13" s="61">
        <f>P12</f>
        <v/>
      </c>
      <c r="N13" s="61">
        <f>M13*Inputs!$C$56/12</f>
        <v/>
      </c>
      <c r="O13" s="61">
        <f>K13</f>
        <v/>
      </c>
      <c r="P13" s="82">
        <f>M13+N13+O13</f>
        <v/>
      </c>
      <c r="Q13" s="61">
        <f>T12</f>
        <v/>
      </c>
      <c r="R13" s="61">
        <f>IFERROR(MAX(0,F13-J13)*Inputs!$C$87/(Inputs!$C$87+Inputs!$C$88+Inputs!$C$89+Inputs!$C$90+Inputs!$C$91),0)</f>
        <v/>
      </c>
      <c r="S13" s="61">
        <f>Q13*'Retirement'!$C$5/12</f>
        <v/>
      </c>
      <c r="T13" s="82">
        <f>Q13+R13+S13</f>
        <v/>
      </c>
      <c r="U13" s="61">
        <f>W12</f>
        <v/>
      </c>
      <c r="V13" s="61">
        <f>IFERROR(MAX(0,F13-J13)*Inputs!$C$88/(Inputs!$C$87+Inputs!$C$88+Inputs!$C$89+Inputs!$C$90+Inputs!$C$91),0)</f>
        <v/>
      </c>
      <c r="W13" s="82">
        <f>U13*(1+Inputs!$C$54/12)+V13</f>
        <v/>
      </c>
      <c r="X13" s="61">
        <f>Z12</f>
        <v/>
      </c>
      <c r="Y13" s="61">
        <f>IFERROR(MAX(0,F13-J13)*Inputs!$C$89/(Inputs!$C$87+Inputs!$C$88+Inputs!$C$89+Inputs!$C$90+Inputs!$C$91),0)</f>
        <v/>
      </c>
      <c r="Z13" s="82">
        <f>X13*(1+Inputs!$C$54/12)+Y13</f>
        <v/>
      </c>
      <c r="AA13" s="61">
        <f>IFERROR(MAX(0,F13-J13)*Inputs!$C$90/(Inputs!$C$87+Inputs!$C$88+Inputs!$C$89+Inputs!$C$90+Inputs!$C$91),0)</f>
        <v/>
      </c>
      <c r="AB13" s="61">
        <f>IFERROR(MAX(0,F13-J13)*Inputs!$C$91/(Inputs!$C$87+Inputs!$C$88+Inputs!$C$89+Inputs!$C$90+Inputs!$C$91),0)</f>
        <v/>
      </c>
      <c r="AC13" s="50">
        <f>E13+L13+P13+T13+W13+Z13</f>
        <v/>
      </c>
      <c r="AD13" s="81">
        <f>'Car Loan'!H14</f>
        <v/>
      </c>
      <c r="AE13" s="51">
        <f>AC13-AD13</f>
        <v/>
      </c>
    </row>
    <row r="14">
      <c r="A14" s="140">
        <f>'Cash Flow'!A14</f>
        <v/>
      </c>
      <c r="B14" s="86">
        <f>'Cash Flow'!P14</f>
        <v/>
      </c>
      <c r="C14" s="66">
        <f>E13</f>
        <v/>
      </c>
      <c r="D14" s="66">
        <f>IF(B14&lt;0,B14,MAX(0,MIN(B14,Inputs!$C$52-C14)))</f>
        <v/>
      </c>
      <c r="E14" s="87">
        <f>C14+D14</f>
        <v/>
      </c>
      <c r="F14" s="66">
        <f>MAX(0,B14-D14)</f>
        <v/>
      </c>
      <c r="G14" s="66">
        <f>$C$5</f>
        <v/>
      </c>
      <c r="H14" s="66">
        <f>L13</f>
        <v/>
      </c>
      <c r="I14" s="66">
        <f>H14*Inputs!$C$54/12</f>
        <v/>
      </c>
      <c r="J14" s="66">
        <f>IF(H14+I14&lt;G14,MIN(F14,G14-H14-I14),F14*Inputs!$C$86)</f>
        <v/>
      </c>
      <c r="K14" s="86">
        <f>'Cash Flow'!R14</f>
        <v/>
      </c>
      <c r="L14" s="87">
        <f>MAX(0,H14+I14+J14-K14)</f>
        <v/>
      </c>
      <c r="M14" s="66">
        <f>P13</f>
        <v/>
      </c>
      <c r="N14" s="66">
        <f>M14*Inputs!$C$56/12</f>
        <v/>
      </c>
      <c r="O14" s="66">
        <f>K14</f>
        <v/>
      </c>
      <c r="P14" s="87">
        <f>M14+N14+O14</f>
        <v/>
      </c>
      <c r="Q14" s="66">
        <f>T13</f>
        <v/>
      </c>
      <c r="R14" s="66">
        <f>IFERROR(MAX(0,F14-J14)*Inputs!$C$87/(Inputs!$C$87+Inputs!$C$88+Inputs!$C$89+Inputs!$C$90+Inputs!$C$91),0)</f>
        <v/>
      </c>
      <c r="S14" s="66">
        <f>Q14*'Retirement'!$C$5/12</f>
        <v/>
      </c>
      <c r="T14" s="87">
        <f>Q14+R14+S14</f>
        <v/>
      </c>
      <c r="U14" s="66">
        <f>W13</f>
        <v/>
      </c>
      <c r="V14" s="66">
        <f>IFERROR(MAX(0,F14-J14)*Inputs!$C$88/(Inputs!$C$87+Inputs!$C$88+Inputs!$C$89+Inputs!$C$90+Inputs!$C$91),0)</f>
        <v/>
      </c>
      <c r="W14" s="87">
        <f>U14*(1+Inputs!$C$54/12)+V14</f>
        <v/>
      </c>
      <c r="X14" s="66">
        <f>Z13</f>
        <v/>
      </c>
      <c r="Y14" s="66">
        <f>IFERROR(MAX(0,F14-J14)*Inputs!$C$89/(Inputs!$C$87+Inputs!$C$88+Inputs!$C$89+Inputs!$C$90+Inputs!$C$91),0)</f>
        <v/>
      </c>
      <c r="Z14" s="87">
        <f>X14*(1+Inputs!$C$54/12)+Y14</f>
        <v/>
      </c>
      <c r="AA14" s="66">
        <f>IFERROR(MAX(0,F14-J14)*Inputs!$C$90/(Inputs!$C$87+Inputs!$C$88+Inputs!$C$89+Inputs!$C$90+Inputs!$C$91),0)</f>
        <v/>
      </c>
      <c r="AB14" s="66">
        <f>IFERROR(MAX(0,F14-J14)*Inputs!$C$91/(Inputs!$C$87+Inputs!$C$88+Inputs!$C$89+Inputs!$C$90+Inputs!$C$91),0)</f>
        <v/>
      </c>
      <c r="AC14" s="50">
        <f>E14+L14+P14+T14+W14+Z14</f>
        <v/>
      </c>
      <c r="AD14" s="86">
        <f>'Car Loan'!H15</f>
        <v/>
      </c>
      <c r="AE14" s="51">
        <f>AC14-AD14</f>
        <v/>
      </c>
    </row>
    <row r="15">
      <c r="A15" s="118">
        <f>'Cash Flow'!A15</f>
        <v/>
      </c>
      <c r="B15" s="81">
        <f>'Cash Flow'!P15</f>
        <v/>
      </c>
      <c r="C15" s="61">
        <f>E14</f>
        <v/>
      </c>
      <c r="D15" s="61">
        <f>IF(B15&lt;0,B15,MAX(0,MIN(B15,Inputs!$C$52-C15)))</f>
        <v/>
      </c>
      <c r="E15" s="82">
        <f>C15+D15</f>
        <v/>
      </c>
      <c r="F15" s="61">
        <f>MAX(0,B15-D15)</f>
        <v/>
      </c>
      <c r="G15" s="61">
        <f>$C$5</f>
        <v/>
      </c>
      <c r="H15" s="61">
        <f>L14</f>
        <v/>
      </c>
      <c r="I15" s="61">
        <f>H15*Inputs!$C$54/12</f>
        <v/>
      </c>
      <c r="J15" s="61">
        <f>IF(H15+I15&lt;G15,MIN(F15,G15-H15-I15),F15*Inputs!$C$86)</f>
        <v/>
      </c>
      <c r="K15" s="81">
        <f>'Cash Flow'!R15</f>
        <v/>
      </c>
      <c r="L15" s="82">
        <f>MAX(0,H15+I15+J15-K15)</f>
        <v/>
      </c>
      <c r="M15" s="61">
        <f>P14</f>
        <v/>
      </c>
      <c r="N15" s="61">
        <f>M15*Inputs!$C$56/12</f>
        <v/>
      </c>
      <c r="O15" s="61">
        <f>K15</f>
        <v/>
      </c>
      <c r="P15" s="82">
        <f>M15+N15+O15</f>
        <v/>
      </c>
      <c r="Q15" s="61">
        <f>T14</f>
        <v/>
      </c>
      <c r="R15" s="61">
        <f>IFERROR(MAX(0,F15-J15)*Inputs!$C$87/(Inputs!$C$87+Inputs!$C$88+Inputs!$C$89+Inputs!$C$90+Inputs!$C$91),0)</f>
        <v/>
      </c>
      <c r="S15" s="61">
        <f>Q15*'Retirement'!$C$5/12</f>
        <v/>
      </c>
      <c r="T15" s="82">
        <f>Q15+R15+S15</f>
        <v/>
      </c>
      <c r="U15" s="61">
        <f>W14</f>
        <v/>
      </c>
      <c r="V15" s="61">
        <f>IFERROR(MAX(0,F15-J15)*Inputs!$C$88/(Inputs!$C$87+Inputs!$C$88+Inputs!$C$89+Inputs!$C$90+Inputs!$C$91),0)</f>
        <v/>
      </c>
      <c r="W15" s="82">
        <f>U15*(1+Inputs!$C$54/12)+V15</f>
        <v/>
      </c>
      <c r="X15" s="61">
        <f>Z14</f>
        <v/>
      </c>
      <c r="Y15" s="61">
        <f>IFERROR(MAX(0,F15-J15)*Inputs!$C$89/(Inputs!$C$87+Inputs!$C$88+Inputs!$C$89+Inputs!$C$90+Inputs!$C$91),0)</f>
        <v/>
      </c>
      <c r="Z15" s="82">
        <f>X15*(1+Inputs!$C$54/12)+Y15</f>
        <v/>
      </c>
      <c r="AA15" s="61">
        <f>IFERROR(MAX(0,F15-J15)*Inputs!$C$90/(Inputs!$C$87+Inputs!$C$88+Inputs!$C$89+Inputs!$C$90+Inputs!$C$91),0)</f>
        <v/>
      </c>
      <c r="AB15" s="61">
        <f>IFERROR(MAX(0,F15-J15)*Inputs!$C$91/(Inputs!$C$87+Inputs!$C$88+Inputs!$C$89+Inputs!$C$90+Inputs!$C$91),0)</f>
        <v/>
      </c>
      <c r="AC15" s="50">
        <f>E15+L15+P15+T15+W15+Z15</f>
        <v/>
      </c>
      <c r="AD15" s="81">
        <f>'Car Loan'!H16</f>
        <v/>
      </c>
      <c r="AE15" s="51">
        <f>AC15-AD15</f>
        <v/>
      </c>
    </row>
    <row r="16">
      <c r="A16" s="140">
        <f>'Cash Flow'!A16</f>
        <v/>
      </c>
      <c r="B16" s="86">
        <f>'Cash Flow'!P16</f>
        <v/>
      </c>
      <c r="C16" s="66">
        <f>E15</f>
        <v/>
      </c>
      <c r="D16" s="66">
        <f>IF(B16&lt;0,B16,MAX(0,MIN(B16,Inputs!$C$52-C16)))</f>
        <v/>
      </c>
      <c r="E16" s="87">
        <f>C16+D16</f>
        <v/>
      </c>
      <c r="F16" s="66">
        <f>MAX(0,B16-D16)</f>
        <v/>
      </c>
      <c r="G16" s="66">
        <f>$C$5</f>
        <v/>
      </c>
      <c r="H16" s="66">
        <f>L15</f>
        <v/>
      </c>
      <c r="I16" s="66">
        <f>H16*Inputs!$C$54/12</f>
        <v/>
      </c>
      <c r="J16" s="66">
        <f>IF(H16+I16&lt;G16,MIN(F16,G16-H16-I16),F16*Inputs!$C$86)</f>
        <v/>
      </c>
      <c r="K16" s="86">
        <f>'Cash Flow'!R16</f>
        <v/>
      </c>
      <c r="L16" s="87">
        <f>MAX(0,H16+I16+J16-K16)</f>
        <v/>
      </c>
      <c r="M16" s="66">
        <f>P15</f>
        <v/>
      </c>
      <c r="N16" s="66">
        <f>M16*Inputs!$C$56/12</f>
        <v/>
      </c>
      <c r="O16" s="66">
        <f>K16</f>
        <v/>
      </c>
      <c r="P16" s="87">
        <f>M16+N16+O16</f>
        <v/>
      </c>
      <c r="Q16" s="66">
        <f>T15</f>
        <v/>
      </c>
      <c r="R16" s="66">
        <f>IFERROR(MAX(0,F16-J16)*Inputs!$C$87/(Inputs!$C$87+Inputs!$C$88+Inputs!$C$89+Inputs!$C$90+Inputs!$C$91),0)</f>
        <v/>
      </c>
      <c r="S16" s="66">
        <f>Q16*'Retirement'!$C$5/12</f>
        <v/>
      </c>
      <c r="T16" s="87">
        <f>Q16+R16+S16</f>
        <v/>
      </c>
      <c r="U16" s="66">
        <f>W15</f>
        <v/>
      </c>
      <c r="V16" s="66">
        <f>IFERROR(MAX(0,F16-J16)*Inputs!$C$88/(Inputs!$C$87+Inputs!$C$88+Inputs!$C$89+Inputs!$C$90+Inputs!$C$91),0)</f>
        <v/>
      </c>
      <c r="W16" s="87">
        <f>U16*(1+Inputs!$C$54/12)+V16</f>
        <v/>
      </c>
      <c r="X16" s="66">
        <f>Z15</f>
        <v/>
      </c>
      <c r="Y16" s="66">
        <f>IFERROR(MAX(0,F16-J16)*Inputs!$C$89/(Inputs!$C$87+Inputs!$C$88+Inputs!$C$89+Inputs!$C$90+Inputs!$C$91),0)</f>
        <v/>
      </c>
      <c r="Z16" s="87">
        <f>X16*(1+Inputs!$C$54/12)+Y16</f>
        <v/>
      </c>
      <c r="AA16" s="66">
        <f>IFERROR(MAX(0,F16-J16)*Inputs!$C$90/(Inputs!$C$87+Inputs!$C$88+Inputs!$C$89+Inputs!$C$90+Inputs!$C$91),0)</f>
        <v/>
      </c>
      <c r="AB16" s="66">
        <f>IFERROR(MAX(0,F16-J16)*Inputs!$C$91/(Inputs!$C$87+Inputs!$C$88+Inputs!$C$89+Inputs!$C$90+Inputs!$C$91),0)</f>
        <v/>
      </c>
      <c r="AC16" s="50">
        <f>E16+L16+P16+T16+W16+Z16</f>
        <v/>
      </c>
      <c r="AD16" s="86">
        <f>'Car Loan'!H17</f>
        <v/>
      </c>
      <c r="AE16" s="51">
        <f>AC16-AD16</f>
        <v/>
      </c>
    </row>
    <row r="17">
      <c r="A17" s="118">
        <f>'Cash Flow'!A17</f>
        <v/>
      </c>
      <c r="B17" s="81">
        <f>'Cash Flow'!P17</f>
        <v/>
      </c>
      <c r="C17" s="61">
        <f>E16</f>
        <v/>
      </c>
      <c r="D17" s="61">
        <f>IF(B17&lt;0,B17,MAX(0,MIN(B17,Inputs!$C$52-C17)))</f>
        <v/>
      </c>
      <c r="E17" s="82">
        <f>C17+D17</f>
        <v/>
      </c>
      <c r="F17" s="61">
        <f>MAX(0,B17-D17)</f>
        <v/>
      </c>
      <c r="G17" s="61">
        <f>$C$5</f>
        <v/>
      </c>
      <c r="H17" s="61">
        <f>L16</f>
        <v/>
      </c>
      <c r="I17" s="61">
        <f>H17*Inputs!$C$54/12</f>
        <v/>
      </c>
      <c r="J17" s="61">
        <f>IF(H17+I17&lt;G17,MIN(F17,G17-H17-I17),F17*Inputs!$C$86)</f>
        <v/>
      </c>
      <c r="K17" s="81">
        <f>'Cash Flow'!R17</f>
        <v/>
      </c>
      <c r="L17" s="82">
        <f>MAX(0,H17+I17+J17-K17)</f>
        <v/>
      </c>
      <c r="M17" s="61">
        <f>P16</f>
        <v/>
      </c>
      <c r="N17" s="61">
        <f>M17*Inputs!$C$56/12</f>
        <v/>
      </c>
      <c r="O17" s="61">
        <f>K17</f>
        <v/>
      </c>
      <c r="P17" s="82">
        <f>M17+N17+O17</f>
        <v/>
      </c>
      <c r="Q17" s="61">
        <f>T16</f>
        <v/>
      </c>
      <c r="R17" s="61">
        <f>IFERROR(MAX(0,F17-J17)*Inputs!$C$87/(Inputs!$C$87+Inputs!$C$88+Inputs!$C$89+Inputs!$C$90+Inputs!$C$91),0)</f>
        <v/>
      </c>
      <c r="S17" s="61">
        <f>Q17*'Retirement'!$C$5/12</f>
        <v/>
      </c>
      <c r="T17" s="82">
        <f>Q17+R17+S17</f>
        <v/>
      </c>
      <c r="U17" s="61">
        <f>W16</f>
        <v/>
      </c>
      <c r="V17" s="61">
        <f>IFERROR(MAX(0,F17-J17)*Inputs!$C$88/(Inputs!$C$87+Inputs!$C$88+Inputs!$C$89+Inputs!$C$90+Inputs!$C$91),0)</f>
        <v/>
      </c>
      <c r="W17" s="82">
        <f>U17*(1+Inputs!$C$54/12)+V17</f>
        <v/>
      </c>
      <c r="X17" s="61">
        <f>Z16</f>
        <v/>
      </c>
      <c r="Y17" s="61">
        <f>IFERROR(MAX(0,F17-J17)*Inputs!$C$89/(Inputs!$C$87+Inputs!$C$88+Inputs!$C$89+Inputs!$C$90+Inputs!$C$91),0)</f>
        <v/>
      </c>
      <c r="Z17" s="82">
        <f>X17*(1+Inputs!$C$54/12)+Y17</f>
        <v/>
      </c>
      <c r="AA17" s="61">
        <f>IFERROR(MAX(0,F17-J17)*Inputs!$C$90/(Inputs!$C$87+Inputs!$C$88+Inputs!$C$89+Inputs!$C$90+Inputs!$C$91),0)</f>
        <v/>
      </c>
      <c r="AB17" s="61">
        <f>IFERROR(MAX(0,F17-J17)*Inputs!$C$91/(Inputs!$C$87+Inputs!$C$88+Inputs!$C$89+Inputs!$C$90+Inputs!$C$91),0)</f>
        <v/>
      </c>
      <c r="AC17" s="50">
        <f>E17+L17+P17+T17+W17+Z17</f>
        <v/>
      </c>
      <c r="AD17" s="81">
        <f>'Car Loan'!H18</f>
        <v/>
      </c>
      <c r="AE17" s="51">
        <f>AC17-AD17</f>
        <v/>
      </c>
    </row>
    <row r="18">
      <c r="A18" s="140">
        <f>'Cash Flow'!A18</f>
        <v/>
      </c>
      <c r="B18" s="86">
        <f>'Cash Flow'!P18</f>
        <v/>
      </c>
      <c r="C18" s="66">
        <f>E17</f>
        <v/>
      </c>
      <c r="D18" s="66">
        <f>IF(B18&lt;0,B18,MAX(0,MIN(B18,Inputs!$C$52-C18)))</f>
        <v/>
      </c>
      <c r="E18" s="87">
        <f>C18+D18</f>
        <v/>
      </c>
      <c r="F18" s="66">
        <f>MAX(0,B18-D18)</f>
        <v/>
      </c>
      <c r="G18" s="66">
        <f>$C$5</f>
        <v/>
      </c>
      <c r="H18" s="66">
        <f>L17</f>
        <v/>
      </c>
      <c r="I18" s="66">
        <f>H18*Inputs!$C$54/12</f>
        <v/>
      </c>
      <c r="J18" s="66">
        <f>IF(H18+I18&lt;G18,MIN(F18,G18-H18-I18),F18*Inputs!$C$86)</f>
        <v/>
      </c>
      <c r="K18" s="86">
        <f>'Cash Flow'!R18</f>
        <v/>
      </c>
      <c r="L18" s="87">
        <f>MAX(0,H18+I18+J18-K18)</f>
        <v/>
      </c>
      <c r="M18" s="66">
        <f>P17</f>
        <v/>
      </c>
      <c r="N18" s="66">
        <f>M18*Inputs!$C$56/12</f>
        <v/>
      </c>
      <c r="O18" s="66">
        <f>K18</f>
        <v/>
      </c>
      <c r="P18" s="87">
        <f>M18+N18+O18</f>
        <v/>
      </c>
      <c r="Q18" s="66">
        <f>T17</f>
        <v/>
      </c>
      <c r="R18" s="66">
        <f>IFERROR(MAX(0,F18-J18)*Inputs!$C$87/(Inputs!$C$87+Inputs!$C$88+Inputs!$C$89+Inputs!$C$90+Inputs!$C$91),0)</f>
        <v/>
      </c>
      <c r="S18" s="66">
        <f>Q18*'Retirement'!$C$5/12</f>
        <v/>
      </c>
      <c r="T18" s="87">
        <f>Q18+R18+S18</f>
        <v/>
      </c>
      <c r="U18" s="66">
        <f>W17</f>
        <v/>
      </c>
      <c r="V18" s="66">
        <f>IFERROR(MAX(0,F18-J18)*Inputs!$C$88/(Inputs!$C$87+Inputs!$C$88+Inputs!$C$89+Inputs!$C$90+Inputs!$C$91),0)</f>
        <v/>
      </c>
      <c r="W18" s="87">
        <f>U18*(1+Inputs!$C$54/12)+V18</f>
        <v/>
      </c>
      <c r="X18" s="66">
        <f>Z17</f>
        <v/>
      </c>
      <c r="Y18" s="66">
        <f>IFERROR(MAX(0,F18-J18)*Inputs!$C$89/(Inputs!$C$87+Inputs!$C$88+Inputs!$C$89+Inputs!$C$90+Inputs!$C$91),0)</f>
        <v/>
      </c>
      <c r="Z18" s="87">
        <f>X18*(1+Inputs!$C$54/12)+Y18</f>
        <v/>
      </c>
      <c r="AA18" s="66">
        <f>IFERROR(MAX(0,F18-J18)*Inputs!$C$90/(Inputs!$C$87+Inputs!$C$88+Inputs!$C$89+Inputs!$C$90+Inputs!$C$91),0)</f>
        <v/>
      </c>
      <c r="AB18" s="66">
        <f>IFERROR(MAX(0,F18-J18)*Inputs!$C$91/(Inputs!$C$87+Inputs!$C$88+Inputs!$C$89+Inputs!$C$90+Inputs!$C$91),0)</f>
        <v/>
      </c>
      <c r="AC18" s="50">
        <f>E18+L18+P18+T18+W18+Z18</f>
        <v/>
      </c>
      <c r="AD18" s="86">
        <f>'Car Loan'!H19</f>
        <v/>
      </c>
      <c r="AE18" s="51">
        <f>AC18-AD18</f>
        <v/>
      </c>
    </row>
    <row r="19">
      <c r="A19" s="118">
        <f>'Cash Flow'!A19</f>
        <v/>
      </c>
      <c r="B19" s="81">
        <f>'Cash Flow'!P19</f>
        <v/>
      </c>
      <c r="C19" s="61">
        <f>E18</f>
        <v/>
      </c>
      <c r="D19" s="61">
        <f>IF(B19&lt;0,B19,MAX(0,MIN(B19,Inputs!$C$52-C19)))</f>
        <v/>
      </c>
      <c r="E19" s="82">
        <f>C19+D19</f>
        <v/>
      </c>
      <c r="F19" s="61">
        <f>MAX(0,B19-D19)</f>
        <v/>
      </c>
      <c r="G19" s="61">
        <f>$C$5</f>
        <v/>
      </c>
      <c r="H19" s="61">
        <f>L18</f>
        <v/>
      </c>
      <c r="I19" s="61">
        <f>H19*Inputs!$C$54/12</f>
        <v/>
      </c>
      <c r="J19" s="61">
        <f>IF(H19+I19&lt;G19,MIN(F19,G19-H19-I19),F19*Inputs!$C$86)</f>
        <v/>
      </c>
      <c r="K19" s="81">
        <f>'Cash Flow'!R19</f>
        <v/>
      </c>
      <c r="L19" s="82">
        <f>MAX(0,H19+I19+J19-K19)</f>
        <v/>
      </c>
      <c r="M19" s="61">
        <f>P18</f>
        <v/>
      </c>
      <c r="N19" s="61">
        <f>M19*Inputs!$C$56/12</f>
        <v/>
      </c>
      <c r="O19" s="61">
        <f>K19</f>
        <v/>
      </c>
      <c r="P19" s="82">
        <f>M19+N19+O19</f>
        <v/>
      </c>
      <c r="Q19" s="61">
        <f>T18</f>
        <v/>
      </c>
      <c r="R19" s="61">
        <f>IFERROR(MAX(0,F19-J19)*Inputs!$C$87/(Inputs!$C$87+Inputs!$C$88+Inputs!$C$89+Inputs!$C$90+Inputs!$C$91),0)</f>
        <v/>
      </c>
      <c r="S19" s="61">
        <f>Q19*'Retirement'!$C$5/12</f>
        <v/>
      </c>
      <c r="T19" s="82">
        <f>Q19+R19+S19</f>
        <v/>
      </c>
      <c r="U19" s="61">
        <f>W18</f>
        <v/>
      </c>
      <c r="V19" s="61">
        <f>IFERROR(MAX(0,F19-J19)*Inputs!$C$88/(Inputs!$C$87+Inputs!$C$88+Inputs!$C$89+Inputs!$C$90+Inputs!$C$91),0)</f>
        <v/>
      </c>
      <c r="W19" s="82">
        <f>U19*(1+Inputs!$C$54/12)+V19</f>
        <v/>
      </c>
      <c r="X19" s="61">
        <f>Z18</f>
        <v/>
      </c>
      <c r="Y19" s="61">
        <f>IFERROR(MAX(0,F19-J19)*Inputs!$C$89/(Inputs!$C$87+Inputs!$C$88+Inputs!$C$89+Inputs!$C$90+Inputs!$C$91),0)</f>
        <v/>
      </c>
      <c r="Z19" s="82">
        <f>X19*(1+Inputs!$C$54/12)+Y19</f>
        <v/>
      </c>
      <c r="AA19" s="61">
        <f>IFERROR(MAX(0,F19-J19)*Inputs!$C$90/(Inputs!$C$87+Inputs!$C$88+Inputs!$C$89+Inputs!$C$90+Inputs!$C$91),0)</f>
        <v/>
      </c>
      <c r="AB19" s="61">
        <f>IFERROR(MAX(0,F19-J19)*Inputs!$C$91/(Inputs!$C$87+Inputs!$C$88+Inputs!$C$89+Inputs!$C$90+Inputs!$C$91),0)</f>
        <v/>
      </c>
      <c r="AC19" s="50">
        <f>E19+L19+P19+T19+W19+Z19</f>
        <v/>
      </c>
      <c r="AD19" s="81">
        <f>'Car Loan'!H20</f>
        <v/>
      </c>
      <c r="AE19" s="51">
        <f>AC19-AD19</f>
        <v/>
      </c>
    </row>
    <row r="20">
      <c r="A20" s="140">
        <f>'Cash Flow'!A20</f>
        <v/>
      </c>
      <c r="B20" s="86">
        <f>'Cash Flow'!P20</f>
        <v/>
      </c>
      <c r="C20" s="66">
        <f>E19</f>
        <v/>
      </c>
      <c r="D20" s="66">
        <f>IF(B20&lt;0,B20,MAX(0,MIN(B20,Inputs!$C$52-C20)))</f>
        <v/>
      </c>
      <c r="E20" s="87">
        <f>C20+D20</f>
        <v/>
      </c>
      <c r="F20" s="66">
        <f>MAX(0,B20-D20)</f>
        <v/>
      </c>
      <c r="G20" s="66">
        <f>$C$5</f>
        <v/>
      </c>
      <c r="H20" s="66">
        <f>L19</f>
        <v/>
      </c>
      <c r="I20" s="66">
        <f>H20*Inputs!$C$54/12</f>
        <v/>
      </c>
      <c r="J20" s="66">
        <f>IF(H20+I20&lt;G20,MIN(F20,G20-H20-I20),F20*Inputs!$C$86)</f>
        <v/>
      </c>
      <c r="K20" s="86">
        <f>'Cash Flow'!R20</f>
        <v/>
      </c>
      <c r="L20" s="87">
        <f>MAX(0,H20+I20+J20-K20)</f>
        <v/>
      </c>
      <c r="M20" s="66">
        <f>P19</f>
        <v/>
      </c>
      <c r="N20" s="66">
        <f>M20*Inputs!$C$56/12</f>
        <v/>
      </c>
      <c r="O20" s="66">
        <f>K20</f>
        <v/>
      </c>
      <c r="P20" s="87">
        <f>M20+N20+O20</f>
        <v/>
      </c>
      <c r="Q20" s="66">
        <f>T19</f>
        <v/>
      </c>
      <c r="R20" s="66">
        <f>IFERROR(MAX(0,F20-J20)*Inputs!$C$87/(Inputs!$C$87+Inputs!$C$88+Inputs!$C$89+Inputs!$C$90+Inputs!$C$91),0)</f>
        <v/>
      </c>
      <c r="S20" s="66">
        <f>Q20*'Retirement'!$C$5/12</f>
        <v/>
      </c>
      <c r="T20" s="87">
        <f>Q20+R20+S20</f>
        <v/>
      </c>
      <c r="U20" s="66">
        <f>W19</f>
        <v/>
      </c>
      <c r="V20" s="66">
        <f>IFERROR(MAX(0,F20-J20)*Inputs!$C$88/(Inputs!$C$87+Inputs!$C$88+Inputs!$C$89+Inputs!$C$90+Inputs!$C$91),0)</f>
        <v/>
      </c>
      <c r="W20" s="87">
        <f>U20*(1+Inputs!$C$54/12)+V20</f>
        <v/>
      </c>
      <c r="X20" s="66">
        <f>Z19</f>
        <v/>
      </c>
      <c r="Y20" s="66">
        <f>IFERROR(MAX(0,F20-J20)*Inputs!$C$89/(Inputs!$C$87+Inputs!$C$88+Inputs!$C$89+Inputs!$C$90+Inputs!$C$91),0)</f>
        <v/>
      </c>
      <c r="Z20" s="87">
        <f>X20*(1+Inputs!$C$54/12)+Y20</f>
        <v/>
      </c>
      <c r="AA20" s="66">
        <f>IFERROR(MAX(0,F20-J20)*Inputs!$C$90/(Inputs!$C$87+Inputs!$C$88+Inputs!$C$89+Inputs!$C$90+Inputs!$C$91),0)</f>
        <v/>
      </c>
      <c r="AB20" s="66">
        <f>IFERROR(MAX(0,F20-J20)*Inputs!$C$91/(Inputs!$C$87+Inputs!$C$88+Inputs!$C$89+Inputs!$C$90+Inputs!$C$91),0)</f>
        <v/>
      </c>
      <c r="AC20" s="50">
        <f>E20+L20+P20+T20+W20+Z20</f>
        <v/>
      </c>
      <c r="AD20" s="86">
        <f>'Car Loan'!H21</f>
        <v/>
      </c>
      <c r="AE20" s="51">
        <f>AC20-AD20</f>
        <v/>
      </c>
    </row>
    <row r="21">
      <c r="A21" s="118">
        <f>'Cash Flow'!A21</f>
        <v/>
      </c>
      <c r="B21" s="81">
        <f>'Cash Flow'!P21</f>
        <v/>
      </c>
      <c r="C21" s="61">
        <f>E20</f>
        <v/>
      </c>
      <c r="D21" s="61">
        <f>IF(B21&lt;0,B21,MAX(0,MIN(B21,Inputs!$C$52-C21)))</f>
        <v/>
      </c>
      <c r="E21" s="82">
        <f>C21+D21</f>
        <v/>
      </c>
      <c r="F21" s="61">
        <f>MAX(0,B21-D21)</f>
        <v/>
      </c>
      <c r="G21" s="61">
        <f>$C$5</f>
        <v/>
      </c>
      <c r="H21" s="61">
        <f>L20</f>
        <v/>
      </c>
      <c r="I21" s="61">
        <f>H21*Inputs!$C$54/12</f>
        <v/>
      </c>
      <c r="J21" s="61">
        <f>IF(H21+I21&lt;G21,MIN(F21,G21-H21-I21),F21*Inputs!$C$86)</f>
        <v/>
      </c>
      <c r="K21" s="81">
        <f>'Cash Flow'!R21</f>
        <v/>
      </c>
      <c r="L21" s="82">
        <f>MAX(0,H21+I21+J21-K21)</f>
        <v/>
      </c>
      <c r="M21" s="61">
        <f>P20</f>
        <v/>
      </c>
      <c r="N21" s="61">
        <f>M21*Inputs!$C$56/12</f>
        <v/>
      </c>
      <c r="O21" s="61">
        <f>K21</f>
        <v/>
      </c>
      <c r="P21" s="82">
        <f>M21+N21+O21</f>
        <v/>
      </c>
      <c r="Q21" s="61">
        <f>T20</f>
        <v/>
      </c>
      <c r="R21" s="61">
        <f>IFERROR(MAX(0,F21-J21)*Inputs!$C$87/(Inputs!$C$87+Inputs!$C$88+Inputs!$C$89+Inputs!$C$90+Inputs!$C$91),0)</f>
        <v/>
      </c>
      <c r="S21" s="61">
        <f>Q21*'Retirement'!$C$5/12</f>
        <v/>
      </c>
      <c r="T21" s="82">
        <f>Q21+R21+S21</f>
        <v/>
      </c>
      <c r="U21" s="61">
        <f>W20</f>
        <v/>
      </c>
      <c r="V21" s="61">
        <f>IFERROR(MAX(0,F21-J21)*Inputs!$C$88/(Inputs!$C$87+Inputs!$C$88+Inputs!$C$89+Inputs!$C$90+Inputs!$C$91),0)</f>
        <v/>
      </c>
      <c r="W21" s="82">
        <f>U21*(1+Inputs!$C$54/12)+V21</f>
        <v/>
      </c>
      <c r="X21" s="61">
        <f>Z20</f>
        <v/>
      </c>
      <c r="Y21" s="61">
        <f>IFERROR(MAX(0,F21-J21)*Inputs!$C$89/(Inputs!$C$87+Inputs!$C$88+Inputs!$C$89+Inputs!$C$90+Inputs!$C$91),0)</f>
        <v/>
      </c>
      <c r="Z21" s="82">
        <f>X21*(1+Inputs!$C$54/12)+Y21</f>
        <v/>
      </c>
      <c r="AA21" s="61">
        <f>IFERROR(MAX(0,F21-J21)*Inputs!$C$90/(Inputs!$C$87+Inputs!$C$88+Inputs!$C$89+Inputs!$C$90+Inputs!$C$91),0)</f>
        <v/>
      </c>
      <c r="AB21" s="61">
        <f>IFERROR(MAX(0,F21-J21)*Inputs!$C$91/(Inputs!$C$87+Inputs!$C$88+Inputs!$C$89+Inputs!$C$90+Inputs!$C$91),0)</f>
        <v/>
      </c>
      <c r="AC21" s="50">
        <f>E21+L21+P21+T21+W21+Z21</f>
        <v/>
      </c>
      <c r="AD21" s="81">
        <f>'Car Loan'!H22</f>
        <v/>
      </c>
      <c r="AE21" s="51">
        <f>AC21-AD21</f>
        <v/>
      </c>
    </row>
    <row r="22">
      <c r="A22" s="140">
        <f>'Cash Flow'!A22</f>
        <v/>
      </c>
      <c r="B22" s="86">
        <f>'Cash Flow'!P22</f>
        <v/>
      </c>
      <c r="C22" s="66">
        <f>E21</f>
        <v/>
      </c>
      <c r="D22" s="66">
        <f>IF(B22&lt;0,B22,MAX(0,MIN(B22,Inputs!$C$52-C22)))</f>
        <v/>
      </c>
      <c r="E22" s="87">
        <f>C22+D22</f>
        <v/>
      </c>
      <c r="F22" s="66">
        <f>MAX(0,B22-D22)</f>
        <v/>
      </c>
      <c r="G22" s="66">
        <f>$C$5</f>
        <v/>
      </c>
      <c r="H22" s="66">
        <f>L21</f>
        <v/>
      </c>
      <c r="I22" s="66">
        <f>H22*Inputs!$C$54/12</f>
        <v/>
      </c>
      <c r="J22" s="66">
        <f>IF(H22+I22&lt;G22,MIN(F22,G22-H22-I22),F22*Inputs!$C$86)</f>
        <v/>
      </c>
      <c r="K22" s="86">
        <f>'Cash Flow'!R22</f>
        <v/>
      </c>
      <c r="L22" s="87">
        <f>MAX(0,H22+I22+J22-K22)</f>
        <v/>
      </c>
      <c r="M22" s="66">
        <f>P21</f>
        <v/>
      </c>
      <c r="N22" s="66">
        <f>M22*Inputs!$C$56/12</f>
        <v/>
      </c>
      <c r="O22" s="66">
        <f>K22</f>
        <v/>
      </c>
      <c r="P22" s="87">
        <f>M22+N22+O22</f>
        <v/>
      </c>
      <c r="Q22" s="66">
        <f>T21</f>
        <v/>
      </c>
      <c r="R22" s="66">
        <f>IFERROR(MAX(0,F22-J22)*Inputs!$C$87/(Inputs!$C$87+Inputs!$C$88+Inputs!$C$89+Inputs!$C$90+Inputs!$C$91),0)</f>
        <v/>
      </c>
      <c r="S22" s="66">
        <f>Q22*'Retirement'!$C$5/12</f>
        <v/>
      </c>
      <c r="T22" s="87">
        <f>Q22+R22+S22</f>
        <v/>
      </c>
      <c r="U22" s="66">
        <f>W21</f>
        <v/>
      </c>
      <c r="V22" s="66">
        <f>IFERROR(MAX(0,F22-J22)*Inputs!$C$88/(Inputs!$C$87+Inputs!$C$88+Inputs!$C$89+Inputs!$C$90+Inputs!$C$91),0)</f>
        <v/>
      </c>
      <c r="W22" s="87">
        <f>U22*(1+Inputs!$C$54/12)+V22</f>
        <v/>
      </c>
      <c r="X22" s="66">
        <f>Z21</f>
        <v/>
      </c>
      <c r="Y22" s="66">
        <f>IFERROR(MAX(0,F22-J22)*Inputs!$C$89/(Inputs!$C$87+Inputs!$C$88+Inputs!$C$89+Inputs!$C$90+Inputs!$C$91),0)</f>
        <v/>
      </c>
      <c r="Z22" s="87">
        <f>X22*(1+Inputs!$C$54/12)+Y22</f>
        <v/>
      </c>
      <c r="AA22" s="66">
        <f>IFERROR(MAX(0,F22-J22)*Inputs!$C$90/(Inputs!$C$87+Inputs!$C$88+Inputs!$C$89+Inputs!$C$90+Inputs!$C$91),0)</f>
        <v/>
      </c>
      <c r="AB22" s="66">
        <f>IFERROR(MAX(0,F22-J22)*Inputs!$C$91/(Inputs!$C$87+Inputs!$C$88+Inputs!$C$89+Inputs!$C$90+Inputs!$C$91),0)</f>
        <v/>
      </c>
      <c r="AC22" s="50">
        <f>E22+L22+P22+T22+W22+Z22</f>
        <v/>
      </c>
      <c r="AD22" s="86">
        <f>'Car Loan'!H23</f>
        <v/>
      </c>
      <c r="AE22" s="51">
        <f>AC22-AD22</f>
        <v/>
      </c>
    </row>
    <row r="23">
      <c r="A23" s="118">
        <f>'Cash Flow'!A23</f>
        <v/>
      </c>
      <c r="B23" s="81">
        <f>'Cash Flow'!P23</f>
        <v/>
      </c>
      <c r="C23" s="61">
        <f>E22</f>
        <v/>
      </c>
      <c r="D23" s="61">
        <f>IF(B23&lt;0,B23,MAX(0,MIN(B23,Inputs!$C$52-C23)))</f>
        <v/>
      </c>
      <c r="E23" s="82">
        <f>C23+D23</f>
        <v/>
      </c>
      <c r="F23" s="61">
        <f>MAX(0,B23-D23)</f>
        <v/>
      </c>
      <c r="G23" s="61">
        <f>$C$5</f>
        <v/>
      </c>
      <c r="H23" s="61">
        <f>L22</f>
        <v/>
      </c>
      <c r="I23" s="61">
        <f>H23*Inputs!$C$54/12</f>
        <v/>
      </c>
      <c r="J23" s="61">
        <f>IF(H23+I23&lt;G23,MIN(F23,G23-H23-I23),F23*Inputs!$C$86)</f>
        <v/>
      </c>
      <c r="K23" s="81">
        <f>'Cash Flow'!R23</f>
        <v/>
      </c>
      <c r="L23" s="82">
        <f>MAX(0,H23+I23+J23-K23)</f>
        <v/>
      </c>
      <c r="M23" s="61">
        <f>P22</f>
        <v/>
      </c>
      <c r="N23" s="61">
        <f>M23*Inputs!$C$56/12</f>
        <v/>
      </c>
      <c r="O23" s="61">
        <f>K23</f>
        <v/>
      </c>
      <c r="P23" s="82">
        <f>M23+N23+O23</f>
        <v/>
      </c>
      <c r="Q23" s="61">
        <f>T22</f>
        <v/>
      </c>
      <c r="R23" s="61">
        <f>IFERROR(MAX(0,F23-J23)*Inputs!$C$87/(Inputs!$C$87+Inputs!$C$88+Inputs!$C$89+Inputs!$C$90+Inputs!$C$91),0)</f>
        <v/>
      </c>
      <c r="S23" s="61">
        <f>Q23*'Retirement'!$C$5/12</f>
        <v/>
      </c>
      <c r="T23" s="82">
        <f>Q23+R23+S23</f>
        <v/>
      </c>
      <c r="U23" s="61">
        <f>W22</f>
        <v/>
      </c>
      <c r="V23" s="61">
        <f>IFERROR(MAX(0,F23-J23)*Inputs!$C$88/(Inputs!$C$87+Inputs!$C$88+Inputs!$C$89+Inputs!$C$90+Inputs!$C$91),0)</f>
        <v/>
      </c>
      <c r="W23" s="82">
        <f>U23*(1+Inputs!$C$54/12)+V23</f>
        <v/>
      </c>
      <c r="X23" s="61">
        <f>Z22</f>
        <v/>
      </c>
      <c r="Y23" s="61">
        <f>IFERROR(MAX(0,F23-J23)*Inputs!$C$89/(Inputs!$C$87+Inputs!$C$88+Inputs!$C$89+Inputs!$C$90+Inputs!$C$91),0)</f>
        <v/>
      </c>
      <c r="Z23" s="82">
        <f>X23*(1+Inputs!$C$54/12)+Y23</f>
        <v/>
      </c>
      <c r="AA23" s="61">
        <f>IFERROR(MAX(0,F23-J23)*Inputs!$C$90/(Inputs!$C$87+Inputs!$C$88+Inputs!$C$89+Inputs!$C$90+Inputs!$C$91),0)</f>
        <v/>
      </c>
      <c r="AB23" s="61">
        <f>IFERROR(MAX(0,F23-J23)*Inputs!$C$91/(Inputs!$C$87+Inputs!$C$88+Inputs!$C$89+Inputs!$C$90+Inputs!$C$91),0)</f>
        <v/>
      </c>
      <c r="AC23" s="50">
        <f>E23+L23+P23+T23+W23+Z23</f>
        <v/>
      </c>
      <c r="AD23" s="81">
        <f>'Car Loan'!H24</f>
        <v/>
      </c>
      <c r="AE23" s="51">
        <f>AC23-AD23</f>
        <v/>
      </c>
    </row>
    <row r="24">
      <c r="A24" s="140">
        <f>'Cash Flow'!A24</f>
        <v/>
      </c>
      <c r="B24" s="86">
        <f>'Cash Flow'!P24</f>
        <v/>
      </c>
      <c r="C24" s="66">
        <f>E23</f>
        <v/>
      </c>
      <c r="D24" s="66">
        <f>IF(B24&lt;0,B24,MAX(0,MIN(B24,Inputs!$C$52-C24)))</f>
        <v/>
      </c>
      <c r="E24" s="87">
        <f>C24+D24</f>
        <v/>
      </c>
      <c r="F24" s="66">
        <f>MAX(0,B24-D24)</f>
        <v/>
      </c>
      <c r="G24" s="66">
        <f>$C$5</f>
        <v/>
      </c>
      <c r="H24" s="66">
        <f>L23</f>
        <v/>
      </c>
      <c r="I24" s="66">
        <f>H24*Inputs!$C$54/12</f>
        <v/>
      </c>
      <c r="J24" s="66">
        <f>IF(H24+I24&lt;G24,MIN(F24,G24-H24-I24),F24*Inputs!$C$86)</f>
        <v/>
      </c>
      <c r="K24" s="86">
        <f>'Cash Flow'!R24</f>
        <v/>
      </c>
      <c r="L24" s="87">
        <f>MAX(0,H24+I24+J24-K24)</f>
        <v/>
      </c>
      <c r="M24" s="66">
        <f>P23</f>
        <v/>
      </c>
      <c r="N24" s="66">
        <f>M24*Inputs!$C$56/12</f>
        <v/>
      </c>
      <c r="O24" s="66">
        <f>K24</f>
        <v/>
      </c>
      <c r="P24" s="87">
        <f>M24+N24+O24</f>
        <v/>
      </c>
      <c r="Q24" s="66">
        <f>T23</f>
        <v/>
      </c>
      <c r="R24" s="66">
        <f>IFERROR(MAX(0,F24-J24)*Inputs!$C$87/(Inputs!$C$87+Inputs!$C$88+Inputs!$C$89+Inputs!$C$90+Inputs!$C$91),0)</f>
        <v/>
      </c>
      <c r="S24" s="66">
        <f>Q24*'Retirement'!$C$5/12</f>
        <v/>
      </c>
      <c r="T24" s="87">
        <f>Q24+R24+S24</f>
        <v/>
      </c>
      <c r="U24" s="66">
        <f>W23</f>
        <v/>
      </c>
      <c r="V24" s="66">
        <f>IFERROR(MAX(0,F24-J24)*Inputs!$C$88/(Inputs!$C$87+Inputs!$C$88+Inputs!$C$89+Inputs!$C$90+Inputs!$C$91),0)</f>
        <v/>
      </c>
      <c r="W24" s="87">
        <f>U24*(1+Inputs!$C$54/12)+V24</f>
        <v/>
      </c>
      <c r="X24" s="66">
        <f>Z23</f>
        <v/>
      </c>
      <c r="Y24" s="66">
        <f>IFERROR(MAX(0,F24-J24)*Inputs!$C$89/(Inputs!$C$87+Inputs!$C$88+Inputs!$C$89+Inputs!$C$90+Inputs!$C$91),0)</f>
        <v/>
      </c>
      <c r="Z24" s="87">
        <f>X24*(1+Inputs!$C$54/12)+Y24</f>
        <v/>
      </c>
      <c r="AA24" s="66">
        <f>IFERROR(MAX(0,F24-J24)*Inputs!$C$90/(Inputs!$C$87+Inputs!$C$88+Inputs!$C$89+Inputs!$C$90+Inputs!$C$91),0)</f>
        <v/>
      </c>
      <c r="AB24" s="66">
        <f>IFERROR(MAX(0,F24-J24)*Inputs!$C$91/(Inputs!$C$87+Inputs!$C$88+Inputs!$C$89+Inputs!$C$90+Inputs!$C$91),0)</f>
        <v/>
      </c>
      <c r="AC24" s="50">
        <f>E24+L24+P24+T24+W24+Z24</f>
        <v/>
      </c>
      <c r="AD24" s="86">
        <f>'Car Loan'!H25</f>
        <v/>
      </c>
      <c r="AE24" s="51">
        <f>AC24-AD24</f>
        <v/>
      </c>
    </row>
    <row r="25">
      <c r="A25" s="118">
        <f>'Cash Flow'!A25</f>
        <v/>
      </c>
      <c r="B25" s="81">
        <f>'Cash Flow'!P25</f>
        <v/>
      </c>
      <c r="C25" s="61">
        <f>E24</f>
        <v/>
      </c>
      <c r="D25" s="61">
        <f>IF(B25&lt;0,B25,MAX(0,MIN(B25,Inputs!$C$52-C25)))</f>
        <v/>
      </c>
      <c r="E25" s="82">
        <f>C25+D25</f>
        <v/>
      </c>
      <c r="F25" s="61">
        <f>MAX(0,B25-D25)</f>
        <v/>
      </c>
      <c r="G25" s="61">
        <f>$C$5</f>
        <v/>
      </c>
      <c r="H25" s="61">
        <f>L24</f>
        <v/>
      </c>
      <c r="I25" s="61">
        <f>H25*Inputs!$C$54/12</f>
        <v/>
      </c>
      <c r="J25" s="61">
        <f>IF(H25+I25&lt;G25,MIN(F25,G25-H25-I25),F25*Inputs!$C$86)</f>
        <v/>
      </c>
      <c r="K25" s="81">
        <f>'Cash Flow'!R25</f>
        <v/>
      </c>
      <c r="L25" s="82">
        <f>MAX(0,H25+I25+J25-K25)</f>
        <v/>
      </c>
      <c r="M25" s="61">
        <f>P24</f>
        <v/>
      </c>
      <c r="N25" s="61">
        <f>M25*Inputs!$C$56/12</f>
        <v/>
      </c>
      <c r="O25" s="61">
        <f>K25</f>
        <v/>
      </c>
      <c r="P25" s="82">
        <f>M25+N25+O25</f>
        <v/>
      </c>
      <c r="Q25" s="61">
        <f>T24</f>
        <v/>
      </c>
      <c r="R25" s="61">
        <f>IFERROR(MAX(0,F25-J25)*Inputs!$C$87/(Inputs!$C$87+Inputs!$C$88+Inputs!$C$89+Inputs!$C$90+Inputs!$C$91),0)</f>
        <v/>
      </c>
      <c r="S25" s="61">
        <f>Q25*'Retirement'!$C$5/12</f>
        <v/>
      </c>
      <c r="T25" s="82">
        <f>Q25+R25+S25</f>
        <v/>
      </c>
      <c r="U25" s="61">
        <f>W24</f>
        <v/>
      </c>
      <c r="V25" s="61">
        <f>IFERROR(MAX(0,F25-J25)*Inputs!$C$88/(Inputs!$C$87+Inputs!$C$88+Inputs!$C$89+Inputs!$C$90+Inputs!$C$91),0)</f>
        <v/>
      </c>
      <c r="W25" s="82">
        <f>U25*(1+Inputs!$C$54/12)+V25</f>
        <v/>
      </c>
      <c r="X25" s="61">
        <f>Z24</f>
        <v/>
      </c>
      <c r="Y25" s="61">
        <f>IFERROR(MAX(0,F25-J25)*Inputs!$C$89/(Inputs!$C$87+Inputs!$C$88+Inputs!$C$89+Inputs!$C$90+Inputs!$C$91),0)</f>
        <v/>
      </c>
      <c r="Z25" s="82">
        <f>X25*(1+Inputs!$C$54/12)+Y25</f>
        <v/>
      </c>
      <c r="AA25" s="61">
        <f>IFERROR(MAX(0,F25-J25)*Inputs!$C$90/(Inputs!$C$87+Inputs!$C$88+Inputs!$C$89+Inputs!$C$90+Inputs!$C$91),0)</f>
        <v/>
      </c>
      <c r="AB25" s="61">
        <f>IFERROR(MAX(0,F25-J25)*Inputs!$C$91/(Inputs!$C$87+Inputs!$C$88+Inputs!$C$89+Inputs!$C$90+Inputs!$C$91),0)</f>
        <v/>
      </c>
      <c r="AC25" s="50">
        <f>E25+L25+P25+T25+W25+Z25</f>
        <v/>
      </c>
      <c r="AD25" s="81">
        <f>'Car Loan'!H26</f>
        <v/>
      </c>
      <c r="AE25" s="51">
        <f>AC25-AD25</f>
        <v/>
      </c>
    </row>
    <row r="26">
      <c r="A26" s="140">
        <f>'Cash Flow'!A26</f>
        <v/>
      </c>
      <c r="B26" s="86">
        <f>'Cash Flow'!P26</f>
        <v/>
      </c>
      <c r="C26" s="66">
        <f>E25</f>
        <v/>
      </c>
      <c r="D26" s="66">
        <f>IF(B26&lt;0,B26,MAX(0,MIN(B26,Inputs!$C$52-C26)))</f>
        <v/>
      </c>
      <c r="E26" s="87">
        <f>C26+D26</f>
        <v/>
      </c>
      <c r="F26" s="66">
        <f>MAX(0,B26-D26)</f>
        <v/>
      </c>
      <c r="G26" s="66">
        <f>$C$5</f>
        <v/>
      </c>
      <c r="H26" s="66">
        <f>L25</f>
        <v/>
      </c>
      <c r="I26" s="66">
        <f>H26*Inputs!$C$54/12</f>
        <v/>
      </c>
      <c r="J26" s="66">
        <f>IF(H26+I26&lt;G26,MIN(F26,G26-H26-I26),F26*Inputs!$C$86)</f>
        <v/>
      </c>
      <c r="K26" s="86">
        <f>'Cash Flow'!R26</f>
        <v/>
      </c>
      <c r="L26" s="87">
        <f>MAX(0,H26+I26+J26-K26)</f>
        <v/>
      </c>
      <c r="M26" s="66">
        <f>P25</f>
        <v/>
      </c>
      <c r="N26" s="66">
        <f>M26*Inputs!$C$56/12</f>
        <v/>
      </c>
      <c r="O26" s="66">
        <f>K26</f>
        <v/>
      </c>
      <c r="P26" s="87">
        <f>M26+N26+O26</f>
        <v/>
      </c>
      <c r="Q26" s="66">
        <f>T25</f>
        <v/>
      </c>
      <c r="R26" s="66">
        <f>IFERROR(MAX(0,F26-J26)*Inputs!$C$87/(Inputs!$C$87+Inputs!$C$88+Inputs!$C$89+Inputs!$C$90+Inputs!$C$91),0)</f>
        <v/>
      </c>
      <c r="S26" s="66">
        <f>Q26*'Retirement'!$C$5/12</f>
        <v/>
      </c>
      <c r="T26" s="87">
        <f>Q26+R26+S26</f>
        <v/>
      </c>
      <c r="U26" s="66">
        <f>W25</f>
        <v/>
      </c>
      <c r="V26" s="66">
        <f>IFERROR(MAX(0,F26-J26)*Inputs!$C$88/(Inputs!$C$87+Inputs!$C$88+Inputs!$C$89+Inputs!$C$90+Inputs!$C$91),0)</f>
        <v/>
      </c>
      <c r="W26" s="87">
        <f>U26*(1+Inputs!$C$54/12)+V26</f>
        <v/>
      </c>
      <c r="X26" s="66">
        <f>Z25</f>
        <v/>
      </c>
      <c r="Y26" s="66">
        <f>IFERROR(MAX(0,F26-J26)*Inputs!$C$89/(Inputs!$C$87+Inputs!$C$88+Inputs!$C$89+Inputs!$C$90+Inputs!$C$91),0)</f>
        <v/>
      </c>
      <c r="Z26" s="87">
        <f>X26*(1+Inputs!$C$54/12)+Y26</f>
        <v/>
      </c>
      <c r="AA26" s="66">
        <f>IFERROR(MAX(0,F26-J26)*Inputs!$C$90/(Inputs!$C$87+Inputs!$C$88+Inputs!$C$89+Inputs!$C$90+Inputs!$C$91),0)</f>
        <v/>
      </c>
      <c r="AB26" s="66">
        <f>IFERROR(MAX(0,F26-J26)*Inputs!$C$91/(Inputs!$C$87+Inputs!$C$88+Inputs!$C$89+Inputs!$C$90+Inputs!$C$91),0)</f>
        <v/>
      </c>
      <c r="AC26" s="50">
        <f>E26+L26+P26+T26+W26+Z26</f>
        <v/>
      </c>
      <c r="AD26" s="86">
        <f>'Car Loan'!H27</f>
        <v/>
      </c>
      <c r="AE26" s="51">
        <f>AC26-AD26</f>
        <v/>
      </c>
    </row>
    <row r="27">
      <c r="A27" s="118">
        <f>'Cash Flow'!A27</f>
        <v/>
      </c>
      <c r="B27" s="81">
        <f>'Cash Flow'!P27</f>
        <v/>
      </c>
      <c r="C27" s="61">
        <f>E26</f>
        <v/>
      </c>
      <c r="D27" s="61">
        <f>IF(B27&lt;0,B27,MAX(0,MIN(B27,Inputs!$C$52-C27)))</f>
        <v/>
      </c>
      <c r="E27" s="82">
        <f>C27+D27</f>
        <v/>
      </c>
      <c r="F27" s="61">
        <f>MAX(0,B27-D27)</f>
        <v/>
      </c>
      <c r="G27" s="61">
        <f>$C$5</f>
        <v/>
      </c>
      <c r="H27" s="61">
        <f>L26</f>
        <v/>
      </c>
      <c r="I27" s="61">
        <f>H27*Inputs!$C$54/12</f>
        <v/>
      </c>
      <c r="J27" s="61">
        <f>IF(H27+I27&lt;G27,MIN(F27,G27-H27-I27),F27*Inputs!$C$86)</f>
        <v/>
      </c>
      <c r="K27" s="81">
        <f>'Cash Flow'!R27</f>
        <v/>
      </c>
      <c r="L27" s="82">
        <f>MAX(0,H27+I27+J27-K27)</f>
        <v/>
      </c>
      <c r="M27" s="61">
        <f>P26</f>
        <v/>
      </c>
      <c r="N27" s="61">
        <f>M27*Inputs!$C$56/12</f>
        <v/>
      </c>
      <c r="O27" s="61">
        <f>K27</f>
        <v/>
      </c>
      <c r="P27" s="82">
        <f>M27+N27+O27</f>
        <v/>
      </c>
      <c r="Q27" s="61">
        <f>T26</f>
        <v/>
      </c>
      <c r="R27" s="61">
        <f>IFERROR(MAX(0,F27-J27)*Inputs!$C$87/(Inputs!$C$87+Inputs!$C$88+Inputs!$C$89+Inputs!$C$90+Inputs!$C$91),0)</f>
        <v/>
      </c>
      <c r="S27" s="61">
        <f>Q27*'Retirement'!$C$5/12</f>
        <v/>
      </c>
      <c r="T27" s="82">
        <f>Q27+R27+S27</f>
        <v/>
      </c>
      <c r="U27" s="61">
        <f>W26</f>
        <v/>
      </c>
      <c r="V27" s="61">
        <f>IFERROR(MAX(0,F27-J27)*Inputs!$C$88/(Inputs!$C$87+Inputs!$C$88+Inputs!$C$89+Inputs!$C$90+Inputs!$C$91),0)</f>
        <v/>
      </c>
      <c r="W27" s="82">
        <f>U27*(1+Inputs!$C$54/12)+V27</f>
        <v/>
      </c>
      <c r="X27" s="61">
        <f>Z26</f>
        <v/>
      </c>
      <c r="Y27" s="61">
        <f>IFERROR(MAX(0,F27-J27)*Inputs!$C$89/(Inputs!$C$87+Inputs!$C$88+Inputs!$C$89+Inputs!$C$90+Inputs!$C$91),0)</f>
        <v/>
      </c>
      <c r="Z27" s="82">
        <f>X27*(1+Inputs!$C$54/12)+Y27</f>
        <v/>
      </c>
      <c r="AA27" s="61">
        <f>IFERROR(MAX(0,F27-J27)*Inputs!$C$90/(Inputs!$C$87+Inputs!$C$88+Inputs!$C$89+Inputs!$C$90+Inputs!$C$91),0)</f>
        <v/>
      </c>
      <c r="AB27" s="61">
        <f>IFERROR(MAX(0,F27-J27)*Inputs!$C$91/(Inputs!$C$87+Inputs!$C$88+Inputs!$C$89+Inputs!$C$90+Inputs!$C$91),0)</f>
        <v/>
      </c>
      <c r="AC27" s="50">
        <f>E27+L27+P27+T27+W27+Z27</f>
        <v/>
      </c>
      <c r="AD27" s="81">
        <f>'Car Loan'!H28</f>
        <v/>
      </c>
      <c r="AE27" s="51">
        <f>AC27-AD27</f>
        <v/>
      </c>
    </row>
    <row r="28">
      <c r="A28" s="140">
        <f>'Cash Flow'!A28</f>
        <v/>
      </c>
      <c r="B28" s="86">
        <f>'Cash Flow'!P28</f>
        <v/>
      </c>
      <c r="C28" s="66">
        <f>E27</f>
        <v/>
      </c>
      <c r="D28" s="66">
        <f>IF(B28&lt;0,B28,MAX(0,MIN(B28,Inputs!$C$52-C28)))</f>
        <v/>
      </c>
      <c r="E28" s="87">
        <f>C28+D28</f>
        <v/>
      </c>
      <c r="F28" s="66">
        <f>MAX(0,B28-D28)</f>
        <v/>
      </c>
      <c r="G28" s="66">
        <f>$C$5</f>
        <v/>
      </c>
      <c r="H28" s="66">
        <f>L27</f>
        <v/>
      </c>
      <c r="I28" s="66">
        <f>H28*Inputs!$C$54/12</f>
        <v/>
      </c>
      <c r="J28" s="66">
        <f>IF(H28+I28&lt;G28,MIN(F28,G28-H28-I28),F28*Inputs!$C$86)</f>
        <v/>
      </c>
      <c r="K28" s="86">
        <f>'Cash Flow'!R28</f>
        <v/>
      </c>
      <c r="L28" s="87">
        <f>MAX(0,H28+I28+J28-K28)</f>
        <v/>
      </c>
      <c r="M28" s="66">
        <f>P27</f>
        <v/>
      </c>
      <c r="N28" s="66">
        <f>M28*Inputs!$C$56/12</f>
        <v/>
      </c>
      <c r="O28" s="66">
        <f>K28</f>
        <v/>
      </c>
      <c r="P28" s="87">
        <f>M28+N28+O28</f>
        <v/>
      </c>
      <c r="Q28" s="66">
        <f>T27</f>
        <v/>
      </c>
      <c r="R28" s="66">
        <f>IFERROR(MAX(0,F28-J28)*Inputs!$C$87/(Inputs!$C$87+Inputs!$C$88+Inputs!$C$89+Inputs!$C$90+Inputs!$C$91),0)</f>
        <v/>
      </c>
      <c r="S28" s="66">
        <f>Q28*'Retirement'!$C$5/12</f>
        <v/>
      </c>
      <c r="T28" s="87">
        <f>Q28+R28+S28</f>
        <v/>
      </c>
      <c r="U28" s="66">
        <f>W27</f>
        <v/>
      </c>
      <c r="V28" s="66">
        <f>IFERROR(MAX(0,F28-J28)*Inputs!$C$88/(Inputs!$C$87+Inputs!$C$88+Inputs!$C$89+Inputs!$C$90+Inputs!$C$91),0)</f>
        <v/>
      </c>
      <c r="W28" s="87">
        <f>U28*(1+Inputs!$C$54/12)+V28</f>
        <v/>
      </c>
      <c r="X28" s="66">
        <f>Z27</f>
        <v/>
      </c>
      <c r="Y28" s="66">
        <f>IFERROR(MAX(0,F28-J28)*Inputs!$C$89/(Inputs!$C$87+Inputs!$C$88+Inputs!$C$89+Inputs!$C$90+Inputs!$C$91),0)</f>
        <v/>
      </c>
      <c r="Z28" s="87">
        <f>X28*(1+Inputs!$C$54/12)+Y28</f>
        <v/>
      </c>
      <c r="AA28" s="66">
        <f>IFERROR(MAX(0,F28-J28)*Inputs!$C$90/(Inputs!$C$87+Inputs!$C$88+Inputs!$C$89+Inputs!$C$90+Inputs!$C$91),0)</f>
        <v/>
      </c>
      <c r="AB28" s="66">
        <f>IFERROR(MAX(0,F28-J28)*Inputs!$C$91/(Inputs!$C$87+Inputs!$C$88+Inputs!$C$89+Inputs!$C$90+Inputs!$C$91),0)</f>
        <v/>
      </c>
      <c r="AC28" s="50">
        <f>E28+L28+P28+T28+W28+Z28</f>
        <v/>
      </c>
      <c r="AD28" s="86">
        <f>'Car Loan'!H29</f>
        <v/>
      </c>
      <c r="AE28" s="51">
        <f>AC28-AD28</f>
        <v/>
      </c>
    </row>
    <row r="29">
      <c r="A29" s="118">
        <f>'Cash Flow'!A29</f>
        <v/>
      </c>
      <c r="B29" s="81">
        <f>'Cash Flow'!P29</f>
        <v/>
      </c>
      <c r="C29" s="61">
        <f>E28</f>
        <v/>
      </c>
      <c r="D29" s="61">
        <f>IF(B29&lt;0,B29,MAX(0,MIN(B29,Inputs!$C$52-C29)))</f>
        <v/>
      </c>
      <c r="E29" s="82">
        <f>C29+D29</f>
        <v/>
      </c>
      <c r="F29" s="61">
        <f>MAX(0,B29-D29)</f>
        <v/>
      </c>
      <c r="G29" s="61">
        <f>$C$5</f>
        <v/>
      </c>
      <c r="H29" s="61">
        <f>L28</f>
        <v/>
      </c>
      <c r="I29" s="61">
        <f>H29*Inputs!$C$54/12</f>
        <v/>
      </c>
      <c r="J29" s="61">
        <f>IF(H29+I29&lt;G29,MIN(F29,G29-H29-I29),F29*Inputs!$C$86)</f>
        <v/>
      </c>
      <c r="K29" s="81">
        <f>'Cash Flow'!R29</f>
        <v/>
      </c>
      <c r="L29" s="82">
        <f>MAX(0,H29+I29+J29-K29)</f>
        <v/>
      </c>
      <c r="M29" s="61">
        <f>P28</f>
        <v/>
      </c>
      <c r="N29" s="61">
        <f>M29*Inputs!$C$56/12</f>
        <v/>
      </c>
      <c r="O29" s="61">
        <f>K29</f>
        <v/>
      </c>
      <c r="P29" s="82">
        <f>M29+N29+O29</f>
        <v/>
      </c>
      <c r="Q29" s="61">
        <f>T28</f>
        <v/>
      </c>
      <c r="R29" s="61">
        <f>IFERROR(MAX(0,F29-J29)*Inputs!$C$87/(Inputs!$C$87+Inputs!$C$88+Inputs!$C$89+Inputs!$C$90+Inputs!$C$91),0)</f>
        <v/>
      </c>
      <c r="S29" s="61">
        <f>Q29*'Retirement'!$C$5/12</f>
        <v/>
      </c>
      <c r="T29" s="82">
        <f>Q29+R29+S29</f>
        <v/>
      </c>
      <c r="U29" s="61">
        <f>W28</f>
        <v/>
      </c>
      <c r="V29" s="61">
        <f>IFERROR(MAX(0,F29-J29)*Inputs!$C$88/(Inputs!$C$87+Inputs!$C$88+Inputs!$C$89+Inputs!$C$90+Inputs!$C$91),0)</f>
        <v/>
      </c>
      <c r="W29" s="82">
        <f>U29*(1+Inputs!$C$54/12)+V29</f>
        <v/>
      </c>
      <c r="X29" s="61">
        <f>Z28</f>
        <v/>
      </c>
      <c r="Y29" s="61">
        <f>IFERROR(MAX(0,F29-J29)*Inputs!$C$89/(Inputs!$C$87+Inputs!$C$88+Inputs!$C$89+Inputs!$C$90+Inputs!$C$91),0)</f>
        <v/>
      </c>
      <c r="Z29" s="82">
        <f>X29*(1+Inputs!$C$54/12)+Y29</f>
        <v/>
      </c>
      <c r="AA29" s="61">
        <f>IFERROR(MAX(0,F29-J29)*Inputs!$C$90/(Inputs!$C$87+Inputs!$C$88+Inputs!$C$89+Inputs!$C$90+Inputs!$C$91),0)</f>
        <v/>
      </c>
      <c r="AB29" s="61">
        <f>IFERROR(MAX(0,F29-J29)*Inputs!$C$91/(Inputs!$C$87+Inputs!$C$88+Inputs!$C$89+Inputs!$C$90+Inputs!$C$91),0)</f>
        <v/>
      </c>
      <c r="AC29" s="50">
        <f>E29+L29+P29+T29+W29+Z29</f>
        <v/>
      </c>
      <c r="AD29" s="81">
        <f>'Car Loan'!H30</f>
        <v/>
      </c>
      <c r="AE29" s="51">
        <f>AC29-AD29</f>
        <v/>
      </c>
    </row>
    <row r="30">
      <c r="A30" s="140">
        <f>'Cash Flow'!A30</f>
        <v/>
      </c>
      <c r="B30" s="86">
        <f>'Cash Flow'!P30</f>
        <v/>
      </c>
      <c r="C30" s="66">
        <f>E29</f>
        <v/>
      </c>
      <c r="D30" s="66">
        <f>IF(B30&lt;0,B30,MAX(0,MIN(B30,Inputs!$C$52-C30)))</f>
        <v/>
      </c>
      <c r="E30" s="87">
        <f>C30+D30</f>
        <v/>
      </c>
      <c r="F30" s="66">
        <f>MAX(0,B30-D30)</f>
        <v/>
      </c>
      <c r="G30" s="66">
        <f>$C$5</f>
        <v/>
      </c>
      <c r="H30" s="66">
        <f>L29</f>
        <v/>
      </c>
      <c r="I30" s="66">
        <f>H30*Inputs!$C$54/12</f>
        <v/>
      </c>
      <c r="J30" s="66">
        <f>IF(H30+I30&lt;G30,MIN(F30,G30-H30-I30),F30*Inputs!$C$86)</f>
        <v/>
      </c>
      <c r="K30" s="86">
        <f>'Cash Flow'!R30</f>
        <v/>
      </c>
      <c r="L30" s="87">
        <f>MAX(0,H30+I30+J30-K30)</f>
        <v/>
      </c>
      <c r="M30" s="66">
        <f>P29</f>
        <v/>
      </c>
      <c r="N30" s="66">
        <f>M30*Inputs!$C$56/12</f>
        <v/>
      </c>
      <c r="O30" s="66">
        <f>K30</f>
        <v/>
      </c>
      <c r="P30" s="87">
        <f>M30+N30+O30</f>
        <v/>
      </c>
      <c r="Q30" s="66">
        <f>T29</f>
        <v/>
      </c>
      <c r="R30" s="66">
        <f>IFERROR(MAX(0,F30-J30)*Inputs!$C$87/(Inputs!$C$87+Inputs!$C$88+Inputs!$C$89+Inputs!$C$90+Inputs!$C$91),0)</f>
        <v/>
      </c>
      <c r="S30" s="66">
        <f>Q30*'Retirement'!$C$5/12</f>
        <v/>
      </c>
      <c r="T30" s="87">
        <f>Q30+R30+S30</f>
        <v/>
      </c>
      <c r="U30" s="66">
        <f>W29</f>
        <v/>
      </c>
      <c r="V30" s="66">
        <f>IFERROR(MAX(0,F30-J30)*Inputs!$C$88/(Inputs!$C$87+Inputs!$C$88+Inputs!$C$89+Inputs!$C$90+Inputs!$C$91),0)</f>
        <v/>
      </c>
      <c r="W30" s="87">
        <f>U30*(1+Inputs!$C$54/12)+V30</f>
        <v/>
      </c>
      <c r="X30" s="66">
        <f>Z29</f>
        <v/>
      </c>
      <c r="Y30" s="66">
        <f>IFERROR(MAX(0,F30-J30)*Inputs!$C$89/(Inputs!$C$87+Inputs!$C$88+Inputs!$C$89+Inputs!$C$90+Inputs!$C$91),0)</f>
        <v/>
      </c>
      <c r="Z30" s="87">
        <f>X30*(1+Inputs!$C$54/12)+Y30</f>
        <v/>
      </c>
      <c r="AA30" s="66">
        <f>IFERROR(MAX(0,F30-J30)*Inputs!$C$90/(Inputs!$C$87+Inputs!$C$88+Inputs!$C$89+Inputs!$C$90+Inputs!$C$91),0)</f>
        <v/>
      </c>
      <c r="AB30" s="66">
        <f>IFERROR(MAX(0,F30-J30)*Inputs!$C$91/(Inputs!$C$87+Inputs!$C$88+Inputs!$C$89+Inputs!$C$90+Inputs!$C$91),0)</f>
        <v/>
      </c>
      <c r="AC30" s="50">
        <f>E30+L30+P30+T30+W30+Z30</f>
        <v/>
      </c>
      <c r="AD30" s="86">
        <f>'Car Loan'!H31</f>
        <v/>
      </c>
      <c r="AE30" s="51">
        <f>AC30-AD30</f>
        <v/>
      </c>
    </row>
    <row r="31">
      <c r="A31" s="118">
        <f>'Cash Flow'!A31</f>
        <v/>
      </c>
      <c r="B31" s="81">
        <f>'Cash Flow'!P31</f>
        <v/>
      </c>
      <c r="C31" s="61">
        <f>E30</f>
        <v/>
      </c>
      <c r="D31" s="61">
        <f>IF(B31&lt;0,B31,MAX(0,MIN(B31,Inputs!$C$52-C31)))</f>
        <v/>
      </c>
      <c r="E31" s="82">
        <f>C31+D31</f>
        <v/>
      </c>
      <c r="F31" s="61">
        <f>MAX(0,B31-D31)</f>
        <v/>
      </c>
      <c r="G31" s="61">
        <f>$C$5</f>
        <v/>
      </c>
      <c r="H31" s="61">
        <f>L30</f>
        <v/>
      </c>
      <c r="I31" s="61">
        <f>H31*Inputs!$C$54/12</f>
        <v/>
      </c>
      <c r="J31" s="61">
        <f>IF(H31+I31&lt;G31,MIN(F31,G31-H31-I31),F31*Inputs!$C$86)</f>
        <v/>
      </c>
      <c r="K31" s="81">
        <f>'Cash Flow'!R31</f>
        <v/>
      </c>
      <c r="L31" s="82">
        <f>MAX(0,H31+I31+J31-K31)</f>
        <v/>
      </c>
      <c r="M31" s="61">
        <f>P30</f>
        <v/>
      </c>
      <c r="N31" s="61">
        <f>M31*Inputs!$C$56/12</f>
        <v/>
      </c>
      <c r="O31" s="61">
        <f>K31</f>
        <v/>
      </c>
      <c r="P31" s="82">
        <f>M31+N31+O31</f>
        <v/>
      </c>
      <c r="Q31" s="61">
        <f>T30</f>
        <v/>
      </c>
      <c r="R31" s="61">
        <f>IFERROR(MAX(0,F31-J31)*Inputs!$C$87/(Inputs!$C$87+Inputs!$C$88+Inputs!$C$89+Inputs!$C$90+Inputs!$C$91),0)</f>
        <v/>
      </c>
      <c r="S31" s="61">
        <f>Q31*'Retirement'!$C$5/12</f>
        <v/>
      </c>
      <c r="T31" s="82">
        <f>Q31+R31+S31</f>
        <v/>
      </c>
      <c r="U31" s="61">
        <f>W30</f>
        <v/>
      </c>
      <c r="V31" s="61">
        <f>IFERROR(MAX(0,F31-J31)*Inputs!$C$88/(Inputs!$C$87+Inputs!$C$88+Inputs!$C$89+Inputs!$C$90+Inputs!$C$91),0)</f>
        <v/>
      </c>
      <c r="W31" s="82">
        <f>U31*(1+Inputs!$C$54/12)+V31</f>
        <v/>
      </c>
      <c r="X31" s="61">
        <f>Z30</f>
        <v/>
      </c>
      <c r="Y31" s="61">
        <f>IFERROR(MAX(0,F31-J31)*Inputs!$C$89/(Inputs!$C$87+Inputs!$C$88+Inputs!$C$89+Inputs!$C$90+Inputs!$C$91),0)</f>
        <v/>
      </c>
      <c r="Z31" s="82">
        <f>X31*(1+Inputs!$C$54/12)+Y31</f>
        <v/>
      </c>
      <c r="AA31" s="61">
        <f>IFERROR(MAX(0,F31-J31)*Inputs!$C$90/(Inputs!$C$87+Inputs!$C$88+Inputs!$C$89+Inputs!$C$90+Inputs!$C$91),0)</f>
        <v/>
      </c>
      <c r="AB31" s="61">
        <f>IFERROR(MAX(0,F31-J31)*Inputs!$C$91/(Inputs!$C$87+Inputs!$C$88+Inputs!$C$89+Inputs!$C$90+Inputs!$C$91),0)</f>
        <v/>
      </c>
      <c r="AC31" s="50">
        <f>E31+L31+P31+T31+W31+Z31</f>
        <v/>
      </c>
      <c r="AD31" s="81">
        <f>'Car Loan'!H32</f>
        <v/>
      </c>
      <c r="AE31" s="51">
        <f>AC31-AD31</f>
        <v/>
      </c>
    </row>
    <row r="32">
      <c r="A32" s="140">
        <f>'Cash Flow'!A32</f>
        <v/>
      </c>
      <c r="B32" s="86">
        <f>'Cash Flow'!P32</f>
        <v/>
      </c>
      <c r="C32" s="66">
        <f>E31</f>
        <v/>
      </c>
      <c r="D32" s="66">
        <f>IF(B32&lt;0,B32,MAX(0,MIN(B32,Inputs!$C$52-C32)))</f>
        <v/>
      </c>
      <c r="E32" s="87">
        <f>C32+D32</f>
        <v/>
      </c>
      <c r="F32" s="66">
        <f>MAX(0,B32-D32)</f>
        <v/>
      </c>
      <c r="G32" s="66">
        <f>$C$5</f>
        <v/>
      </c>
      <c r="H32" s="66">
        <f>L31</f>
        <v/>
      </c>
      <c r="I32" s="66">
        <f>H32*Inputs!$C$54/12</f>
        <v/>
      </c>
      <c r="J32" s="66">
        <f>IF(H32+I32&lt;G32,MIN(F32,G32-H32-I32),F32*Inputs!$C$86)</f>
        <v/>
      </c>
      <c r="K32" s="86">
        <f>'Cash Flow'!R32</f>
        <v/>
      </c>
      <c r="L32" s="87">
        <f>MAX(0,H32+I32+J32-K32)</f>
        <v/>
      </c>
      <c r="M32" s="66">
        <f>P31</f>
        <v/>
      </c>
      <c r="N32" s="66">
        <f>M32*Inputs!$C$56/12</f>
        <v/>
      </c>
      <c r="O32" s="66">
        <f>K32</f>
        <v/>
      </c>
      <c r="P32" s="87">
        <f>M32+N32+O32</f>
        <v/>
      </c>
      <c r="Q32" s="66">
        <f>T31</f>
        <v/>
      </c>
      <c r="R32" s="66">
        <f>IFERROR(MAX(0,F32-J32)*Inputs!$C$87/(Inputs!$C$87+Inputs!$C$88+Inputs!$C$89+Inputs!$C$90+Inputs!$C$91),0)</f>
        <v/>
      </c>
      <c r="S32" s="66">
        <f>Q32*'Retirement'!$C$5/12</f>
        <v/>
      </c>
      <c r="T32" s="87">
        <f>Q32+R32+S32</f>
        <v/>
      </c>
      <c r="U32" s="66">
        <f>W31</f>
        <v/>
      </c>
      <c r="V32" s="66">
        <f>IFERROR(MAX(0,F32-J32)*Inputs!$C$88/(Inputs!$C$87+Inputs!$C$88+Inputs!$C$89+Inputs!$C$90+Inputs!$C$91),0)</f>
        <v/>
      </c>
      <c r="W32" s="87">
        <f>U32*(1+Inputs!$C$54/12)+V32</f>
        <v/>
      </c>
      <c r="X32" s="66">
        <f>Z31</f>
        <v/>
      </c>
      <c r="Y32" s="66">
        <f>IFERROR(MAX(0,F32-J32)*Inputs!$C$89/(Inputs!$C$87+Inputs!$C$88+Inputs!$C$89+Inputs!$C$90+Inputs!$C$91),0)</f>
        <v/>
      </c>
      <c r="Z32" s="87">
        <f>X32*(1+Inputs!$C$54/12)+Y32</f>
        <v/>
      </c>
      <c r="AA32" s="66">
        <f>IFERROR(MAX(0,F32-J32)*Inputs!$C$90/(Inputs!$C$87+Inputs!$C$88+Inputs!$C$89+Inputs!$C$90+Inputs!$C$91),0)</f>
        <v/>
      </c>
      <c r="AB32" s="66">
        <f>IFERROR(MAX(0,F32-J32)*Inputs!$C$91/(Inputs!$C$87+Inputs!$C$88+Inputs!$C$89+Inputs!$C$90+Inputs!$C$91),0)</f>
        <v/>
      </c>
      <c r="AC32" s="50">
        <f>E32+L32+P32+T32+W32+Z32</f>
        <v/>
      </c>
      <c r="AD32" s="86">
        <f>'Car Loan'!H33</f>
        <v/>
      </c>
      <c r="AE32" s="51">
        <f>AC32-AD32</f>
        <v/>
      </c>
    </row>
    <row r="33">
      <c r="A33" s="118">
        <f>'Cash Flow'!A33</f>
        <v/>
      </c>
      <c r="B33" s="81">
        <f>'Cash Flow'!P33</f>
        <v/>
      </c>
      <c r="C33" s="61">
        <f>E32</f>
        <v/>
      </c>
      <c r="D33" s="61">
        <f>IF(B33&lt;0,B33,MAX(0,MIN(B33,Inputs!$C$52-C33)))</f>
        <v/>
      </c>
      <c r="E33" s="82">
        <f>C33+D33</f>
        <v/>
      </c>
      <c r="F33" s="61">
        <f>MAX(0,B33-D33)</f>
        <v/>
      </c>
      <c r="G33" s="61">
        <f>$C$5</f>
        <v/>
      </c>
      <c r="H33" s="61">
        <f>L32</f>
        <v/>
      </c>
      <c r="I33" s="61">
        <f>H33*Inputs!$C$54/12</f>
        <v/>
      </c>
      <c r="J33" s="61">
        <f>IF(H33+I33&lt;G33,MIN(F33,G33-H33-I33),F33*Inputs!$C$86)</f>
        <v/>
      </c>
      <c r="K33" s="81">
        <f>'Cash Flow'!R33</f>
        <v/>
      </c>
      <c r="L33" s="82">
        <f>MAX(0,H33+I33+J33-K33)</f>
        <v/>
      </c>
      <c r="M33" s="61">
        <f>P32</f>
        <v/>
      </c>
      <c r="N33" s="61">
        <f>M33*Inputs!$C$56/12</f>
        <v/>
      </c>
      <c r="O33" s="61">
        <f>K33</f>
        <v/>
      </c>
      <c r="P33" s="82">
        <f>M33+N33+O33</f>
        <v/>
      </c>
      <c r="Q33" s="61">
        <f>T32</f>
        <v/>
      </c>
      <c r="R33" s="61">
        <f>IFERROR(MAX(0,F33-J33)*Inputs!$C$87/(Inputs!$C$87+Inputs!$C$88+Inputs!$C$89+Inputs!$C$90+Inputs!$C$91),0)</f>
        <v/>
      </c>
      <c r="S33" s="61">
        <f>Q33*'Retirement'!$C$5/12</f>
        <v/>
      </c>
      <c r="T33" s="82">
        <f>Q33+R33+S33</f>
        <v/>
      </c>
      <c r="U33" s="61">
        <f>W32</f>
        <v/>
      </c>
      <c r="V33" s="61">
        <f>IFERROR(MAX(0,F33-J33)*Inputs!$C$88/(Inputs!$C$87+Inputs!$C$88+Inputs!$C$89+Inputs!$C$90+Inputs!$C$91),0)</f>
        <v/>
      </c>
      <c r="W33" s="82">
        <f>U33*(1+Inputs!$C$54/12)+V33</f>
        <v/>
      </c>
      <c r="X33" s="61">
        <f>Z32</f>
        <v/>
      </c>
      <c r="Y33" s="61">
        <f>IFERROR(MAX(0,F33-J33)*Inputs!$C$89/(Inputs!$C$87+Inputs!$C$88+Inputs!$C$89+Inputs!$C$90+Inputs!$C$91),0)</f>
        <v/>
      </c>
      <c r="Z33" s="82">
        <f>X33*(1+Inputs!$C$54/12)+Y33</f>
        <v/>
      </c>
      <c r="AA33" s="61">
        <f>IFERROR(MAX(0,F33-J33)*Inputs!$C$90/(Inputs!$C$87+Inputs!$C$88+Inputs!$C$89+Inputs!$C$90+Inputs!$C$91),0)</f>
        <v/>
      </c>
      <c r="AB33" s="61">
        <f>IFERROR(MAX(0,F33-J33)*Inputs!$C$91/(Inputs!$C$87+Inputs!$C$88+Inputs!$C$89+Inputs!$C$90+Inputs!$C$91),0)</f>
        <v/>
      </c>
      <c r="AC33" s="50">
        <f>E33+L33+P33+T33+W33+Z33</f>
        <v/>
      </c>
      <c r="AD33" s="81">
        <f>'Car Loan'!H34</f>
        <v/>
      </c>
      <c r="AE33" s="51">
        <f>AC33-AD33</f>
        <v/>
      </c>
    </row>
    <row r="34">
      <c r="A34" s="140">
        <f>'Cash Flow'!A34</f>
        <v/>
      </c>
      <c r="B34" s="86">
        <f>'Cash Flow'!P34</f>
        <v/>
      </c>
      <c r="C34" s="66">
        <f>E33</f>
        <v/>
      </c>
      <c r="D34" s="66">
        <f>IF(B34&lt;0,B34,MAX(0,MIN(B34,Inputs!$C$52-C34)))</f>
        <v/>
      </c>
      <c r="E34" s="87">
        <f>C34+D34</f>
        <v/>
      </c>
      <c r="F34" s="66">
        <f>MAX(0,B34-D34)</f>
        <v/>
      </c>
      <c r="G34" s="66">
        <f>$C$5</f>
        <v/>
      </c>
      <c r="H34" s="66">
        <f>L33</f>
        <v/>
      </c>
      <c r="I34" s="66">
        <f>H34*Inputs!$C$54/12</f>
        <v/>
      </c>
      <c r="J34" s="66">
        <f>IF(H34+I34&lt;G34,MIN(F34,G34-H34-I34),F34*Inputs!$C$86)</f>
        <v/>
      </c>
      <c r="K34" s="86">
        <f>'Cash Flow'!R34</f>
        <v/>
      </c>
      <c r="L34" s="87">
        <f>MAX(0,H34+I34+J34-K34)</f>
        <v/>
      </c>
      <c r="M34" s="66">
        <f>P33</f>
        <v/>
      </c>
      <c r="N34" s="66">
        <f>M34*Inputs!$C$56/12</f>
        <v/>
      </c>
      <c r="O34" s="66">
        <f>K34</f>
        <v/>
      </c>
      <c r="P34" s="87">
        <f>M34+N34+O34</f>
        <v/>
      </c>
      <c r="Q34" s="66">
        <f>T33</f>
        <v/>
      </c>
      <c r="R34" s="66">
        <f>IFERROR(MAX(0,F34-J34)*Inputs!$C$87/(Inputs!$C$87+Inputs!$C$88+Inputs!$C$89+Inputs!$C$90+Inputs!$C$91),0)</f>
        <v/>
      </c>
      <c r="S34" s="66">
        <f>Q34*'Retirement'!$C$5/12</f>
        <v/>
      </c>
      <c r="T34" s="87">
        <f>Q34+R34+S34</f>
        <v/>
      </c>
      <c r="U34" s="66">
        <f>W33</f>
        <v/>
      </c>
      <c r="V34" s="66">
        <f>IFERROR(MAX(0,F34-J34)*Inputs!$C$88/(Inputs!$C$87+Inputs!$C$88+Inputs!$C$89+Inputs!$C$90+Inputs!$C$91),0)</f>
        <v/>
      </c>
      <c r="W34" s="87">
        <f>U34*(1+Inputs!$C$54/12)+V34</f>
        <v/>
      </c>
      <c r="X34" s="66">
        <f>Z33</f>
        <v/>
      </c>
      <c r="Y34" s="66">
        <f>IFERROR(MAX(0,F34-J34)*Inputs!$C$89/(Inputs!$C$87+Inputs!$C$88+Inputs!$C$89+Inputs!$C$90+Inputs!$C$91),0)</f>
        <v/>
      </c>
      <c r="Z34" s="87">
        <f>X34*(1+Inputs!$C$54/12)+Y34</f>
        <v/>
      </c>
      <c r="AA34" s="66">
        <f>IFERROR(MAX(0,F34-J34)*Inputs!$C$90/(Inputs!$C$87+Inputs!$C$88+Inputs!$C$89+Inputs!$C$90+Inputs!$C$91),0)</f>
        <v/>
      </c>
      <c r="AB34" s="66">
        <f>IFERROR(MAX(0,F34-J34)*Inputs!$C$91/(Inputs!$C$87+Inputs!$C$88+Inputs!$C$89+Inputs!$C$90+Inputs!$C$91),0)</f>
        <v/>
      </c>
      <c r="AC34" s="50">
        <f>E34+L34+P34+T34+W34+Z34</f>
        <v/>
      </c>
      <c r="AD34" s="86">
        <f>'Car Loan'!H35</f>
        <v/>
      </c>
      <c r="AE34" s="51">
        <f>AC34-AD34</f>
        <v/>
      </c>
    </row>
    <row r="35">
      <c r="A35" s="118">
        <f>'Cash Flow'!A35</f>
        <v/>
      </c>
      <c r="B35" s="81">
        <f>'Cash Flow'!P35</f>
        <v/>
      </c>
      <c r="C35" s="61">
        <f>E34</f>
        <v/>
      </c>
      <c r="D35" s="61">
        <f>IF(B35&lt;0,B35,MAX(0,MIN(B35,Inputs!$C$52-C35)))</f>
        <v/>
      </c>
      <c r="E35" s="82">
        <f>C35+D35</f>
        <v/>
      </c>
      <c r="F35" s="61">
        <f>MAX(0,B35-D35)</f>
        <v/>
      </c>
      <c r="G35" s="61">
        <f>$C$5</f>
        <v/>
      </c>
      <c r="H35" s="61">
        <f>L34</f>
        <v/>
      </c>
      <c r="I35" s="61">
        <f>H35*Inputs!$C$54/12</f>
        <v/>
      </c>
      <c r="J35" s="61">
        <f>IF(H35+I35&lt;G35,MIN(F35,G35-H35-I35),F35*Inputs!$C$86)</f>
        <v/>
      </c>
      <c r="K35" s="81">
        <f>'Cash Flow'!R35</f>
        <v/>
      </c>
      <c r="L35" s="82">
        <f>MAX(0,H35+I35+J35-K35)</f>
        <v/>
      </c>
      <c r="M35" s="61">
        <f>P34</f>
        <v/>
      </c>
      <c r="N35" s="61">
        <f>M35*Inputs!$C$56/12</f>
        <v/>
      </c>
      <c r="O35" s="61">
        <f>K35</f>
        <v/>
      </c>
      <c r="P35" s="82">
        <f>M35+N35+O35</f>
        <v/>
      </c>
      <c r="Q35" s="61">
        <f>T34</f>
        <v/>
      </c>
      <c r="R35" s="61">
        <f>IFERROR(MAX(0,F35-J35)*Inputs!$C$87/(Inputs!$C$87+Inputs!$C$88+Inputs!$C$89+Inputs!$C$90+Inputs!$C$91),0)</f>
        <v/>
      </c>
      <c r="S35" s="61">
        <f>Q35*'Retirement'!$C$5/12</f>
        <v/>
      </c>
      <c r="T35" s="82">
        <f>Q35+R35+S35</f>
        <v/>
      </c>
      <c r="U35" s="61">
        <f>W34</f>
        <v/>
      </c>
      <c r="V35" s="61">
        <f>IFERROR(MAX(0,F35-J35)*Inputs!$C$88/(Inputs!$C$87+Inputs!$C$88+Inputs!$C$89+Inputs!$C$90+Inputs!$C$91),0)</f>
        <v/>
      </c>
      <c r="W35" s="82">
        <f>U35*(1+Inputs!$C$54/12)+V35</f>
        <v/>
      </c>
      <c r="X35" s="61">
        <f>Z34</f>
        <v/>
      </c>
      <c r="Y35" s="61">
        <f>IFERROR(MAX(0,F35-J35)*Inputs!$C$89/(Inputs!$C$87+Inputs!$C$88+Inputs!$C$89+Inputs!$C$90+Inputs!$C$91),0)</f>
        <v/>
      </c>
      <c r="Z35" s="82">
        <f>X35*(1+Inputs!$C$54/12)+Y35</f>
        <v/>
      </c>
      <c r="AA35" s="61">
        <f>IFERROR(MAX(0,F35-J35)*Inputs!$C$90/(Inputs!$C$87+Inputs!$C$88+Inputs!$C$89+Inputs!$C$90+Inputs!$C$91),0)</f>
        <v/>
      </c>
      <c r="AB35" s="61">
        <f>IFERROR(MAX(0,F35-J35)*Inputs!$C$91/(Inputs!$C$87+Inputs!$C$88+Inputs!$C$89+Inputs!$C$90+Inputs!$C$91),0)</f>
        <v/>
      </c>
      <c r="AC35" s="50">
        <f>E35+L35+P35+T35+W35+Z35</f>
        <v/>
      </c>
      <c r="AD35" s="81">
        <f>'Car Loan'!H36</f>
        <v/>
      </c>
      <c r="AE35" s="51">
        <f>AC35-AD35</f>
        <v/>
      </c>
    </row>
    <row r="36">
      <c r="A36" s="140">
        <f>'Cash Flow'!A36</f>
        <v/>
      </c>
      <c r="B36" s="86">
        <f>'Cash Flow'!P36</f>
        <v/>
      </c>
      <c r="C36" s="66">
        <f>E35</f>
        <v/>
      </c>
      <c r="D36" s="66">
        <f>IF(B36&lt;0,B36,MAX(0,MIN(B36,Inputs!$C$52-C36)))</f>
        <v/>
      </c>
      <c r="E36" s="87">
        <f>C36+D36</f>
        <v/>
      </c>
      <c r="F36" s="66">
        <f>MAX(0,B36-D36)</f>
        <v/>
      </c>
      <c r="G36" s="66">
        <f>$C$5</f>
        <v/>
      </c>
      <c r="H36" s="66">
        <f>L35</f>
        <v/>
      </c>
      <c r="I36" s="66">
        <f>H36*Inputs!$C$54/12</f>
        <v/>
      </c>
      <c r="J36" s="66">
        <f>IF(H36+I36&lt;G36,MIN(F36,G36-H36-I36),F36*Inputs!$C$86)</f>
        <v/>
      </c>
      <c r="K36" s="86">
        <f>'Cash Flow'!R36</f>
        <v/>
      </c>
      <c r="L36" s="87">
        <f>MAX(0,H36+I36+J36-K36)</f>
        <v/>
      </c>
      <c r="M36" s="66">
        <f>P35</f>
        <v/>
      </c>
      <c r="N36" s="66">
        <f>M36*Inputs!$C$56/12</f>
        <v/>
      </c>
      <c r="O36" s="66">
        <f>K36</f>
        <v/>
      </c>
      <c r="P36" s="87">
        <f>M36+N36+O36</f>
        <v/>
      </c>
      <c r="Q36" s="66">
        <f>T35</f>
        <v/>
      </c>
      <c r="R36" s="66">
        <f>IFERROR(MAX(0,F36-J36)*Inputs!$C$87/(Inputs!$C$87+Inputs!$C$88+Inputs!$C$89+Inputs!$C$90+Inputs!$C$91),0)</f>
        <v/>
      </c>
      <c r="S36" s="66">
        <f>Q36*'Retirement'!$C$5/12</f>
        <v/>
      </c>
      <c r="T36" s="87">
        <f>Q36+R36+S36</f>
        <v/>
      </c>
      <c r="U36" s="66">
        <f>W35</f>
        <v/>
      </c>
      <c r="V36" s="66">
        <f>IFERROR(MAX(0,F36-J36)*Inputs!$C$88/(Inputs!$C$87+Inputs!$C$88+Inputs!$C$89+Inputs!$C$90+Inputs!$C$91),0)</f>
        <v/>
      </c>
      <c r="W36" s="87">
        <f>U36*(1+Inputs!$C$54/12)+V36</f>
        <v/>
      </c>
      <c r="X36" s="66">
        <f>Z35</f>
        <v/>
      </c>
      <c r="Y36" s="66">
        <f>IFERROR(MAX(0,F36-J36)*Inputs!$C$89/(Inputs!$C$87+Inputs!$C$88+Inputs!$C$89+Inputs!$C$90+Inputs!$C$91),0)</f>
        <v/>
      </c>
      <c r="Z36" s="87">
        <f>X36*(1+Inputs!$C$54/12)+Y36</f>
        <v/>
      </c>
      <c r="AA36" s="66">
        <f>IFERROR(MAX(0,F36-J36)*Inputs!$C$90/(Inputs!$C$87+Inputs!$C$88+Inputs!$C$89+Inputs!$C$90+Inputs!$C$91),0)</f>
        <v/>
      </c>
      <c r="AB36" s="66">
        <f>IFERROR(MAX(0,F36-J36)*Inputs!$C$91/(Inputs!$C$87+Inputs!$C$88+Inputs!$C$89+Inputs!$C$90+Inputs!$C$91),0)</f>
        <v/>
      </c>
      <c r="AC36" s="50">
        <f>E36+L36+P36+T36+W36+Z36</f>
        <v/>
      </c>
      <c r="AD36" s="86">
        <f>'Car Loan'!H37</f>
        <v/>
      </c>
      <c r="AE36" s="51">
        <f>AC36-AD36</f>
        <v/>
      </c>
    </row>
    <row r="37">
      <c r="A37" s="118">
        <f>'Cash Flow'!A37</f>
        <v/>
      </c>
      <c r="B37" s="81">
        <f>'Cash Flow'!P37</f>
        <v/>
      </c>
      <c r="C37" s="61">
        <f>E36</f>
        <v/>
      </c>
      <c r="D37" s="61">
        <f>IF(B37&lt;0,B37,MAX(0,MIN(B37,Inputs!$C$52-C37)))</f>
        <v/>
      </c>
      <c r="E37" s="82">
        <f>C37+D37</f>
        <v/>
      </c>
      <c r="F37" s="61">
        <f>MAX(0,B37-D37)</f>
        <v/>
      </c>
      <c r="G37" s="61">
        <f>$C$5</f>
        <v/>
      </c>
      <c r="H37" s="61">
        <f>L36</f>
        <v/>
      </c>
      <c r="I37" s="61">
        <f>H37*Inputs!$C$54/12</f>
        <v/>
      </c>
      <c r="J37" s="61">
        <f>IF(H37+I37&lt;G37,MIN(F37,G37-H37-I37),F37*Inputs!$C$86)</f>
        <v/>
      </c>
      <c r="K37" s="81">
        <f>'Cash Flow'!R37</f>
        <v/>
      </c>
      <c r="L37" s="82">
        <f>MAX(0,H37+I37+J37-K37)</f>
        <v/>
      </c>
      <c r="M37" s="61">
        <f>P36</f>
        <v/>
      </c>
      <c r="N37" s="61">
        <f>M37*Inputs!$C$56/12</f>
        <v/>
      </c>
      <c r="O37" s="61">
        <f>K37</f>
        <v/>
      </c>
      <c r="P37" s="82">
        <f>M37+N37+O37</f>
        <v/>
      </c>
      <c r="Q37" s="61">
        <f>T36</f>
        <v/>
      </c>
      <c r="R37" s="61">
        <f>IFERROR(MAX(0,F37-J37)*Inputs!$C$87/(Inputs!$C$87+Inputs!$C$88+Inputs!$C$89+Inputs!$C$90+Inputs!$C$91),0)</f>
        <v/>
      </c>
      <c r="S37" s="61">
        <f>Q37*'Retirement'!$C$5/12</f>
        <v/>
      </c>
      <c r="T37" s="82">
        <f>Q37+R37+S37</f>
        <v/>
      </c>
      <c r="U37" s="61">
        <f>W36</f>
        <v/>
      </c>
      <c r="V37" s="61">
        <f>IFERROR(MAX(0,F37-J37)*Inputs!$C$88/(Inputs!$C$87+Inputs!$C$88+Inputs!$C$89+Inputs!$C$90+Inputs!$C$91),0)</f>
        <v/>
      </c>
      <c r="W37" s="82">
        <f>U37*(1+Inputs!$C$54/12)+V37</f>
        <v/>
      </c>
      <c r="X37" s="61">
        <f>Z36</f>
        <v/>
      </c>
      <c r="Y37" s="61">
        <f>IFERROR(MAX(0,F37-J37)*Inputs!$C$89/(Inputs!$C$87+Inputs!$C$88+Inputs!$C$89+Inputs!$C$90+Inputs!$C$91),0)</f>
        <v/>
      </c>
      <c r="Z37" s="82">
        <f>X37*(1+Inputs!$C$54/12)+Y37</f>
        <v/>
      </c>
      <c r="AA37" s="61">
        <f>IFERROR(MAX(0,F37-J37)*Inputs!$C$90/(Inputs!$C$87+Inputs!$C$88+Inputs!$C$89+Inputs!$C$90+Inputs!$C$91),0)</f>
        <v/>
      </c>
      <c r="AB37" s="61">
        <f>IFERROR(MAX(0,F37-J37)*Inputs!$C$91/(Inputs!$C$87+Inputs!$C$88+Inputs!$C$89+Inputs!$C$90+Inputs!$C$91),0)</f>
        <v/>
      </c>
      <c r="AC37" s="50">
        <f>E37+L37+P37+T37+W37+Z37</f>
        <v/>
      </c>
      <c r="AD37" s="81">
        <f>'Car Loan'!H38</f>
        <v/>
      </c>
      <c r="AE37" s="51">
        <f>AC37-AD37</f>
        <v/>
      </c>
    </row>
    <row r="38">
      <c r="A38" s="140">
        <f>'Cash Flow'!A38</f>
        <v/>
      </c>
      <c r="B38" s="86">
        <f>'Cash Flow'!P38</f>
        <v/>
      </c>
      <c r="C38" s="66">
        <f>E37</f>
        <v/>
      </c>
      <c r="D38" s="66">
        <f>IF(B38&lt;0,B38,MAX(0,MIN(B38,Inputs!$C$52-C38)))</f>
        <v/>
      </c>
      <c r="E38" s="87">
        <f>C38+D38</f>
        <v/>
      </c>
      <c r="F38" s="66">
        <f>MAX(0,B38-D38)</f>
        <v/>
      </c>
      <c r="G38" s="66">
        <f>$C$5</f>
        <v/>
      </c>
      <c r="H38" s="66">
        <f>L37</f>
        <v/>
      </c>
      <c r="I38" s="66">
        <f>H38*Inputs!$C$54/12</f>
        <v/>
      </c>
      <c r="J38" s="66">
        <f>IF(H38+I38&lt;G38,MIN(F38,G38-H38-I38),F38*Inputs!$C$86)</f>
        <v/>
      </c>
      <c r="K38" s="86">
        <f>'Cash Flow'!R38</f>
        <v/>
      </c>
      <c r="L38" s="87">
        <f>MAX(0,H38+I38+J38-K38)</f>
        <v/>
      </c>
      <c r="M38" s="66">
        <f>P37</f>
        <v/>
      </c>
      <c r="N38" s="66">
        <f>M38*Inputs!$C$56/12</f>
        <v/>
      </c>
      <c r="O38" s="66">
        <f>K38</f>
        <v/>
      </c>
      <c r="P38" s="87">
        <f>M38+N38+O38</f>
        <v/>
      </c>
      <c r="Q38" s="66">
        <f>T37</f>
        <v/>
      </c>
      <c r="R38" s="66">
        <f>IFERROR(MAX(0,F38-J38)*Inputs!$C$87/(Inputs!$C$87+Inputs!$C$88+Inputs!$C$89+Inputs!$C$90+Inputs!$C$91),0)</f>
        <v/>
      </c>
      <c r="S38" s="66">
        <f>Q38*'Retirement'!$C$5/12</f>
        <v/>
      </c>
      <c r="T38" s="87">
        <f>Q38+R38+S38</f>
        <v/>
      </c>
      <c r="U38" s="66">
        <f>W37</f>
        <v/>
      </c>
      <c r="V38" s="66">
        <f>IFERROR(MAX(0,F38-J38)*Inputs!$C$88/(Inputs!$C$87+Inputs!$C$88+Inputs!$C$89+Inputs!$C$90+Inputs!$C$91),0)</f>
        <v/>
      </c>
      <c r="W38" s="87">
        <f>U38*(1+Inputs!$C$54/12)+V38</f>
        <v/>
      </c>
      <c r="X38" s="66">
        <f>Z37</f>
        <v/>
      </c>
      <c r="Y38" s="66">
        <f>IFERROR(MAX(0,F38-J38)*Inputs!$C$89/(Inputs!$C$87+Inputs!$C$88+Inputs!$C$89+Inputs!$C$90+Inputs!$C$91),0)</f>
        <v/>
      </c>
      <c r="Z38" s="87">
        <f>X38*(1+Inputs!$C$54/12)+Y38</f>
        <v/>
      </c>
      <c r="AA38" s="66">
        <f>IFERROR(MAX(0,F38-J38)*Inputs!$C$90/(Inputs!$C$87+Inputs!$C$88+Inputs!$C$89+Inputs!$C$90+Inputs!$C$91),0)</f>
        <v/>
      </c>
      <c r="AB38" s="66">
        <f>IFERROR(MAX(0,F38-J38)*Inputs!$C$91/(Inputs!$C$87+Inputs!$C$88+Inputs!$C$89+Inputs!$C$90+Inputs!$C$91),0)</f>
        <v/>
      </c>
      <c r="AC38" s="50">
        <f>E38+L38+P38+T38+W38+Z38</f>
        <v/>
      </c>
      <c r="AD38" s="86">
        <f>'Car Loan'!H39</f>
        <v/>
      </c>
      <c r="AE38" s="51">
        <f>AC38-AD38</f>
        <v/>
      </c>
    </row>
    <row r="39">
      <c r="A39" s="118">
        <f>'Cash Flow'!A39</f>
        <v/>
      </c>
      <c r="B39" s="81">
        <f>'Cash Flow'!P39</f>
        <v/>
      </c>
      <c r="C39" s="61">
        <f>E38</f>
        <v/>
      </c>
      <c r="D39" s="61">
        <f>IF(B39&lt;0,B39,MAX(0,MIN(B39,Inputs!$C$52-C39)))</f>
        <v/>
      </c>
      <c r="E39" s="82">
        <f>C39+D39</f>
        <v/>
      </c>
      <c r="F39" s="61">
        <f>MAX(0,B39-D39)</f>
        <v/>
      </c>
      <c r="G39" s="61">
        <f>$C$5</f>
        <v/>
      </c>
      <c r="H39" s="61">
        <f>L38</f>
        <v/>
      </c>
      <c r="I39" s="61">
        <f>H39*Inputs!$C$54/12</f>
        <v/>
      </c>
      <c r="J39" s="61">
        <f>IF(H39+I39&lt;G39,MIN(F39,G39-H39-I39),F39*Inputs!$C$86)</f>
        <v/>
      </c>
      <c r="K39" s="81">
        <f>'Cash Flow'!R39</f>
        <v/>
      </c>
      <c r="L39" s="82">
        <f>MAX(0,H39+I39+J39-K39)</f>
        <v/>
      </c>
      <c r="M39" s="61">
        <f>P38</f>
        <v/>
      </c>
      <c r="N39" s="61">
        <f>M39*Inputs!$C$56/12</f>
        <v/>
      </c>
      <c r="O39" s="61">
        <f>K39</f>
        <v/>
      </c>
      <c r="P39" s="82">
        <f>M39+N39+O39</f>
        <v/>
      </c>
      <c r="Q39" s="61">
        <f>T38</f>
        <v/>
      </c>
      <c r="R39" s="61">
        <f>IFERROR(MAX(0,F39-J39)*Inputs!$C$87/(Inputs!$C$87+Inputs!$C$88+Inputs!$C$89+Inputs!$C$90+Inputs!$C$91),0)</f>
        <v/>
      </c>
      <c r="S39" s="61">
        <f>Q39*'Retirement'!$C$5/12</f>
        <v/>
      </c>
      <c r="T39" s="82">
        <f>Q39+R39+S39</f>
        <v/>
      </c>
      <c r="U39" s="61">
        <f>W38</f>
        <v/>
      </c>
      <c r="V39" s="61">
        <f>IFERROR(MAX(0,F39-J39)*Inputs!$C$88/(Inputs!$C$87+Inputs!$C$88+Inputs!$C$89+Inputs!$C$90+Inputs!$C$91),0)</f>
        <v/>
      </c>
      <c r="W39" s="82">
        <f>U39*(1+Inputs!$C$54/12)+V39</f>
        <v/>
      </c>
      <c r="X39" s="61">
        <f>Z38</f>
        <v/>
      </c>
      <c r="Y39" s="61">
        <f>IFERROR(MAX(0,F39-J39)*Inputs!$C$89/(Inputs!$C$87+Inputs!$C$88+Inputs!$C$89+Inputs!$C$90+Inputs!$C$91),0)</f>
        <v/>
      </c>
      <c r="Z39" s="82">
        <f>X39*(1+Inputs!$C$54/12)+Y39</f>
        <v/>
      </c>
      <c r="AA39" s="61">
        <f>IFERROR(MAX(0,F39-J39)*Inputs!$C$90/(Inputs!$C$87+Inputs!$C$88+Inputs!$C$89+Inputs!$C$90+Inputs!$C$91),0)</f>
        <v/>
      </c>
      <c r="AB39" s="61">
        <f>IFERROR(MAX(0,F39-J39)*Inputs!$C$91/(Inputs!$C$87+Inputs!$C$88+Inputs!$C$89+Inputs!$C$90+Inputs!$C$91),0)</f>
        <v/>
      </c>
      <c r="AC39" s="50">
        <f>E39+L39+P39+T39+W39+Z39</f>
        <v/>
      </c>
      <c r="AD39" s="81">
        <f>'Car Loan'!H40</f>
        <v/>
      </c>
      <c r="AE39" s="51">
        <f>AC39-AD39</f>
        <v/>
      </c>
    </row>
    <row r="40">
      <c r="A40" s="140">
        <f>'Cash Flow'!A40</f>
        <v/>
      </c>
      <c r="B40" s="86">
        <f>'Cash Flow'!P40</f>
        <v/>
      </c>
      <c r="C40" s="66">
        <f>E39</f>
        <v/>
      </c>
      <c r="D40" s="66">
        <f>IF(B40&lt;0,B40,MAX(0,MIN(B40,Inputs!$C$52-C40)))</f>
        <v/>
      </c>
      <c r="E40" s="87">
        <f>C40+D40</f>
        <v/>
      </c>
      <c r="F40" s="66">
        <f>MAX(0,B40-D40)</f>
        <v/>
      </c>
      <c r="G40" s="66">
        <f>$C$5</f>
        <v/>
      </c>
      <c r="H40" s="66">
        <f>L39</f>
        <v/>
      </c>
      <c r="I40" s="66">
        <f>H40*Inputs!$C$54/12</f>
        <v/>
      </c>
      <c r="J40" s="66">
        <f>IF(H40+I40&lt;G40,MIN(F40,G40-H40-I40),F40*Inputs!$C$86)</f>
        <v/>
      </c>
      <c r="K40" s="86">
        <f>'Cash Flow'!R40</f>
        <v/>
      </c>
      <c r="L40" s="87">
        <f>MAX(0,H40+I40+J40-K40)</f>
        <v/>
      </c>
      <c r="M40" s="66">
        <f>P39</f>
        <v/>
      </c>
      <c r="N40" s="66">
        <f>M40*Inputs!$C$56/12</f>
        <v/>
      </c>
      <c r="O40" s="66">
        <f>K40</f>
        <v/>
      </c>
      <c r="P40" s="87">
        <f>M40+N40+O40</f>
        <v/>
      </c>
      <c r="Q40" s="66">
        <f>T39</f>
        <v/>
      </c>
      <c r="R40" s="66">
        <f>IFERROR(MAX(0,F40-J40)*Inputs!$C$87/(Inputs!$C$87+Inputs!$C$88+Inputs!$C$89+Inputs!$C$90+Inputs!$C$91),0)</f>
        <v/>
      </c>
      <c r="S40" s="66">
        <f>Q40*'Retirement'!$C$5/12</f>
        <v/>
      </c>
      <c r="T40" s="87">
        <f>Q40+R40+S40</f>
        <v/>
      </c>
      <c r="U40" s="66">
        <f>W39</f>
        <v/>
      </c>
      <c r="V40" s="66">
        <f>IFERROR(MAX(0,F40-J40)*Inputs!$C$88/(Inputs!$C$87+Inputs!$C$88+Inputs!$C$89+Inputs!$C$90+Inputs!$C$91),0)</f>
        <v/>
      </c>
      <c r="W40" s="87">
        <f>U40*(1+Inputs!$C$54/12)+V40</f>
        <v/>
      </c>
      <c r="X40" s="66">
        <f>Z39</f>
        <v/>
      </c>
      <c r="Y40" s="66">
        <f>IFERROR(MAX(0,F40-J40)*Inputs!$C$89/(Inputs!$C$87+Inputs!$C$88+Inputs!$C$89+Inputs!$C$90+Inputs!$C$91),0)</f>
        <v/>
      </c>
      <c r="Z40" s="87">
        <f>X40*(1+Inputs!$C$54/12)+Y40</f>
        <v/>
      </c>
      <c r="AA40" s="66">
        <f>IFERROR(MAX(0,F40-J40)*Inputs!$C$90/(Inputs!$C$87+Inputs!$C$88+Inputs!$C$89+Inputs!$C$90+Inputs!$C$91),0)</f>
        <v/>
      </c>
      <c r="AB40" s="66">
        <f>IFERROR(MAX(0,F40-J40)*Inputs!$C$91/(Inputs!$C$87+Inputs!$C$88+Inputs!$C$89+Inputs!$C$90+Inputs!$C$91),0)</f>
        <v/>
      </c>
      <c r="AC40" s="50">
        <f>E40+L40+P40+T40+W40+Z40</f>
        <v/>
      </c>
      <c r="AD40" s="86">
        <f>'Car Loan'!H41</f>
        <v/>
      </c>
      <c r="AE40" s="51">
        <f>AC40-AD40</f>
        <v/>
      </c>
    </row>
    <row r="41">
      <c r="A41" s="118">
        <f>'Cash Flow'!A41</f>
        <v/>
      </c>
      <c r="B41" s="81">
        <f>'Cash Flow'!P41</f>
        <v/>
      </c>
      <c r="C41" s="61">
        <f>E40</f>
        <v/>
      </c>
      <c r="D41" s="61">
        <f>IF(B41&lt;0,B41,MAX(0,MIN(B41,Inputs!$C$52-C41)))</f>
        <v/>
      </c>
      <c r="E41" s="82">
        <f>C41+D41</f>
        <v/>
      </c>
      <c r="F41" s="61">
        <f>MAX(0,B41-D41)</f>
        <v/>
      </c>
      <c r="G41" s="61">
        <f>$C$5</f>
        <v/>
      </c>
      <c r="H41" s="61">
        <f>L40</f>
        <v/>
      </c>
      <c r="I41" s="61">
        <f>H41*Inputs!$C$54/12</f>
        <v/>
      </c>
      <c r="J41" s="61">
        <f>IF(H41+I41&lt;G41,MIN(F41,G41-H41-I41),F41*Inputs!$C$86)</f>
        <v/>
      </c>
      <c r="K41" s="81">
        <f>'Cash Flow'!R41</f>
        <v/>
      </c>
      <c r="L41" s="82">
        <f>MAX(0,H41+I41+J41-K41)</f>
        <v/>
      </c>
      <c r="M41" s="61">
        <f>P40</f>
        <v/>
      </c>
      <c r="N41" s="61">
        <f>M41*Inputs!$C$56/12</f>
        <v/>
      </c>
      <c r="O41" s="61">
        <f>K41</f>
        <v/>
      </c>
      <c r="P41" s="82">
        <f>M41+N41+O41</f>
        <v/>
      </c>
      <c r="Q41" s="61">
        <f>T40</f>
        <v/>
      </c>
      <c r="R41" s="61">
        <f>IFERROR(MAX(0,F41-J41)*Inputs!$C$87/(Inputs!$C$87+Inputs!$C$88+Inputs!$C$89+Inputs!$C$90+Inputs!$C$91),0)</f>
        <v/>
      </c>
      <c r="S41" s="61">
        <f>Q41*'Retirement'!$C$5/12</f>
        <v/>
      </c>
      <c r="T41" s="82">
        <f>Q41+R41+S41</f>
        <v/>
      </c>
      <c r="U41" s="61">
        <f>W40</f>
        <v/>
      </c>
      <c r="V41" s="61">
        <f>IFERROR(MAX(0,F41-J41)*Inputs!$C$88/(Inputs!$C$87+Inputs!$C$88+Inputs!$C$89+Inputs!$C$90+Inputs!$C$91),0)</f>
        <v/>
      </c>
      <c r="W41" s="82">
        <f>U41*(1+Inputs!$C$54/12)+V41</f>
        <v/>
      </c>
      <c r="X41" s="61">
        <f>Z40</f>
        <v/>
      </c>
      <c r="Y41" s="61">
        <f>IFERROR(MAX(0,F41-J41)*Inputs!$C$89/(Inputs!$C$87+Inputs!$C$88+Inputs!$C$89+Inputs!$C$90+Inputs!$C$91),0)</f>
        <v/>
      </c>
      <c r="Z41" s="82">
        <f>X41*(1+Inputs!$C$54/12)+Y41</f>
        <v/>
      </c>
      <c r="AA41" s="61">
        <f>IFERROR(MAX(0,F41-J41)*Inputs!$C$90/(Inputs!$C$87+Inputs!$C$88+Inputs!$C$89+Inputs!$C$90+Inputs!$C$91),0)</f>
        <v/>
      </c>
      <c r="AB41" s="61">
        <f>IFERROR(MAX(0,F41-J41)*Inputs!$C$91/(Inputs!$C$87+Inputs!$C$88+Inputs!$C$89+Inputs!$C$90+Inputs!$C$91),0)</f>
        <v/>
      </c>
      <c r="AC41" s="50">
        <f>E41+L41+P41+T41+W41+Z41</f>
        <v/>
      </c>
      <c r="AD41" s="81">
        <f>'Car Loan'!H42</f>
        <v/>
      </c>
      <c r="AE41" s="51">
        <f>AC41-AD41</f>
        <v/>
      </c>
    </row>
    <row r="42">
      <c r="A42" s="140">
        <f>'Cash Flow'!A42</f>
        <v/>
      </c>
      <c r="B42" s="86">
        <f>'Cash Flow'!P42</f>
        <v/>
      </c>
      <c r="C42" s="66">
        <f>E41</f>
        <v/>
      </c>
      <c r="D42" s="66">
        <f>IF(B42&lt;0,B42,MAX(0,MIN(B42,Inputs!$C$52-C42)))</f>
        <v/>
      </c>
      <c r="E42" s="87">
        <f>C42+D42</f>
        <v/>
      </c>
      <c r="F42" s="66">
        <f>MAX(0,B42-D42)</f>
        <v/>
      </c>
      <c r="G42" s="66">
        <f>$C$5</f>
        <v/>
      </c>
      <c r="H42" s="66">
        <f>L41</f>
        <v/>
      </c>
      <c r="I42" s="66">
        <f>H42*Inputs!$C$54/12</f>
        <v/>
      </c>
      <c r="J42" s="66">
        <f>IF(H42+I42&lt;G42,MIN(F42,G42-H42-I42),F42*Inputs!$C$86)</f>
        <v/>
      </c>
      <c r="K42" s="86">
        <f>'Cash Flow'!R42</f>
        <v/>
      </c>
      <c r="L42" s="87">
        <f>MAX(0,H42+I42+J42-K42)</f>
        <v/>
      </c>
      <c r="M42" s="66">
        <f>P41</f>
        <v/>
      </c>
      <c r="N42" s="66">
        <f>M42*Inputs!$C$56/12</f>
        <v/>
      </c>
      <c r="O42" s="66">
        <f>K42</f>
        <v/>
      </c>
      <c r="P42" s="87">
        <f>M42+N42+O42</f>
        <v/>
      </c>
      <c r="Q42" s="66">
        <f>T41</f>
        <v/>
      </c>
      <c r="R42" s="66">
        <f>IFERROR(MAX(0,F42-J42)*Inputs!$C$87/(Inputs!$C$87+Inputs!$C$88+Inputs!$C$89+Inputs!$C$90+Inputs!$C$91),0)</f>
        <v/>
      </c>
      <c r="S42" s="66">
        <f>Q42*'Retirement'!$C$5/12</f>
        <v/>
      </c>
      <c r="T42" s="87">
        <f>Q42+R42+S42</f>
        <v/>
      </c>
      <c r="U42" s="66">
        <f>W41</f>
        <v/>
      </c>
      <c r="V42" s="66">
        <f>IFERROR(MAX(0,F42-J42)*Inputs!$C$88/(Inputs!$C$87+Inputs!$C$88+Inputs!$C$89+Inputs!$C$90+Inputs!$C$91),0)</f>
        <v/>
      </c>
      <c r="W42" s="87">
        <f>U42*(1+Inputs!$C$54/12)+V42</f>
        <v/>
      </c>
      <c r="X42" s="66">
        <f>Z41</f>
        <v/>
      </c>
      <c r="Y42" s="66">
        <f>IFERROR(MAX(0,F42-J42)*Inputs!$C$89/(Inputs!$C$87+Inputs!$C$88+Inputs!$C$89+Inputs!$C$90+Inputs!$C$91),0)</f>
        <v/>
      </c>
      <c r="Z42" s="87">
        <f>X42*(1+Inputs!$C$54/12)+Y42</f>
        <v/>
      </c>
      <c r="AA42" s="66">
        <f>IFERROR(MAX(0,F42-J42)*Inputs!$C$90/(Inputs!$C$87+Inputs!$C$88+Inputs!$C$89+Inputs!$C$90+Inputs!$C$91),0)</f>
        <v/>
      </c>
      <c r="AB42" s="66">
        <f>IFERROR(MAX(0,F42-J42)*Inputs!$C$91/(Inputs!$C$87+Inputs!$C$88+Inputs!$C$89+Inputs!$C$90+Inputs!$C$91),0)</f>
        <v/>
      </c>
      <c r="AC42" s="50">
        <f>E42+L42+P42+T42+W42+Z42</f>
        <v/>
      </c>
      <c r="AD42" s="86">
        <f>'Car Loan'!H43</f>
        <v/>
      </c>
      <c r="AE42" s="51">
        <f>AC42-AD42</f>
        <v/>
      </c>
    </row>
    <row r="43">
      <c r="A43" s="118">
        <f>'Cash Flow'!A43</f>
        <v/>
      </c>
      <c r="B43" s="81">
        <f>'Cash Flow'!P43</f>
        <v/>
      </c>
      <c r="C43" s="61">
        <f>E42</f>
        <v/>
      </c>
      <c r="D43" s="61">
        <f>IF(B43&lt;0,B43,MAX(0,MIN(B43,Inputs!$C$52-C43)))</f>
        <v/>
      </c>
      <c r="E43" s="82">
        <f>C43+D43</f>
        <v/>
      </c>
      <c r="F43" s="61">
        <f>MAX(0,B43-D43)</f>
        <v/>
      </c>
      <c r="G43" s="61">
        <f>$C$5</f>
        <v/>
      </c>
      <c r="H43" s="61">
        <f>L42</f>
        <v/>
      </c>
      <c r="I43" s="61">
        <f>H43*Inputs!$C$54/12</f>
        <v/>
      </c>
      <c r="J43" s="61">
        <f>IF(H43+I43&lt;G43,MIN(F43,G43-H43-I43),F43*Inputs!$C$86)</f>
        <v/>
      </c>
      <c r="K43" s="81">
        <f>'Cash Flow'!R43</f>
        <v/>
      </c>
      <c r="L43" s="82">
        <f>MAX(0,H43+I43+J43-K43)</f>
        <v/>
      </c>
      <c r="M43" s="61">
        <f>P42</f>
        <v/>
      </c>
      <c r="N43" s="61">
        <f>M43*Inputs!$C$56/12</f>
        <v/>
      </c>
      <c r="O43" s="61">
        <f>K43</f>
        <v/>
      </c>
      <c r="P43" s="82">
        <f>M43+N43+O43</f>
        <v/>
      </c>
      <c r="Q43" s="61">
        <f>T42</f>
        <v/>
      </c>
      <c r="R43" s="61">
        <f>IFERROR(MAX(0,F43-J43)*Inputs!$C$87/(Inputs!$C$87+Inputs!$C$88+Inputs!$C$89+Inputs!$C$90+Inputs!$C$91),0)</f>
        <v/>
      </c>
      <c r="S43" s="61">
        <f>Q43*'Retirement'!$C$5/12</f>
        <v/>
      </c>
      <c r="T43" s="82">
        <f>Q43+R43+S43</f>
        <v/>
      </c>
      <c r="U43" s="61">
        <f>W42</f>
        <v/>
      </c>
      <c r="V43" s="61">
        <f>IFERROR(MAX(0,F43-J43)*Inputs!$C$88/(Inputs!$C$87+Inputs!$C$88+Inputs!$C$89+Inputs!$C$90+Inputs!$C$91),0)</f>
        <v/>
      </c>
      <c r="W43" s="82">
        <f>U43*(1+Inputs!$C$54/12)+V43</f>
        <v/>
      </c>
      <c r="X43" s="61">
        <f>Z42</f>
        <v/>
      </c>
      <c r="Y43" s="61">
        <f>IFERROR(MAX(0,F43-J43)*Inputs!$C$89/(Inputs!$C$87+Inputs!$C$88+Inputs!$C$89+Inputs!$C$90+Inputs!$C$91),0)</f>
        <v/>
      </c>
      <c r="Z43" s="82">
        <f>X43*(1+Inputs!$C$54/12)+Y43</f>
        <v/>
      </c>
      <c r="AA43" s="61">
        <f>IFERROR(MAX(0,F43-J43)*Inputs!$C$90/(Inputs!$C$87+Inputs!$C$88+Inputs!$C$89+Inputs!$C$90+Inputs!$C$91),0)</f>
        <v/>
      </c>
      <c r="AB43" s="61">
        <f>IFERROR(MAX(0,F43-J43)*Inputs!$C$91/(Inputs!$C$87+Inputs!$C$88+Inputs!$C$89+Inputs!$C$90+Inputs!$C$91),0)</f>
        <v/>
      </c>
      <c r="AC43" s="50">
        <f>E43+L43+P43+T43+W43+Z43</f>
        <v/>
      </c>
      <c r="AD43" s="81">
        <f>'Car Loan'!H44</f>
        <v/>
      </c>
      <c r="AE43" s="51">
        <f>AC43-AD43</f>
        <v/>
      </c>
    </row>
    <row r="44">
      <c r="A44" s="140">
        <f>'Cash Flow'!A44</f>
        <v/>
      </c>
      <c r="B44" s="86">
        <f>'Cash Flow'!P44</f>
        <v/>
      </c>
      <c r="C44" s="66">
        <f>E43</f>
        <v/>
      </c>
      <c r="D44" s="66">
        <f>IF(B44&lt;0,B44,MAX(0,MIN(B44,Inputs!$C$52-C44)))</f>
        <v/>
      </c>
      <c r="E44" s="87">
        <f>C44+D44</f>
        <v/>
      </c>
      <c r="F44" s="66">
        <f>MAX(0,B44-D44)</f>
        <v/>
      </c>
      <c r="G44" s="66">
        <f>$C$5</f>
        <v/>
      </c>
      <c r="H44" s="66">
        <f>L43</f>
        <v/>
      </c>
      <c r="I44" s="66">
        <f>H44*Inputs!$C$54/12</f>
        <v/>
      </c>
      <c r="J44" s="66">
        <f>IF(H44+I44&lt;G44,MIN(F44,G44-H44-I44),F44*Inputs!$C$86)</f>
        <v/>
      </c>
      <c r="K44" s="86">
        <f>'Cash Flow'!R44</f>
        <v/>
      </c>
      <c r="L44" s="87">
        <f>MAX(0,H44+I44+J44-K44)</f>
        <v/>
      </c>
      <c r="M44" s="66">
        <f>P43</f>
        <v/>
      </c>
      <c r="N44" s="66">
        <f>M44*Inputs!$C$56/12</f>
        <v/>
      </c>
      <c r="O44" s="66">
        <f>K44</f>
        <v/>
      </c>
      <c r="P44" s="87">
        <f>M44+N44+O44</f>
        <v/>
      </c>
      <c r="Q44" s="66">
        <f>T43</f>
        <v/>
      </c>
      <c r="R44" s="66">
        <f>IFERROR(MAX(0,F44-J44)*Inputs!$C$87/(Inputs!$C$87+Inputs!$C$88+Inputs!$C$89+Inputs!$C$90+Inputs!$C$91),0)</f>
        <v/>
      </c>
      <c r="S44" s="66">
        <f>Q44*'Retirement'!$C$5/12</f>
        <v/>
      </c>
      <c r="T44" s="87">
        <f>Q44+R44+S44</f>
        <v/>
      </c>
      <c r="U44" s="66">
        <f>W43</f>
        <v/>
      </c>
      <c r="V44" s="66">
        <f>IFERROR(MAX(0,F44-J44)*Inputs!$C$88/(Inputs!$C$87+Inputs!$C$88+Inputs!$C$89+Inputs!$C$90+Inputs!$C$91),0)</f>
        <v/>
      </c>
      <c r="W44" s="87">
        <f>U44*(1+Inputs!$C$54/12)+V44</f>
        <v/>
      </c>
      <c r="X44" s="66">
        <f>Z43</f>
        <v/>
      </c>
      <c r="Y44" s="66">
        <f>IFERROR(MAX(0,F44-J44)*Inputs!$C$89/(Inputs!$C$87+Inputs!$C$88+Inputs!$C$89+Inputs!$C$90+Inputs!$C$91),0)</f>
        <v/>
      </c>
      <c r="Z44" s="87">
        <f>X44*(1+Inputs!$C$54/12)+Y44</f>
        <v/>
      </c>
      <c r="AA44" s="66">
        <f>IFERROR(MAX(0,F44-J44)*Inputs!$C$90/(Inputs!$C$87+Inputs!$C$88+Inputs!$C$89+Inputs!$C$90+Inputs!$C$91),0)</f>
        <v/>
      </c>
      <c r="AB44" s="66">
        <f>IFERROR(MAX(0,F44-J44)*Inputs!$C$91/(Inputs!$C$87+Inputs!$C$88+Inputs!$C$89+Inputs!$C$90+Inputs!$C$91),0)</f>
        <v/>
      </c>
      <c r="AC44" s="50">
        <f>E44+L44+P44+T44+W44+Z44</f>
        <v/>
      </c>
      <c r="AD44" s="86">
        <f>'Car Loan'!H45</f>
        <v/>
      </c>
      <c r="AE44" s="51">
        <f>AC44-AD44</f>
        <v/>
      </c>
    </row>
  </sheetData>
  <mergeCells count="13">
    <mergeCell ref="A2:AE2"/>
    <mergeCell ref="AA7:AB7"/>
    <mergeCell ref="H7:L7"/>
    <mergeCell ref="M7:P7"/>
    <mergeCell ref="C4:AE4"/>
    <mergeCell ref="A5:B5"/>
    <mergeCell ref="A1:AE1"/>
    <mergeCell ref="C7:F7"/>
    <mergeCell ref="Q7:T7"/>
    <mergeCell ref="U7:W7"/>
    <mergeCell ref="X7:Z7"/>
    <mergeCell ref="D5:J5"/>
    <mergeCell ref="AC7:AE7"/>
  </mergeCells>
  <conditionalFormatting sqref="E9:E44">
    <cfRule type="cellIs" priority="1" operator="lessThan" dxfId="0">
      <formula>500</formula>
    </cfRule>
  </conditionalFormatting>
  <pageMargins left="0.75" right="0.75" top="1" bottom="1" header="0.5" footer="0.5"/>
  <legacyDrawing xmlns:r="http://schemas.openxmlformats.org/officeDocument/2006/relationships" r:id="anysvml"/>
</worksheet>
</file>

<file path=xl/worksheets/sheet12.xml><?xml version="1.0" encoding="utf-8"?>
<worksheet xmlns="http://schemas.openxmlformats.org/spreadsheetml/2006/main">
  <sheetPr>
    <tabColor rgb="001E7B4F"/>
    <outlinePr summaryBelow="1" summaryRight="1"/>
    <pageSetUpPr fitToPage="1"/>
  </sheetPr>
  <dimension ref="A1:J42"/>
  <sheetViews>
    <sheetView showGridLines="0" workbookViewId="0">
      <pane ySplit="7" topLeftCell="A8" activePane="bottomLeft" state="frozen"/>
      <selection pane="bottomLeft" activeCell="A1" sqref="A1"/>
    </sheetView>
  </sheetViews>
  <sheetFormatPr baseColWidth="8" defaultRowHeight="15"/>
  <cols>
    <col width="6" customWidth="1" min="1" max="1"/>
    <col width="13" customWidth="1" min="2" max="2"/>
    <col width="14" customWidth="1" min="3" max="3"/>
    <col width="13" customWidth="1" min="4" max="4"/>
    <col width="13" customWidth="1" min="5" max="5"/>
    <col width="14" customWidth="1" min="6" max="6"/>
    <col width="14" customWidth="1" min="7" max="7"/>
    <col width="15" customWidth="1" min="8" max="8"/>
    <col width="15" customWidth="1" min="9" max="9"/>
    <col width="50" customWidth="1" min="10" max="10"/>
  </cols>
  <sheetData>
    <row r="1" ht="26" customHeight="1">
      <c r="A1" s="1" t="inlineStr">
        <is>
          <t>SHARED CERTIFICATE LADDER  —  3-month roll, +$1,250 from savings every time</t>
        </is>
      </c>
      <c r="B1" s="2" t="n"/>
      <c r="C1" s="2" t="n"/>
      <c r="D1" s="2" t="n"/>
      <c r="E1" s="2" t="n"/>
      <c r="F1" s="2" t="n"/>
      <c r="G1" s="2" t="n"/>
      <c r="H1" s="2" t="n"/>
      <c r="I1" s="2" t="n"/>
      <c r="J1" s="2" t="n"/>
    </row>
    <row r="2" ht="15" customHeight="1">
      <c r="A2" s="3" t="inlineStr">
        <is>
          <t>Next roll 10/28/2026 at 3.687% APY. The right-hand columns answer the question that matters: is this beating your savings account?</t>
        </is>
      </c>
      <c r="B2" s="2" t="n"/>
      <c r="C2" s="2" t="n"/>
      <c r="D2" s="2" t="n"/>
      <c r="E2" s="2" t="n"/>
      <c r="F2" s="2" t="n"/>
      <c r="G2" s="2" t="n"/>
      <c r="H2" s="2" t="n"/>
      <c r="I2" s="2" t="n"/>
      <c r="J2" s="2" t="n"/>
    </row>
    <row r="7" ht="30" customHeight="1">
      <c r="A7" s="55" t="inlineStr">
        <is>
          <t>Roll</t>
        </is>
      </c>
      <c r="B7" s="55" t="inlineStr">
        <is>
          <t>Maturity /
Roll date</t>
        </is>
      </c>
      <c r="C7" s="55" t="inlineStr">
        <is>
          <t>Opening
balance</t>
        </is>
      </c>
      <c r="D7" s="55" t="inlineStr">
        <is>
          <t>Rate</t>
        </is>
      </c>
      <c r="E7" s="55" t="inlineStr">
        <is>
          <t>Interest
earned</t>
        </is>
      </c>
      <c r="F7" s="55" t="inlineStr">
        <is>
          <t>Auto-add from
savings</t>
        </is>
      </c>
      <c r="G7" s="55" t="inlineStr">
        <is>
          <t>Closing
balance</t>
        </is>
      </c>
      <c r="H7" s="55" t="inlineStr">
        <is>
          <t>Cumulative
interest</t>
        </is>
      </c>
      <c r="I7" s="55" t="inlineStr">
        <is>
          <t>If it had stayed
in HYSA</t>
        </is>
      </c>
      <c r="J7" s="55" t="inlineStr">
        <is>
          <t>Note</t>
        </is>
      </c>
    </row>
    <row r="8">
      <c r="A8" s="79" t="n">
        <v>1</v>
      </c>
      <c r="B8" s="141">
        <f>Inputs!$C$57</f>
        <v/>
      </c>
      <c r="C8" s="81">
        <f>Inputs!$C$55</f>
        <v/>
      </c>
      <c r="D8" s="60">
        <f>Inputs!$C$56</f>
        <v/>
      </c>
      <c r="E8" s="61">
        <f>C8*D8*Inputs!$C$58/12</f>
        <v/>
      </c>
      <c r="F8" s="81">
        <f>Inputs!$C$59</f>
        <v/>
      </c>
      <c r="G8" s="50">
        <f>C8+E8+F8</f>
        <v/>
      </c>
      <c r="H8" s="61">
        <f>E8</f>
        <v/>
      </c>
      <c r="I8" s="61">
        <f>Inputs!$C$55*(1+Inputs!$C$54*Inputs!$C$58/12)</f>
        <v/>
      </c>
      <c r="J8" s="29" t="inlineStr">
        <is>
          <t>Column I asks: if this exact money (same $1,250 every quarter) had simply stayed in your high-yield savings at the rate on Inputs, what would it be worth? If column I beats column G, the certificate is costing you money.</t>
        </is>
      </c>
    </row>
    <row r="9">
      <c r="A9" s="84" t="n">
        <v>2</v>
      </c>
      <c r="B9" s="85">
        <f>EDATE(B8,Inputs!$C$58)</f>
        <v/>
      </c>
      <c r="C9" s="66">
        <f>G8</f>
        <v/>
      </c>
      <c r="D9" s="65">
        <f>Inputs!$C$56</f>
        <v/>
      </c>
      <c r="E9" s="66">
        <f>C9*D9*Inputs!$C$58/12</f>
        <v/>
      </c>
      <c r="F9" s="86">
        <f>Inputs!$C$59</f>
        <v/>
      </c>
      <c r="G9" s="50">
        <f>C9+E9+F9</f>
        <v/>
      </c>
      <c r="H9" s="66">
        <f>H8+E9</f>
        <v/>
      </c>
      <c r="I9" s="66">
        <f>(I8+Inputs!$C$59)*(1+Inputs!$C$54*Inputs!$C$58/12)</f>
        <v/>
      </c>
    </row>
    <row r="10">
      <c r="A10" s="79" t="n">
        <v>3</v>
      </c>
      <c r="B10" s="80">
        <f>EDATE(B9,Inputs!$C$58)</f>
        <v/>
      </c>
      <c r="C10" s="61">
        <f>G9</f>
        <v/>
      </c>
      <c r="D10" s="60">
        <f>Inputs!$C$56</f>
        <v/>
      </c>
      <c r="E10" s="61">
        <f>C10*D10*Inputs!$C$58/12</f>
        <v/>
      </c>
      <c r="F10" s="81">
        <f>Inputs!$C$59</f>
        <v/>
      </c>
      <c r="G10" s="50">
        <f>C10+E10+F10</f>
        <v/>
      </c>
      <c r="H10" s="61">
        <f>H9+E10</f>
        <v/>
      </c>
      <c r="I10" s="61">
        <f>(I9+Inputs!$C$59)*(1+Inputs!$C$54*Inputs!$C$58/12)</f>
        <v/>
      </c>
    </row>
    <row r="11">
      <c r="A11" s="84" t="n">
        <v>4</v>
      </c>
      <c r="B11" s="85">
        <f>EDATE(B10,Inputs!$C$58)</f>
        <v/>
      </c>
      <c r="C11" s="66">
        <f>G10</f>
        <v/>
      </c>
      <c r="D11" s="65">
        <f>Inputs!$C$56</f>
        <v/>
      </c>
      <c r="E11" s="66">
        <f>C11*D11*Inputs!$C$58/12</f>
        <v/>
      </c>
      <c r="F11" s="86">
        <f>Inputs!$C$59</f>
        <v/>
      </c>
      <c r="G11" s="50">
        <f>C11+E11+F11</f>
        <v/>
      </c>
      <c r="H11" s="66">
        <f>H10+E11</f>
        <v/>
      </c>
      <c r="I11" s="66">
        <f>(I10+Inputs!$C$59)*(1+Inputs!$C$54*Inputs!$C$58/12)</f>
        <v/>
      </c>
    </row>
    <row r="12">
      <c r="A12" s="79" t="n">
        <v>5</v>
      </c>
      <c r="B12" s="80">
        <f>EDATE(B11,Inputs!$C$58)</f>
        <v/>
      </c>
      <c r="C12" s="61">
        <f>G11</f>
        <v/>
      </c>
      <c r="D12" s="60">
        <f>Inputs!$C$56</f>
        <v/>
      </c>
      <c r="E12" s="61">
        <f>C12*D12*Inputs!$C$58/12</f>
        <v/>
      </c>
      <c r="F12" s="81">
        <f>Inputs!$C$59</f>
        <v/>
      </c>
      <c r="G12" s="50">
        <f>C12+E12+F12</f>
        <v/>
      </c>
      <c r="H12" s="61">
        <f>H11+E12</f>
        <v/>
      </c>
      <c r="I12" s="61">
        <f>(I11+Inputs!$C$59)*(1+Inputs!$C$54*Inputs!$C$58/12)</f>
        <v/>
      </c>
    </row>
    <row r="13">
      <c r="A13" s="84" t="n">
        <v>6</v>
      </c>
      <c r="B13" s="85">
        <f>EDATE(B12,Inputs!$C$58)</f>
        <v/>
      </c>
      <c r="C13" s="66">
        <f>G12</f>
        <v/>
      </c>
      <c r="D13" s="65">
        <f>Inputs!$C$56</f>
        <v/>
      </c>
      <c r="E13" s="66">
        <f>C13*D13*Inputs!$C$58/12</f>
        <v/>
      </c>
      <c r="F13" s="86">
        <f>Inputs!$C$59</f>
        <v/>
      </c>
      <c r="G13" s="50">
        <f>C13+E13+F13</f>
        <v/>
      </c>
      <c r="H13" s="66">
        <f>H12+E13</f>
        <v/>
      </c>
      <c r="I13" s="66">
        <f>(I12+Inputs!$C$59)*(1+Inputs!$C$54*Inputs!$C$58/12)</f>
        <v/>
      </c>
    </row>
    <row r="14">
      <c r="A14" s="79" t="n">
        <v>7</v>
      </c>
      <c r="B14" s="80">
        <f>EDATE(B13,Inputs!$C$58)</f>
        <v/>
      </c>
      <c r="C14" s="61">
        <f>G13</f>
        <v/>
      </c>
      <c r="D14" s="60">
        <f>Inputs!$C$56</f>
        <v/>
      </c>
      <c r="E14" s="61">
        <f>C14*D14*Inputs!$C$58/12</f>
        <v/>
      </c>
      <c r="F14" s="81">
        <f>Inputs!$C$59</f>
        <v/>
      </c>
      <c r="G14" s="50">
        <f>C14+E14+F14</f>
        <v/>
      </c>
      <c r="H14" s="61">
        <f>H13+E14</f>
        <v/>
      </c>
      <c r="I14" s="61">
        <f>(I13+Inputs!$C$59)*(1+Inputs!$C$54*Inputs!$C$58/12)</f>
        <v/>
      </c>
    </row>
    <row r="15">
      <c r="A15" s="84" t="n">
        <v>8</v>
      </c>
      <c r="B15" s="85">
        <f>EDATE(B14,Inputs!$C$58)</f>
        <v/>
      </c>
      <c r="C15" s="66">
        <f>G14</f>
        <v/>
      </c>
      <c r="D15" s="65">
        <f>Inputs!$C$56</f>
        <v/>
      </c>
      <c r="E15" s="66">
        <f>C15*D15*Inputs!$C$58/12</f>
        <v/>
      </c>
      <c r="F15" s="86">
        <f>Inputs!$C$59</f>
        <v/>
      </c>
      <c r="G15" s="50">
        <f>C15+E15+F15</f>
        <v/>
      </c>
      <c r="H15" s="66">
        <f>H14+E15</f>
        <v/>
      </c>
      <c r="I15" s="66">
        <f>(I14+Inputs!$C$59)*(1+Inputs!$C$54*Inputs!$C$58/12)</f>
        <v/>
      </c>
    </row>
    <row r="16">
      <c r="A16" s="79" t="n">
        <v>9</v>
      </c>
      <c r="B16" s="80">
        <f>EDATE(B15,Inputs!$C$58)</f>
        <v/>
      </c>
      <c r="C16" s="61">
        <f>G15</f>
        <v/>
      </c>
      <c r="D16" s="60">
        <f>Inputs!$C$56</f>
        <v/>
      </c>
      <c r="E16" s="61">
        <f>C16*D16*Inputs!$C$58/12</f>
        <v/>
      </c>
      <c r="F16" s="81">
        <f>Inputs!$C$59</f>
        <v/>
      </c>
      <c r="G16" s="50">
        <f>C16+E16+F16</f>
        <v/>
      </c>
      <c r="H16" s="61">
        <f>H15+E16</f>
        <v/>
      </c>
      <c r="I16" s="61">
        <f>(I15+Inputs!$C$59)*(1+Inputs!$C$54*Inputs!$C$58/12)</f>
        <v/>
      </c>
    </row>
    <row r="17">
      <c r="A17" s="84" t="n">
        <v>10</v>
      </c>
      <c r="B17" s="85">
        <f>EDATE(B16,Inputs!$C$58)</f>
        <v/>
      </c>
      <c r="C17" s="66">
        <f>G16</f>
        <v/>
      </c>
      <c r="D17" s="65">
        <f>Inputs!$C$56</f>
        <v/>
      </c>
      <c r="E17" s="66">
        <f>C17*D17*Inputs!$C$58/12</f>
        <v/>
      </c>
      <c r="F17" s="86">
        <f>Inputs!$C$59</f>
        <v/>
      </c>
      <c r="G17" s="50">
        <f>C17+E17+F17</f>
        <v/>
      </c>
      <c r="H17" s="66">
        <f>H16+E17</f>
        <v/>
      </c>
      <c r="I17" s="66">
        <f>(I16+Inputs!$C$59)*(1+Inputs!$C$54*Inputs!$C$58/12)</f>
        <v/>
      </c>
    </row>
    <row r="18">
      <c r="A18" s="79" t="n">
        <v>11</v>
      </c>
      <c r="B18" s="80">
        <f>EDATE(B17,Inputs!$C$58)</f>
        <v/>
      </c>
      <c r="C18" s="61">
        <f>G17</f>
        <v/>
      </c>
      <c r="D18" s="60">
        <f>Inputs!$C$56</f>
        <v/>
      </c>
      <c r="E18" s="61">
        <f>C18*D18*Inputs!$C$58/12</f>
        <v/>
      </c>
      <c r="F18" s="81">
        <f>Inputs!$C$59</f>
        <v/>
      </c>
      <c r="G18" s="50">
        <f>C18+E18+F18</f>
        <v/>
      </c>
      <c r="H18" s="61">
        <f>H17+E18</f>
        <v/>
      </c>
      <c r="I18" s="61">
        <f>(I17+Inputs!$C$59)*(1+Inputs!$C$54*Inputs!$C$58/12)</f>
        <v/>
      </c>
    </row>
    <row r="19">
      <c r="A19" s="84" t="n">
        <v>12</v>
      </c>
      <c r="B19" s="85">
        <f>EDATE(B18,Inputs!$C$58)</f>
        <v/>
      </c>
      <c r="C19" s="66">
        <f>G18</f>
        <v/>
      </c>
      <c r="D19" s="65">
        <f>Inputs!$C$56</f>
        <v/>
      </c>
      <c r="E19" s="66">
        <f>C19*D19*Inputs!$C$58/12</f>
        <v/>
      </c>
      <c r="F19" s="86">
        <f>Inputs!$C$59</f>
        <v/>
      </c>
      <c r="G19" s="50">
        <f>C19+E19+F19</f>
        <v/>
      </c>
      <c r="H19" s="66">
        <f>H18+E19</f>
        <v/>
      </c>
      <c r="I19" s="66">
        <f>(I18+Inputs!$C$59)*(1+Inputs!$C$54*Inputs!$C$58/12)</f>
        <v/>
      </c>
    </row>
    <row r="20">
      <c r="A20" s="79" t="n">
        <v>13</v>
      </c>
      <c r="B20" s="80">
        <f>EDATE(B19,Inputs!$C$58)</f>
        <v/>
      </c>
      <c r="C20" s="61">
        <f>G19</f>
        <v/>
      </c>
      <c r="D20" s="60">
        <f>Inputs!$C$56</f>
        <v/>
      </c>
      <c r="E20" s="61">
        <f>C20*D20*Inputs!$C$58/12</f>
        <v/>
      </c>
      <c r="F20" s="81">
        <f>Inputs!$C$59</f>
        <v/>
      </c>
      <c r="G20" s="50">
        <f>C20+E20+F20</f>
        <v/>
      </c>
      <c r="H20" s="61">
        <f>H19+E20</f>
        <v/>
      </c>
      <c r="I20" s="61">
        <f>(I19+Inputs!$C$59)*(1+Inputs!$C$54*Inputs!$C$58/12)</f>
        <v/>
      </c>
    </row>
    <row r="21">
      <c r="A21" s="84" t="n">
        <v>14</v>
      </c>
      <c r="B21" s="85">
        <f>EDATE(B20,Inputs!$C$58)</f>
        <v/>
      </c>
      <c r="C21" s="66">
        <f>G20</f>
        <v/>
      </c>
      <c r="D21" s="65">
        <f>Inputs!$C$56</f>
        <v/>
      </c>
      <c r="E21" s="66">
        <f>C21*D21*Inputs!$C$58/12</f>
        <v/>
      </c>
      <c r="F21" s="86">
        <f>Inputs!$C$59</f>
        <v/>
      </c>
      <c r="G21" s="50">
        <f>C21+E21+F21</f>
        <v/>
      </c>
      <c r="H21" s="66">
        <f>H20+E21</f>
        <v/>
      </c>
      <c r="I21" s="66">
        <f>(I20+Inputs!$C$59)*(1+Inputs!$C$54*Inputs!$C$58/12)</f>
        <v/>
      </c>
    </row>
    <row r="22">
      <c r="A22" s="79" t="n">
        <v>15</v>
      </c>
      <c r="B22" s="80">
        <f>EDATE(B21,Inputs!$C$58)</f>
        <v/>
      </c>
      <c r="C22" s="61">
        <f>G21</f>
        <v/>
      </c>
      <c r="D22" s="60">
        <f>Inputs!$C$56</f>
        <v/>
      </c>
      <c r="E22" s="61">
        <f>C22*D22*Inputs!$C$58/12</f>
        <v/>
      </c>
      <c r="F22" s="81">
        <f>Inputs!$C$59</f>
        <v/>
      </c>
      <c r="G22" s="50">
        <f>C22+E22+F22</f>
        <v/>
      </c>
      <c r="H22" s="61">
        <f>H21+E22</f>
        <v/>
      </c>
      <c r="I22" s="61">
        <f>(I21+Inputs!$C$59)*(1+Inputs!$C$54*Inputs!$C$58/12)</f>
        <v/>
      </c>
    </row>
    <row r="23">
      <c r="A23" s="84" t="n">
        <v>16</v>
      </c>
      <c r="B23" s="85">
        <f>EDATE(B22,Inputs!$C$58)</f>
        <v/>
      </c>
      <c r="C23" s="66">
        <f>G22</f>
        <v/>
      </c>
      <c r="D23" s="65">
        <f>Inputs!$C$56</f>
        <v/>
      </c>
      <c r="E23" s="66">
        <f>C23*D23*Inputs!$C$58/12</f>
        <v/>
      </c>
      <c r="F23" s="86">
        <f>Inputs!$C$59</f>
        <v/>
      </c>
      <c r="G23" s="50">
        <f>C23+E23+F23</f>
        <v/>
      </c>
      <c r="H23" s="66">
        <f>H22+E23</f>
        <v/>
      </c>
      <c r="I23" s="66">
        <f>(I22+Inputs!$C$59)*(1+Inputs!$C$54*Inputs!$C$58/12)</f>
        <v/>
      </c>
    </row>
    <row r="24">
      <c r="A24" s="79" t="n">
        <v>17</v>
      </c>
      <c r="B24" s="80">
        <f>EDATE(B23,Inputs!$C$58)</f>
        <v/>
      </c>
      <c r="C24" s="61">
        <f>G23</f>
        <v/>
      </c>
      <c r="D24" s="60">
        <f>Inputs!$C$56</f>
        <v/>
      </c>
      <c r="E24" s="61">
        <f>C24*D24*Inputs!$C$58/12</f>
        <v/>
      </c>
      <c r="F24" s="81">
        <f>Inputs!$C$59</f>
        <v/>
      </c>
      <c r="G24" s="50">
        <f>C24+E24+F24</f>
        <v/>
      </c>
      <c r="H24" s="61">
        <f>H23+E24</f>
        <v/>
      </c>
      <c r="I24" s="61">
        <f>(I23+Inputs!$C$59)*(1+Inputs!$C$54*Inputs!$C$58/12)</f>
        <v/>
      </c>
    </row>
    <row r="25">
      <c r="A25" s="84" t="n">
        <v>18</v>
      </c>
      <c r="B25" s="85">
        <f>EDATE(B24,Inputs!$C$58)</f>
        <v/>
      </c>
      <c r="C25" s="66">
        <f>G24</f>
        <v/>
      </c>
      <c r="D25" s="65">
        <f>Inputs!$C$56</f>
        <v/>
      </c>
      <c r="E25" s="66">
        <f>C25*D25*Inputs!$C$58/12</f>
        <v/>
      </c>
      <c r="F25" s="86">
        <f>Inputs!$C$59</f>
        <v/>
      </c>
      <c r="G25" s="50">
        <f>C25+E25+F25</f>
        <v/>
      </c>
      <c r="H25" s="66">
        <f>H24+E25</f>
        <v/>
      </c>
      <c r="I25" s="66">
        <f>(I24+Inputs!$C$59)*(1+Inputs!$C$54*Inputs!$C$58/12)</f>
        <v/>
      </c>
    </row>
    <row r="26">
      <c r="A26" s="79" t="n">
        <v>19</v>
      </c>
      <c r="B26" s="80">
        <f>EDATE(B25,Inputs!$C$58)</f>
        <v/>
      </c>
      <c r="C26" s="61">
        <f>G25</f>
        <v/>
      </c>
      <c r="D26" s="60">
        <f>Inputs!$C$56</f>
        <v/>
      </c>
      <c r="E26" s="61">
        <f>C26*D26*Inputs!$C$58/12</f>
        <v/>
      </c>
      <c r="F26" s="81">
        <f>Inputs!$C$59</f>
        <v/>
      </c>
      <c r="G26" s="50">
        <f>C26+E26+F26</f>
        <v/>
      </c>
      <c r="H26" s="61">
        <f>H25+E26</f>
        <v/>
      </c>
      <c r="I26" s="61">
        <f>(I25+Inputs!$C$59)*(1+Inputs!$C$54*Inputs!$C$58/12)</f>
        <v/>
      </c>
    </row>
    <row r="27">
      <c r="A27" s="84" t="n">
        <v>20</v>
      </c>
      <c r="B27" s="85">
        <f>EDATE(B26,Inputs!$C$58)</f>
        <v/>
      </c>
      <c r="C27" s="66">
        <f>G26</f>
        <v/>
      </c>
      <c r="D27" s="65">
        <f>Inputs!$C$56</f>
        <v/>
      </c>
      <c r="E27" s="66">
        <f>C27*D27*Inputs!$C$58/12</f>
        <v/>
      </c>
      <c r="F27" s="86">
        <f>Inputs!$C$59</f>
        <v/>
      </c>
      <c r="G27" s="50">
        <f>C27+E27+F27</f>
        <v/>
      </c>
      <c r="H27" s="66">
        <f>H26+E27</f>
        <v/>
      </c>
      <c r="I27" s="66">
        <f>(I26+Inputs!$C$59)*(1+Inputs!$C$54*Inputs!$C$58/12)</f>
        <v/>
      </c>
    </row>
    <row r="28">
      <c r="A28" s="79" t="n">
        <v>21</v>
      </c>
      <c r="B28" s="80">
        <f>EDATE(B27,Inputs!$C$58)</f>
        <v/>
      </c>
      <c r="C28" s="61">
        <f>G27</f>
        <v/>
      </c>
      <c r="D28" s="60">
        <f>Inputs!$C$56</f>
        <v/>
      </c>
      <c r="E28" s="61">
        <f>C28*D28*Inputs!$C$58/12</f>
        <v/>
      </c>
      <c r="F28" s="81">
        <f>Inputs!$C$59</f>
        <v/>
      </c>
      <c r="G28" s="50">
        <f>C28+E28+F28</f>
        <v/>
      </c>
      <c r="H28" s="61">
        <f>H27+E28</f>
        <v/>
      </c>
      <c r="I28" s="61">
        <f>(I27+Inputs!$C$59)*(1+Inputs!$C$54*Inputs!$C$58/12)</f>
        <v/>
      </c>
    </row>
    <row r="29">
      <c r="A29" s="84" t="n">
        <v>22</v>
      </c>
      <c r="B29" s="85">
        <f>EDATE(B28,Inputs!$C$58)</f>
        <v/>
      </c>
      <c r="C29" s="66">
        <f>G28</f>
        <v/>
      </c>
      <c r="D29" s="65">
        <f>Inputs!$C$56</f>
        <v/>
      </c>
      <c r="E29" s="66">
        <f>C29*D29*Inputs!$C$58/12</f>
        <v/>
      </c>
      <c r="F29" s="86">
        <f>Inputs!$C$59</f>
        <v/>
      </c>
      <c r="G29" s="50">
        <f>C29+E29+F29</f>
        <v/>
      </c>
      <c r="H29" s="66">
        <f>H28+E29</f>
        <v/>
      </c>
      <c r="I29" s="66">
        <f>(I28+Inputs!$C$59)*(1+Inputs!$C$54*Inputs!$C$58/12)</f>
        <v/>
      </c>
    </row>
    <row r="30">
      <c r="A30" s="79" t="n">
        <v>23</v>
      </c>
      <c r="B30" s="80">
        <f>EDATE(B29,Inputs!$C$58)</f>
        <v/>
      </c>
      <c r="C30" s="61">
        <f>G29</f>
        <v/>
      </c>
      <c r="D30" s="60">
        <f>Inputs!$C$56</f>
        <v/>
      </c>
      <c r="E30" s="61">
        <f>C30*D30*Inputs!$C$58/12</f>
        <v/>
      </c>
      <c r="F30" s="81">
        <f>Inputs!$C$59</f>
        <v/>
      </c>
      <c r="G30" s="50">
        <f>C30+E30+F30</f>
        <v/>
      </c>
      <c r="H30" s="61">
        <f>H29+E30</f>
        <v/>
      </c>
      <c r="I30" s="61">
        <f>(I29+Inputs!$C$59)*(1+Inputs!$C$54*Inputs!$C$58/12)</f>
        <v/>
      </c>
    </row>
    <row r="31">
      <c r="A31" s="84" t="n">
        <v>24</v>
      </c>
      <c r="B31" s="85">
        <f>EDATE(B30,Inputs!$C$58)</f>
        <v/>
      </c>
      <c r="C31" s="66">
        <f>G30</f>
        <v/>
      </c>
      <c r="D31" s="65">
        <f>Inputs!$C$56</f>
        <v/>
      </c>
      <c r="E31" s="66">
        <f>C31*D31*Inputs!$C$58/12</f>
        <v/>
      </c>
      <c r="F31" s="86">
        <f>Inputs!$C$59</f>
        <v/>
      </c>
      <c r="G31" s="50">
        <f>C31+E31+F31</f>
        <v/>
      </c>
      <c r="H31" s="66">
        <f>H30+E31</f>
        <v/>
      </c>
      <c r="I31" s="66">
        <f>(I30+Inputs!$C$59)*(1+Inputs!$C$54*Inputs!$C$58/12)</f>
        <v/>
      </c>
    </row>
    <row r="32">
      <c r="A32" s="79" t="n">
        <v>25</v>
      </c>
      <c r="B32" s="80">
        <f>EDATE(B31,Inputs!$C$58)</f>
        <v/>
      </c>
      <c r="C32" s="61">
        <f>G31</f>
        <v/>
      </c>
      <c r="D32" s="60">
        <f>Inputs!$C$56</f>
        <v/>
      </c>
      <c r="E32" s="61">
        <f>C32*D32*Inputs!$C$58/12</f>
        <v/>
      </c>
      <c r="F32" s="81">
        <f>Inputs!$C$59</f>
        <v/>
      </c>
      <c r="G32" s="50">
        <f>C32+E32+F32</f>
        <v/>
      </c>
      <c r="H32" s="61">
        <f>H31+E32</f>
        <v/>
      </c>
      <c r="I32" s="61">
        <f>(I31+Inputs!$C$59)*(1+Inputs!$C$54*Inputs!$C$58/12)</f>
        <v/>
      </c>
    </row>
    <row r="33">
      <c r="A33" s="84" t="n">
        <v>26</v>
      </c>
      <c r="B33" s="85">
        <f>EDATE(B32,Inputs!$C$58)</f>
        <v/>
      </c>
      <c r="C33" s="66">
        <f>G32</f>
        <v/>
      </c>
      <c r="D33" s="65">
        <f>Inputs!$C$56</f>
        <v/>
      </c>
      <c r="E33" s="66">
        <f>C33*D33*Inputs!$C$58/12</f>
        <v/>
      </c>
      <c r="F33" s="86">
        <f>Inputs!$C$59</f>
        <v/>
      </c>
      <c r="G33" s="50">
        <f>C33+E33+F33</f>
        <v/>
      </c>
      <c r="H33" s="66">
        <f>H32+E33</f>
        <v/>
      </c>
      <c r="I33" s="66">
        <f>(I32+Inputs!$C$59)*(1+Inputs!$C$54*Inputs!$C$58/12)</f>
        <v/>
      </c>
    </row>
    <row r="34">
      <c r="A34" s="79" t="n">
        <v>27</v>
      </c>
      <c r="B34" s="80">
        <f>EDATE(B33,Inputs!$C$58)</f>
        <v/>
      </c>
      <c r="C34" s="61">
        <f>G33</f>
        <v/>
      </c>
      <c r="D34" s="60">
        <f>Inputs!$C$56</f>
        <v/>
      </c>
      <c r="E34" s="61">
        <f>C34*D34*Inputs!$C$58/12</f>
        <v/>
      </c>
      <c r="F34" s="81">
        <f>Inputs!$C$59</f>
        <v/>
      </c>
      <c r="G34" s="50">
        <f>C34+E34+F34</f>
        <v/>
      </c>
      <c r="H34" s="61">
        <f>H33+E34</f>
        <v/>
      </c>
      <c r="I34" s="61">
        <f>(I33+Inputs!$C$59)*(1+Inputs!$C$54*Inputs!$C$58/12)</f>
        <v/>
      </c>
    </row>
    <row r="35">
      <c r="A35" s="84" t="n">
        <v>28</v>
      </c>
      <c r="B35" s="85">
        <f>EDATE(B34,Inputs!$C$58)</f>
        <v/>
      </c>
      <c r="C35" s="66">
        <f>G34</f>
        <v/>
      </c>
      <c r="D35" s="65">
        <f>Inputs!$C$56</f>
        <v/>
      </c>
      <c r="E35" s="66">
        <f>C35*D35*Inputs!$C$58/12</f>
        <v/>
      </c>
      <c r="F35" s="86">
        <f>Inputs!$C$59</f>
        <v/>
      </c>
      <c r="G35" s="50">
        <f>C35+E35+F35</f>
        <v/>
      </c>
      <c r="H35" s="66">
        <f>H34+E35</f>
        <v/>
      </c>
      <c r="I35" s="66">
        <f>(I34+Inputs!$C$59)*(1+Inputs!$C$54*Inputs!$C$58/12)</f>
        <v/>
      </c>
    </row>
    <row r="36">
      <c r="A36" s="79" t="n">
        <v>29</v>
      </c>
      <c r="B36" s="80">
        <f>EDATE(B35,Inputs!$C$58)</f>
        <v/>
      </c>
      <c r="C36" s="61">
        <f>G35</f>
        <v/>
      </c>
      <c r="D36" s="60">
        <f>Inputs!$C$56</f>
        <v/>
      </c>
      <c r="E36" s="61">
        <f>C36*D36*Inputs!$C$58/12</f>
        <v/>
      </c>
      <c r="F36" s="81">
        <f>Inputs!$C$59</f>
        <v/>
      </c>
      <c r="G36" s="50">
        <f>C36+E36+F36</f>
        <v/>
      </c>
      <c r="H36" s="61">
        <f>H35+E36</f>
        <v/>
      </c>
      <c r="I36" s="61">
        <f>(I35+Inputs!$C$59)*(1+Inputs!$C$54*Inputs!$C$58/12)</f>
        <v/>
      </c>
    </row>
    <row r="37">
      <c r="A37" s="84" t="n">
        <v>30</v>
      </c>
      <c r="B37" s="85">
        <f>EDATE(B36,Inputs!$C$58)</f>
        <v/>
      </c>
      <c r="C37" s="66">
        <f>G36</f>
        <v/>
      </c>
      <c r="D37" s="65">
        <f>Inputs!$C$56</f>
        <v/>
      </c>
      <c r="E37" s="66">
        <f>C37*D37*Inputs!$C$58/12</f>
        <v/>
      </c>
      <c r="F37" s="86">
        <f>Inputs!$C$59</f>
        <v/>
      </c>
      <c r="G37" s="50">
        <f>C37+E37+F37</f>
        <v/>
      </c>
      <c r="H37" s="66">
        <f>H36+E37</f>
        <v/>
      </c>
      <c r="I37" s="66">
        <f>(I36+Inputs!$C$59)*(1+Inputs!$C$54*Inputs!$C$58/12)</f>
        <v/>
      </c>
    </row>
    <row r="38">
      <c r="A38" s="79" t="n">
        <v>31</v>
      </c>
      <c r="B38" s="80">
        <f>EDATE(B37,Inputs!$C$58)</f>
        <v/>
      </c>
      <c r="C38" s="61">
        <f>G37</f>
        <v/>
      </c>
      <c r="D38" s="60">
        <f>Inputs!$C$56</f>
        <v/>
      </c>
      <c r="E38" s="61">
        <f>C38*D38*Inputs!$C$58/12</f>
        <v/>
      </c>
      <c r="F38" s="81">
        <f>Inputs!$C$59</f>
        <v/>
      </c>
      <c r="G38" s="50">
        <f>C38+E38+F38</f>
        <v/>
      </c>
      <c r="H38" s="61">
        <f>H37+E38</f>
        <v/>
      </c>
      <c r="I38" s="61">
        <f>(I37+Inputs!$C$59)*(1+Inputs!$C$54*Inputs!$C$58/12)</f>
        <v/>
      </c>
    </row>
    <row r="39">
      <c r="A39" s="84" t="n">
        <v>32</v>
      </c>
      <c r="B39" s="85">
        <f>EDATE(B38,Inputs!$C$58)</f>
        <v/>
      </c>
      <c r="C39" s="66">
        <f>G38</f>
        <v/>
      </c>
      <c r="D39" s="65">
        <f>Inputs!$C$56</f>
        <v/>
      </c>
      <c r="E39" s="66">
        <f>C39*D39*Inputs!$C$58/12</f>
        <v/>
      </c>
      <c r="F39" s="86">
        <f>Inputs!$C$59</f>
        <v/>
      </c>
      <c r="G39" s="50">
        <f>C39+E39+F39</f>
        <v/>
      </c>
      <c r="H39" s="66">
        <f>H38+E39</f>
        <v/>
      </c>
      <c r="I39" s="66">
        <f>(I38+Inputs!$C$59)*(1+Inputs!$C$54*Inputs!$C$58/12)</f>
        <v/>
      </c>
    </row>
    <row r="40">
      <c r="A40" s="79" t="n">
        <v>33</v>
      </c>
      <c r="B40" s="80">
        <f>EDATE(B39,Inputs!$C$58)</f>
        <v/>
      </c>
      <c r="C40" s="61">
        <f>G39</f>
        <v/>
      </c>
      <c r="D40" s="60">
        <f>Inputs!$C$56</f>
        <v/>
      </c>
      <c r="E40" s="61">
        <f>C40*D40*Inputs!$C$58/12</f>
        <v/>
      </c>
      <c r="F40" s="81">
        <f>Inputs!$C$59</f>
        <v/>
      </c>
      <c r="G40" s="50">
        <f>C40+E40+F40</f>
        <v/>
      </c>
      <c r="H40" s="61">
        <f>H39+E40</f>
        <v/>
      </c>
      <c r="I40" s="61">
        <f>(I39+Inputs!$C$59)*(1+Inputs!$C$54*Inputs!$C$58/12)</f>
        <v/>
      </c>
    </row>
    <row r="42">
      <c r="B42" s="46" t="inlineStr">
        <is>
          <t>Certificate vs. HYSA after 8 years:</t>
        </is>
      </c>
      <c r="G42" s="142">
        <f>G40-I40</f>
        <v/>
      </c>
      <c r="H42" s="53" t="inlineStr">
        <is>
          <t>&lt;- if NEGATIVE, the certificate is the worse account and the auto-roll should be stopped.</t>
        </is>
      </c>
    </row>
  </sheetData>
  <mergeCells count="5">
    <mergeCell ref="A1:J1"/>
    <mergeCell ref="H42:J42"/>
    <mergeCell ref="J8:J14"/>
    <mergeCell ref="B42:F42"/>
    <mergeCell ref="A2:J2"/>
  </mergeCells>
  <pageMargins left="0.75" right="0.75" top="1" bottom="1" header="0.5" footer="0.5"/>
</worksheet>
</file>

<file path=xl/worksheets/sheet13.xml><?xml version="1.0" encoding="utf-8"?>
<worksheet xmlns="http://schemas.openxmlformats.org/spreadsheetml/2006/main">
  <sheetPr>
    <tabColor rgb="00C00000"/>
    <outlinePr summaryBelow="1" summaryRight="1"/>
    <pageSetUpPr fitToPage="1"/>
  </sheetPr>
  <dimension ref="A1:J93"/>
  <sheetViews>
    <sheetView showGridLines="0" workbookViewId="0">
      <pane ySplit="9" topLeftCell="A10" activePane="bottomLeft" state="frozen"/>
      <selection pane="bottomLeft" activeCell="A1" sqref="A1"/>
    </sheetView>
  </sheetViews>
  <sheetFormatPr baseColWidth="8" defaultRowHeight="15"/>
  <cols>
    <col width="6" customWidth="1" min="1" max="1"/>
    <col width="12" customWidth="1" min="2" max="2"/>
    <col width="14" customWidth="1" min="3" max="3"/>
    <col width="13" customWidth="1" min="4" max="4"/>
    <col width="13" customWidth="1" min="5" max="5"/>
    <col width="13" customWidth="1" min="6" max="6"/>
    <col width="13" customWidth="1" min="7" max="7"/>
    <col width="14" customWidth="1" min="8" max="8"/>
    <col width="14" customWidth="1" min="9" max="9"/>
    <col width="40" customWidth="1" min="10" max="10"/>
  </cols>
  <sheetData>
    <row r="1" ht="26" customHeight="1">
      <c r="A1" s="1" t="inlineStr">
        <is>
          <t>AUTO LOAN  —  $25,092.02 outstanding, $475.69 due the 14th</t>
        </is>
      </c>
      <c r="B1" s="2" t="n"/>
      <c r="C1" s="2" t="n"/>
      <c r="D1" s="2" t="n"/>
      <c r="E1" s="2" t="n"/>
      <c r="F1" s="2" t="n"/>
      <c r="G1" s="2" t="n"/>
      <c r="H1" s="2" t="n"/>
      <c r="I1" s="2" t="n"/>
      <c r="J1" s="2" t="n"/>
    </row>
    <row r="2" ht="15" customHeight="1">
      <c r="A2" s="3" t="inlineStr">
        <is>
          <t>Enter the real APR on Inputs (it is a yellow cell - it was not provided). Then test an extra payment in the blue cell below.</t>
        </is>
      </c>
      <c r="B2" s="2" t="n"/>
      <c r="C2" s="2" t="n"/>
      <c r="D2" s="2" t="n"/>
      <c r="E2" s="2" t="n"/>
      <c r="F2" s="2" t="n"/>
      <c r="G2" s="2" t="n"/>
      <c r="H2" s="2" t="n"/>
      <c r="I2" s="2" t="n"/>
      <c r="J2" s="2" t="n"/>
    </row>
    <row r="4">
      <c r="A4" s="46" t="inlineStr">
        <is>
          <t>Extra principal per month:</t>
        </is>
      </c>
      <c r="C4" s="124" t="n">
        <v>0</v>
      </c>
      <c r="D4" s="53" t="inlineStr">
        <is>
          <t>&lt;- change this and watch rows below</t>
        </is>
      </c>
    </row>
    <row r="5">
      <c r="A5" s="46" t="inlineStr">
        <is>
          <t>Months to payoff:</t>
        </is>
      </c>
      <c r="C5" s="103">
        <f>IFERROR(NPER(Inputs!$C$64/12,-(Inputs!$C$28+C4),Inputs!$C$63),0)</f>
        <v/>
      </c>
      <c r="D5" s="46" t="inlineStr">
        <is>
          <t>Payoff date:</t>
        </is>
      </c>
      <c r="E5" s="143">
        <f>EDATE(Inputs!$C$7,ROUNDUP(C5,0))</f>
        <v/>
      </c>
      <c r="F5" s="46" t="inlineStr">
        <is>
          <t>Total interest:</t>
        </is>
      </c>
      <c r="G5" s="76">
        <f>(Inputs!$C$28+C4)*C5-Inputs!$C$63</f>
        <v/>
      </c>
    </row>
    <row r="6">
      <c r="A6" s="46" t="inlineStr">
        <is>
          <t>Interest SAVED by the extra payment:</t>
        </is>
      </c>
      <c r="C6" s="142">
        <f>IFERROR((Inputs!$C$28)*NPER(Inputs!$C$64/12,-Inputs!$C$28,Inputs!$C$63)-Inputs!$C$63-G5,0)</f>
        <v/>
      </c>
      <c r="D6" s="53">
        <f>IFERROR("...and you finish "&amp;TEXT(NPER(Inputs!$C$64/12,-Inputs!$C$28,Inputs!$C$63)-C5,"0.0")&amp;" months sooner","")</f>
        <v/>
      </c>
    </row>
    <row r="8">
      <c r="A8" s="53" t="inlineStr">
        <is>
          <t>Prepay only if the APR beats your savings rate. Compare Inputs auto APR against your HYSA APY - see 'Recommendations'.</t>
        </is>
      </c>
    </row>
    <row r="9" ht="30" customHeight="1">
      <c r="A9" s="55" t="inlineStr">
        <is>
          <t>#</t>
        </is>
      </c>
      <c r="B9" s="55" t="inlineStr">
        <is>
          <t>Payment
date</t>
        </is>
      </c>
      <c r="C9" s="55" t="inlineStr">
        <is>
          <t>Opening
balance</t>
        </is>
      </c>
      <c r="D9" s="55" t="inlineStr">
        <is>
          <t>Payment</t>
        </is>
      </c>
      <c r="E9" s="55" t="inlineStr">
        <is>
          <t>Interest</t>
        </is>
      </c>
      <c r="F9" s="55" t="inlineStr">
        <is>
          <t>Principal</t>
        </is>
      </c>
      <c r="G9" s="55" t="inlineStr">
        <is>
          <t>Extra
principal</t>
        </is>
      </c>
      <c r="H9" s="55" t="inlineStr">
        <is>
          <t>Closing
balance</t>
        </is>
      </c>
      <c r="I9" s="55" t="inlineStr">
        <is>
          <t>Cumulative
interest</t>
        </is>
      </c>
      <c r="J9" s="55" t="inlineStr">
        <is>
          <t>Note</t>
        </is>
      </c>
    </row>
    <row r="10">
      <c r="A10" s="79" t="n">
        <v>1</v>
      </c>
      <c r="B10" s="80">
        <f>DATE(YEAR(Inputs!$C$7),MONTH(Inputs!$C$7)+1,Inputs!$C$29)</f>
        <v/>
      </c>
      <c r="C10" s="81">
        <f>Inputs!$C$63</f>
        <v/>
      </c>
      <c r="D10" s="61">
        <f>IF(C10&lt;=0,0,MIN(Inputs!$C$28,C10+E10))</f>
        <v/>
      </c>
      <c r="E10" s="61">
        <f>IF(C10&lt;=0,0,C10*Inputs!$C$64/12)</f>
        <v/>
      </c>
      <c r="F10" s="61">
        <f>IF(C10&lt;=0,0,D10-E10)</f>
        <v/>
      </c>
      <c r="G10" s="61">
        <f>IF(C10&lt;=0,0,MIN($C$4,MAX(0,C10-F10)))</f>
        <v/>
      </c>
      <c r="H10" s="82">
        <f>MAX(0,C10-F10-G10)</f>
        <v/>
      </c>
      <c r="I10" s="61">
        <f>E10</f>
        <v/>
      </c>
      <c r="J10" s="144">
        <f>IF(AND(H10=0,C10&gt;0),"&lt;&lt;&lt; PAID OFF","")</f>
        <v/>
      </c>
    </row>
    <row r="11">
      <c r="A11" s="84" t="n">
        <v>2</v>
      </c>
      <c r="B11" s="85">
        <f>EDATE(B10,1)</f>
        <v/>
      </c>
      <c r="C11" s="66">
        <f>H10</f>
        <v/>
      </c>
      <c r="D11" s="66">
        <f>IF(C11&lt;=0,0,MIN(Inputs!$C$28,C11+E11))</f>
        <v/>
      </c>
      <c r="E11" s="66">
        <f>IF(C11&lt;=0,0,C11*Inputs!$C$64/12)</f>
        <v/>
      </c>
      <c r="F11" s="66">
        <f>IF(C11&lt;=0,0,D11-E11)</f>
        <v/>
      </c>
      <c r="G11" s="66">
        <f>IF(C11&lt;=0,0,MIN($C$4,MAX(0,C11-F11)))</f>
        <v/>
      </c>
      <c r="H11" s="87">
        <f>MAX(0,C11-F11-G11)</f>
        <v/>
      </c>
      <c r="I11" s="66">
        <f>I10+E11</f>
        <v/>
      </c>
      <c r="J11" s="145">
        <f>IF(AND(H11=0,C11&gt;0),"&lt;&lt;&lt; PAID OFF","")</f>
        <v/>
      </c>
    </row>
    <row r="12">
      <c r="A12" s="79" t="n">
        <v>3</v>
      </c>
      <c r="B12" s="80">
        <f>EDATE(B11,1)</f>
        <v/>
      </c>
      <c r="C12" s="61">
        <f>H11</f>
        <v/>
      </c>
      <c r="D12" s="61">
        <f>IF(C12&lt;=0,0,MIN(Inputs!$C$28,C12+E12))</f>
        <v/>
      </c>
      <c r="E12" s="61">
        <f>IF(C12&lt;=0,0,C12*Inputs!$C$64/12)</f>
        <v/>
      </c>
      <c r="F12" s="61">
        <f>IF(C12&lt;=0,0,D12-E12)</f>
        <v/>
      </c>
      <c r="G12" s="61">
        <f>IF(C12&lt;=0,0,MIN($C$4,MAX(0,C12-F12)))</f>
        <v/>
      </c>
      <c r="H12" s="82">
        <f>MAX(0,C12-F12-G12)</f>
        <v/>
      </c>
      <c r="I12" s="61">
        <f>I11+E12</f>
        <v/>
      </c>
      <c r="J12" s="144">
        <f>IF(AND(H12=0,C12&gt;0),"&lt;&lt;&lt; PAID OFF","")</f>
        <v/>
      </c>
    </row>
    <row r="13">
      <c r="A13" s="84" t="n">
        <v>4</v>
      </c>
      <c r="B13" s="85">
        <f>EDATE(B12,1)</f>
        <v/>
      </c>
      <c r="C13" s="66">
        <f>H12</f>
        <v/>
      </c>
      <c r="D13" s="66">
        <f>IF(C13&lt;=0,0,MIN(Inputs!$C$28,C13+E13))</f>
        <v/>
      </c>
      <c r="E13" s="66">
        <f>IF(C13&lt;=0,0,C13*Inputs!$C$64/12)</f>
        <v/>
      </c>
      <c r="F13" s="66">
        <f>IF(C13&lt;=0,0,D13-E13)</f>
        <v/>
      </c>
      <c r="G13" s="66">
        <f>IF(C13&lt;=0,0,MIN($C$4,MAX(0,C13-F13)))</f>
        <v/>
      </c>
      <c r="H13" s="87">
        <f>MAX(0,C13-F13-G13)</f>
        <v/>
      </c>
      <c r="I13" s="66">
        <f>I12+E13</f>
        <v/>
      </c>
      <c r="J13" s="145">
        <f>IF(AND(H13=0,C13&gt;0),"&lt;&lt;&lt; PAID OFF","")</f>
        <v/>
      </c>
    </row>
    <row r="14">
      <c r="A14" s="79" t="n">
        <v>5</v>
      </c>
      <c r="B14" s="80">
        <f>EDATE(B13,1)</f>
        <v/>
      </c>
      <c r="C14" s="61">
        <f>H13</f>
        <v/>
      </c>
      <c r="D14" s="61">
        <f>IF(C14&lt;=0,0,MIN(Inputs!$C$28,C14+E14))</f>
        <v/>
      </c>
      <c r="E14" s="61">
        <f>IF(C14&lt;=0,0,C14*Inputs!$C$64/12)</f>
        <v/>
      </c>
      <c r="F14" s="61">
        <f>IF(C14&lt;=0,0,D14-E14)</f>
        <v/>
      </c>
      <c r="G14" s="61">
        <f>IF(C14&lt;=0,0,MIN($C$4,MAX(0,C14-F14)))</f>
        <v/>
      </c>
      <c r="H14" s="82">
        <f>MAX(0,C14-F14-G14)</f>
        <v/>
      </c>
      <c r="I14" s="61">
        <f>I13+E14</f>
        <v/>
      </c>
      <c r="J14" s="144">
        <f>IF(AND(H14=0,C14&gt;0),"&lt;&lt;&lt; PAID OFF","")</f>
        <v/>
      </c>
    </row>
    <row r="15">
      <c r="A15" s="84" t="n">
        <v>6</v>
      </c>
      <c r="B15" s="85">
        <f>EDATE(B14,1)</f>
        <v/>
      </c>
      <c r="C15" s="66">
        <f>H14</f>
        <v/>
      </c>
      <c r="D15" s="66">
        <f>IF(C15&lt;=0,0,MIN(Inputs!$C$28,C15+E15))</f>
        <v/>
      </c>
      <c r="E15" s="66">
        <f>IF(C15&lt;=0,0,C15*Inputs!$C$64/12)</f>
        <v/>
      </c>
      <c r="F15" s="66">
        <f>IF(C15&lt;=0,0,D15-E15)</f>
        <v/>
      </c>
      <c r="G15" s="66">
        <f>IF(C15&lt;=0,0,MIN($C$4,MAX(0,C15-F15)))</f>
        <v/>
      </c>
      <c r="H15" s="87">
        <f>MAX(0,C15-F15-G15)</f>
        <v/>
      </c>
      <c r="I15" s="66">
        <f>I14+E15</f>
        <v/>
      </c>
      <c r="J15" s="145">
        <f>IF(AND(H15=0,C15&gt;0),"&lt;&lt;&lt; PAID OFF","")</f>
        <v/>
      </c>
    </row>
    <row r="16">
      <c r="A16" s="79" t="n">
        <v>7</v>
      </c>
      <c r="B16" s="80">
        <f>EDATE(B15,1)</f>
        <v/>
      </c>
      <c r="C16" s="61">
        <f>H15</f>
        <v/>
      </c>
      <c r="D16" s="61">
        <f>IF(C16&lt;=0,0,MIN(Inputs!$C$28,C16+E16))</f>
        <v/>
      </c>
      <c r="E16" s="61">
        <f>IF(C16&lt;=0,0,C16*Inputs!$C$64/12)</f>
        <v/>
      </c>
      <c r="F16" s="61">
        <f>IF(C16&lt;=0,0,D16-E16)</f>
        <v/>
      </c>
      <c r="G16" s="61">
        <f>IF(C16&lt;=0,0,MIN($C$4,MAX(0,C16-F16)))</f>
        <v/>
      </c>
      <c r="H16" s="82">
        <f>MAX(0,C16-F16-G16)</f>
        <v/>
      </c>
      <c r="I16" s="61">
        <f>I15+E16</f>
        <v/>
      </c>
      <c r="J16" s="144">
        <f>IF(AND(H16=0,C16&gt;0),"&lt;&lt;&lt; PAID OFF","")</f>
        <v/>
      </c>
    </row>
    <row r="17">
      <c r="A17" s="84" t="n">
        <v>8</v>
      </c>
      <c r="B17" s="85">
        <f>EDATE(B16,1)</f>
        <v/>
      </c>
      <c r="C17" s="66">
        <f>H16</f>
        <v/>
      </c>
      <c r="D17" s="66">
        <f>IF(C17&lt;=0,0,MIN(Inputs!$C$28,C17+E17))</f>
        <v/>
      </c>
      <c r="E17" s="66">
        <f>IF(C17&lt;=0,0,C17*Inputs!$C$64/12)</f>
        <v/>
      </c>
      <c r="F17" s="66">
        <f>IF(C17&lt;=0,0,D17-E17)</f>
        <v/>
      </c>
      <c r="G17" s="66">
        <f>IF(C17&lt;=0,0,MIN($C$4,MAX(0,C17-F17)))</f>
        <v/>
      </c>
      <c r="H17" s="87">
        <f>MAX(0,C17-F17-G17)</f>
        <v/>
      </c>
      <c r="I17" s="66">
        <f>I16+E17</f>
        <v/>
      </c>
      <c r="J17" s="145">
        <f>IF(AND(H17=0,C17&gt;0),"&lt;&lt;&lt; PAID OFF","")</f>
        <v/>
      </c>
    </row>
    <row r="18">
      <c r="A18" s="79" t="n">
        <v>9</v>
      </c>
      <c r="B18" s="80">
        <f>EDATE(B17,1)</f>
        <v/>
      </c>
      <c r="C18" s="61">
        <f>H17</f>
        <v/>
      </c>
      <c r="D18" s="61">
        <f>IF(C18&lt;=0,0,MIN(Inputs!$C$28,C18+E18))</f>
        <v/>
      </c>
      <c r="E18" s="61">
        <f>IF(C18&lt;=0,0,C18*Inputs!$C$64/12)</f>
        <v/>
      </c>
      <c r="F18" s="61">
        <f>IF(C18&lt;=0,0,D18-E18)</f>
        <v/>
      </c>
      <c r="G18" s="61">
        <f>IF(C18&lt;=0,0,MIN($C$4,MAX(0,C18-F18)))</f>
        <v/>
      </c>
      <c r="H18" s="82">
        <f>MAX(0,C18-F18-G18)</f>
        <v/>
      </c>
      <c r="I18" s="61">
        <f>I17+E18</f>
        <v/>
      </c>
      <c r="J18" s="144">
        <f>IF(AND(H18=0,C18&gt;0),"&lt;&lt;&lt; PAID OFF","")</f>
        <v/>
      </c>
    </row>
    <row r="19">
      <c r="A19" s="84" t="n">
        <v>10</v>
      </c>
      <c r="B19" s="85">
        <f>EDATE(B18,1)</f>
        <v/>
      </c>
      <c r="C19" s="66">
        <f>H18</f>
        <v/>
      </c>
      <c r="D19" s="66">
        <f>IF(C19&lt;=0,0,MIN(Inputs!$C$28,C19+E19))</f>
        <v/>
      </c>
      <c r="E19" s="66">
        <f>IF(C19&lt;=0,0,C19*Inputs!$C$64/12)</f>
        <v/>
      </c>
      <c r="F19" s="66">
        <f>IF(C19&lt;=0,0,D19-E19)</f>
        <v/>
      </c>
      <c r="G19" s="66">
        <f>IF(C19&lt;=0,0,MIN($C$4,MAX(0,C19-F19)))</f>
        <v/>
      </c>
      <c r="H19" s="87">
        <f>MAX(0,C19-F19-G19)</f>
        <v/>
      </c>
      <c r="I19" s="66">
        <f>I18+E19</f>
        <v/>
      </c>
      <c r="J19" s="145">
        <f>IF(AND(H19=0,C19&gt;0),"&lt;&lt;&lt; PAID OFF","")</f>
        <v/>
      </c>
    </row>
    <row r="20">
      <c r="A20" s="79" t="n">
        <v>11</v>
      </c>
      <c r="B20" s="80">
        <f>EDATE(B19,1)</f>
        <v/>
      </c>
      <c r="C20" s="61">
        <f>H19</f>
        <v/>
      </c>
      <c r="D20" s="61">
        <f>IF(C20&lt;=0,0,MIN(Inputs!$C$28,C20+E20))</f>
        <v/>
      </c>
      <c r="E20" s="61">
        <f>IF(C20&lt;=0,0,C20*Inputs!$C$64/12)</f>
        <v/>
      </c>
      <c r="F20" s="61">
        <f>IF(C20&lt;=0,0,D20-E20)</f>
        <v/>
      </c>
      <c r="G20" s="61">
        <f>IF(C20&lt;=0,0,MIN($C$4,MAX(0,C20-F20)))</f>
        <v/>
      </c>
      <c r="H20" s="82">
        <f>MAX(0,C20-F20-G20)</f>
        <v/>
      </c>
      <c r="I20" s="61">
        <f>I19+E20</f>
        <v/>
      </c>
      <c r="J20" s="144">
        <f>IF(AND(H20=0,C20&gt;0),"&lt;&lt;&lt; PAID OFF","")</f>
        <v/>
      </c>
    </row>
    <row r="21">
      <c r="A21" s="84" t="n">
        <v>12</v>
      </c>
      <c r="B21" s="85">
        <f>EDATE(B20,1)</f>
        <v/>
      </c>
      <c r="C21" s="66">
        <f>H20</f>
        <v/>
      </c>
      <c r="D21" s="66">
        <f>IF(C21&lt;=0,0,MIN(Inputs!$C$28,C21+E21))</f>
        <v/>
      </c>
      <c r="E21" s="66">
        <f>IF(C21&lt;=0,0,C21*Inputs!$C$64/12)</f>
        <v/>
      </c>
      <c r="F21" s="66">
        <f>IF(C21&lt;=0,0,D21-E21)</f>
        <v/>
      </c>
      <c r="G21" s="66">
        <f>IF(C21&lt;=0,0,MIN($C$4,MAX(0,C21-F21)))</f>
        <v/>
      </c>
      <c r="H21" s="87">
        <f>MAX(0,C21-F21-G21)</f>
        <v/>
      </c>
      <c r="I21" s="66">
        <f>I20+E21</f>
        <v/>
      </c>
      <c r="J21" s="145">
        <f>IF(AND(H21=0,C21&gt;0),"&lt;&lt;&lt; PAID OFF","")</f>
        <v/>
      </c>
    </row>
    <row r="22">
      <c r="A22" s="79" t="n">
        <v>13</v>
      </c>
      <c r="B22" s="80">
        <f>EDATE(B21,1)</f>
        <v/>
      </c>
      <c r="C22" s="61">
        <f>H21</f>
        <v/>
      </c>
      <c r="D22" s="61">
        <f>IF(C22&lt;=0,0,MIN(Inputs!$C$28,C22+E22))</f>
        <v/>
      </c>
      <c r="E22" s="61">
        <f>IF(C22&lt;=0,0,C22*Inputs!$C$64/12)</f>
        <v/>
      </c>
      <c r="F22" s="61">
        <f>IF(C22&lt;=0,0,D22-E22)</f>
        <v/>
      </c>
      <c r="G22" s="61">
        <f>IF(C22&lt;=0,0,MIN($C$4,MAX(0,C22-F22)))</f>
        <v/>
      </c>
      <c r="H22" s="82">
        <f>MAX(0,C22-F22-G22)</f>
        <v/>
      </c>
      <c r="I22" s="61">
        <f>I21+E22</f>
        <v/>
      </c>
      <c r="J22" s="144">
        <f>IF(AND(H22=0,C22&gt;0),"&lt;&lt;&lt; PAID OFF","")</f>
        <v/>
      </c>
    </row>
    <row r="23">
      <c r="A23" s="84" t="n">
        <v>14</v>
      </c>
      <c r="B23" s="85">
        <f>EDATE(B22,1)</f>
        <v/>
      </c>
      <c r="C23" s="66">
        <f>H22</f>
        <v/>
      </c>
      <c r="D23" s="66">
        <f>IF(C23&lt;=0,0,MIN(Inputs!$C$28,C23+E23))</f>
        <v/>
      </c>
      <c r="E23" s="66">
        <f>IF(C23&lt;=0,0,C23*Inputs!$C$64/12)</f>
        <v/>
      </c>
      <c r="F23" s="66">
        <f>IF(C23&lt;=0,0,D23-E23)</f>
        <v/>
      </c>
      <c r="G23" s="66">
        <f>IF(C23&lt;=0,0,MIN($C$4,MAX(0,C23-F23)))</f>
        <v/>
      </c>
      <c r="H23" s="87">
        <f>MAX(0,C23-F23-G23)</f>
        <v/>
      </c>
      <c r="I23" s="66">
        <f>I22+E23</f>
        <v/>
      </c>
      <c r="J23" s="145">
        <f>IF(AND(H23=0,C23&gt;0),"&lt;&lt;&lt; PAID OFF","")</f>
        <v/>
      </c>
    </row>
    <row r="24">
      <c r="A24" s="79" t="n">
        <v>15</v>
      </c>
      <c r="B24" s="80">
        <f>EDATE(B23,1)</f>
        <v/>
      </c>
      <c r="C24" s="61">
        <f>H23</f>
        <v/>
      </c>
      <c r="D24" s="61">
        <f>IF(C24&lt;=0,0,MIN(Inputs!$C$28,C24+E24))</f>
        <v/>
      </c>
      <c r="E24" s="61">
        <f>IF(C24&lt;=0,0,C24*Inputs!$C$64/12)</f>
        <v/>
      </c>
      <c r="F24" s="61">
        <f>IF(C24&lt;=0,0,D24-E24)</f>
        <v/>
      </c>
      <c r="G24" s="61">
        <f>IF(C24&lt;=0,0,MIN($C$4,MAX(0,C24-F24)))</f>
        <v/>
      </c>
      <c r="H24" s="82">
        <f>MAX(0,C24-F24-G24)</f>
        <v/>
      </c>
      <c r="I24" s="61">
        <f>I23+E24</f>
        <v/>
      </c>
      <c r="J24" s="144">
        <f>IF(AND(H24=0,C24&gt;0),"&lt;&lt;&lt; PAID OFF","")</f>
        <v/>
      </c>
    </row>
    <row r="25">
      <c r="A25" s="84" t="n">
        <v>16</v>
      </c>
      <c r="B25" s="85">
        <f>EDATE(B24,1)</f>
        <v/>
      </c>
      <c r="C25" s="66">
        <f>H24</f>
        <v/>
      </c>
      <c r="D25" s="66">
        <f>IF(C25&lt;=0,0,MIN(Inputs!$C$28,C25+E25))</f>
        <v/>
      </c>
      <c r="E25" s="66">
        <f>IF(C25&lt;=0,0,C25*Inputs!$C$64/12)</f>
        <v/>
      </c>
      <c r="F25" s="66">
        <f>IF(C25&lt;=0,0,D25-E25)</f>
        <v/>
      </c>
      <c r="G25" s="66">
        <f>IF(C25&lt;=0,0,MIN($C$4,MAX(0,C25-F25)))</f>
        <v/>
      </c>
      <c r="H25" s="87">
        <f>MAX(0,C25-F25-G25)</f>
        <v/>
      </c>
      <c r="I25" s="66">
        <f>I24+E25</f>
        <v/>
      </c>
      <c r="J25" s="145">
        <f>IF(AND(H25=0,C25&gt;0),"&lt;&lt;&lt; PAID OFF","")</f>
        <v/>
      </c>
    </row>
    <row r="26">
      <c r="A26" s="79" t="n">
        <v>17</v>
      </c>
      <c r="B26" s="80">
        <f>EDATE(B25,1)</f>
        <v/>
      </c>
      <c r="C26" s="61">
        <f>H25</f>
        <v/>
      </c>
      <c r="D26" s="61">
        <f>IF(C26&lt;=0,0,MIN(Inputs!$C$28,C26+E26))</f>
        <v/>
      </c>
      <c r="E26" s="61">
        <f>IF(C26&lt;=0,0,C26*Inputs!$C$64/12)</f>
        <v/>
      </c>
      <c r="F26" s="61">
        <f>IF(C26&lt;=0,0,D26-E26)</f>
        <v/>
      </c>
      <c r="G26" s="61">
        <f>IF(C26&lt;=0,0,MIN($C$4,MAX(0,C26-F26)))</f>
        <v/>
      </c>
      <c r="H26" s="82">
        <f>MAX(0,C26-F26-G26)</f>
        <v/>
      </c>
      <c r="I26" s="61">
        <f>I25+E26</f>
        <v/>
      </c>
      <c r="J26" s="144">
        <f>IF(AND(H26=0,C26&gt;0),"&lt;&lt;&lt; PAID OFF","")</f>
        <v/>
      </c>
    </row>
    <row r="27">
      <c r="A27" s="84" t="n">
        <v>18</v>
      </c>
      <c r="B27" s="85">
        <f>EDATE(B26,1)</f>
        <v/>
      </c>
      <c r="C27" s="66">
        <f>H26</f>
        <v/>
      </c>
      <c r="D27" s="66">
        <f>IF(C27&lt;=0,0,MIN(Inputs!$C$28,C27+E27))</f>
        <v/>
      </c>
      <c r="E27" s="66">
        <f>IF(C27&lt;=0,0,C27*Inputs!$C$64/12)</f>
        <v/>
      </c>
      <c r="F27" s="66">
        <f>IF(C27&lt;=0,0,D27-E27)</f>
        <v/>
      </c>
      <c r="G27" s="66">
        <f>IF(C27&lt;=0,0,MIN($C$4,MAX(0,C27-F27)))</f>
        <v/>
      </c>
      <c r="H27" s="87">
        <f>MAX(0,C27-F27-G27)</f>
        <v/>
      </c>
      <c r="I27" s="66">
        <f>I26+E27</f>
        <v/>
      </c>
      <c r="J27" s="145">
        <f>IF(AND(H27=0,C27&gt;0),"&lt;&lt;&lt; PAID OFF","")</f>
        <v/>
      </c>
    </row>
    <row r="28">
      <c r="A28" s="79" t="n">
        <v>19</v>
      </c>
      <c r="B28" s="80">
        <f>EDATE(B27,1)</f>
        <v/>
      </c>
      <c r="C28" s="61">
        <f>H27</f>
        <v/>
      </c>
      <c r="D28" s="61">
        <f>IF(C28&lt;=0,0,MIN(Inputs!$C$28,C28+E28))</f>
        <v/>
      </c>
      <c r="E28" s="61">
        <f>IF(C28&lt;=0,0,C28*Inputs!$C$64/12)</f>
        <v/>
      </c>
      <c r="F28" s="61">
        <f>IF(C28&lt;=0,0,D28-E28)</f>
        <v/>
      </c>
      <c r="G28" s="61">
        <f>IF(C28&lt;=0,0,MIN($C$4,MAX(0,C28-F28)))</f>
        <v/>
      </c>
      <c r="H28" s="82">
        <f>MAX(0,C28-F28-G28)</f>
        <v/>
      </c>
      <c r="I28" s="61">
        <f>I27+E28</f>
        <v/>
      </c>
      <c r="J28" s="144">
        <f>IF(AND(H28=0,C28&gt;0),"&lt;&lt;&lt; PAID OFF","")</f>
        <v/>
      </c>
    </row>
    <row r="29">
      <c r="A29" s="84" t="n">
        <v>20</v>
      </c>
      <c r="B29" s="85">
        <f>EDATE(B28,1)</f>
        <v/>
      </c>
      <c r="C29" s="66">
        <f>H28</f>
        <v/>
      </c>
      <c r="D29" s="66">
        <f>IF(C29&lt;=0,0,MIN(Inputs!$C$28,C29+E29))</f>
        <v/>
      </c>
      <c r="E29" s="66">
        <f>IF(C29&lt;=0,0,C29*Inputs!$C$64/12)</f>
        <v/>
      </c>
      <c r="F29" s="66">
        <f>IF(C29&lt;=0,0,D29-E29)</f>
        <v/>
      </c>
      <c r="G29" s="66">
        <f>IF(C29&lt;=0,0,MIN($C$4,MAX(0,C29-F29)))</f>
        <v/>
      </c>
      <c r="H29" s="87">
        <f>MAX(0,C29-F29-G29)</f>
        <v/>
      </c>
      <c r="I29" s="66">
        <f>I28+E29</f>
        <v/>
      </c>
      <c r="J29" s="145">
        <f>IF(AND(H29=0,C29&gt;0),"&lt;&lt;&lt; PAID OFF","")</f>
        <v/>
      </c>
    </row>
    <row r="30">
      <c r="A30" s="79" t="n">
        <v>21</v>
      </c>
      <c r="B30" s="80">
        <f>EDATE(B29,1)</f>
        <v/>
      </c>
      <c r="C30" s="61">
        <f>H29</f>
        <v/>
      </c>
      <c r="D30" s="61">
        <f>IF(C30&lt;=0,0,MIN(Inputs!$C$28,C30+E30))</f>
        <v/>
      </c>
      <c r="E30" s="61">
        <f>IF(C30&lt;=0,0,C30*Inputs!$C$64/12)</f>
        <v/>
      </c>
      <c r="F30" s="61">
        <f>IF(C30&lt;=0,0,D30-E30)</f>
        <v/>
      </c>
      <c r="G30" s="61">
        <f>IF(C30&lt;=0,0,MIN($C$4,MAX(0,C30-F30)))</f>
        <v/>
      </c>
      <c r="H30" s="82">
        <f>MAX(0,C30-F30-G30)</f>
        <v/>
      </c>
      <c r="I30" s="61">
        <f>I29+E30</f>
        <v/>
      </c>
      <c r="J30" s="144">
        <f>IF(AND(H30=0,C30&gt;0),"&lt;&lt;&lt; PAID OFF","")</f>
        <v/>
      </c>
    </row>
    <row r="31">
      <c r="A31" s="84" t="n">
        <v>22</v>
      </c>
      <c r="B31" s="85">
        <f>EDATE(B30,1)</f>
        <v/>
      </c>
      <c r="C31" s="66">
        <f>H30</f>
        <v/>
      </c>
      <c r="D31" s="66">
        <f>IF(C31&lt;=0,0,MIN(Inputs!$C$28,C31+E31))</f>
        <v/>
      </c>
      <c r="E31" s="66">
        <f>IF(C31&lt;=0,0,C31*Inputs!$C$64/12)</f>
        <v/>
      </c>
      <c r="F31" s="66">
        <f>IF(C31&lt;=0,0,D31-E31)</f>
        <v/>
      </c>
      <c r="G31" s="66">
        <f>IF(C31&lt;=0,0,MIN($C$4,MAX(0,C31-F31)))</f>
        <v/>
      </c>
      <c r="H31" s="87">
        <f>MAX(0,C31-F31-G31)</f>
        <v/>
      </c>
      <c r="I31" s="66">
        <f>I30+E31</f>
        <v/>
      </c>
      <c r="J31" s="145">
        <f>IF(AND(H31=0,C31&gt;0),"&lt;&lt;&lt; PAID OFF","")</f>
        <v/>
      </c>
    </row>
    <row r="32">
      <c r="A32" s="79" t="n">
        <v>23</v>
      </c>
      <c r="B32" s="80">
        <f>EDATE(B31,1)</f>
        <v/>
      </c>
      <c r="C32" s="61">
        <f>H31</f>
        <v/>
      </c>
      <c r="D32" s="61">
        <f>IF(C32&lt;=0,0,MIN(Inputs!$C$28,C32+E32))</f>
        <v/>
      </c>
      <c r="E32" s="61">
        <f>IF(C32&lt;=0,0,C32*Inputs!$C$64/12)</f>
        <v/>
      </c>
      <c r="F32" s="61">
        <f>IF(C32&lt;=0,0,D32-E32)</f>
        <v/>
      </c>
      <c r="G32" s="61">
        <f>IF(C32&lt;=0,0,MIN($C$4,MAX(0,C32-F32)))</f>
        <v/>
      </c>
      <c r="H32" s="82">
        <f>MAX(0,C32-F32-G32)</f>
        <v/>
      </c>
      <c r="I32" s="61">
        <f>I31+E32</f>
        <v/>
      </c>
      <c r="J32" s="144">
        <f>IF(AND(H32=0,C32&gt;0),"&lt;&lt;&lt; PAID OFF","")</f>
        <v/>
      </c>
    </row>
    <row r="33">
      <c r="A33" s="84" t="n">
        <v>24</v>
      </c>
      <c r="B33" s="85">
        <f>EDATE(B32,1)</f>
        <v/>
      </c>
      <c r="C33" s="66">
        <f>H32</f>
        <v/>
      </c>
      <c r="D33" s="66">
        <f>IF(C33&lt;=0,0,MIN(Inputs!$C$28,C33+E33))</f>
        <v/>
      </c>
      <c r="E33" s="66">
        <f>IF(C33&lt;=0,0,C33*Inputs!$C$64/12)</f>
        <v/>
      </c>
      <c r="F33" s="66">
        <f>IF(C33&lt;=0,0,D33-E33)</f>
        <v/>
      </c>
      <c r="G33" s="66">
        <f>IF(C33&lt;=0,0,MIN($C$4,MAX(0,C33-F33)))</f>
        <v/>
      </c>
      <c r="H33" s="87">
        <f>MAX(0,C33-F33-G33)</f>
        <v/>
      </c>
      <c r="I33" s="66">
        <f>I32+E33</f>
        <v/>
      </c>
      <c r="J33" s="145">
        <f>IF(AND(H33=0,C33&gt;0),"&lt;&lt;&lt; PAID OFF","")</f>
        <v/>
      </c>
    </row>
    <row r="34">
      <c r="A34" s="79" t="n">
        <v>25</v>
      </c>
      <c r="B34" s="80">
        <f>EDATE(B33,1)</f>
        <v/>
      </c>
      <c r="C34" s="61">
        <f>H33</f>
        <v/>
      </c>
      <c r="D34" s="61">
        <f>IF(C34&lt;=0,0,MIN(Inputs!$C$28,C34+E34))</f>
        <v/>
      </c>
      <c r="E34" s="61">
        <f>IF(C34&lt;=0,0,C34*Inputs!$C$64/12)</f>
        <v/>
      </c>
      <c r="F34" s="61">
        <f>IF(C34&lt;=0,0,D34-E34)</f>
        <v/>
      </c>
      <c r="G34" s="61">
        <f>IF(C34&lt;=0,0,MIN($C$4,MAX(0,C34-F34)))</f>
        <v/>
      </c>
      <c r="H34" s="82">
        <f>MAX(0,C34-F34-G34)</f>
        <v/>
      </c>
      <c r="I34" s="61">
        <f>I33+E34</f>
        <v/>
      </c>
      <c r="J34" s="144">
        <f>IF(AND(H34=0,C34&gt;0),"&lt;&lt;&lt; PAID OFF","")</f>
        <v/>
      </c>
    </row>
    <row r="35">
      <c r="A35" s="84" t="n">
        <v>26</v>
      </c>
      <c r="B35" s="85">
        <f>EDATE(B34,1)</f>
        <v/>
      </c>
      <c r="C35" s="66">
        <f>H34</f>
        <v/>
      </c>
      <c r="D35" s="66">
        <f>IF(C35&lt;=0,0,MIN(Inputs!$C$28,C35+E35))</f>
        <v/>
      </c>
      <c r="E35" s="66">
        <f>IF(C35&lt;=0,0,C35*Inputs!$C$64/12)</f>
        <v/>
      </c>
      <c r="F35" s="66">
        <f>IF(C35&lt;=0,0,D35-E35)</f>
        <v/>
      </c>
      <c r="G35" s="66">
        <f>IF(C35&lt;=0,0,MIN($C$4,MAX(0,C35-F35)))</f>
        <v/>
      </c>
      <c r="H35" s="87">
        <f>MAX(0,C35-F35-G35)</f>
        <v/>
      </c>
      <c r="I35" s="66">
        <f>I34+E35</f>
        <v/>
      </c>
      <c r="J35" s="145">
        <f>IF(AND(H35=0,C35&gt;0),"&lt;&lt;&lt; PAID OFF","")</f>
        <v/>
      </c>
    </row>
    <row r="36">
      <c r="A36" s="79" t="n">
        <v>27</v>
      </c>
      <c r="B36" s="80">
        <f>EDATE(B35,1)</f>
        <v/>
      </c>
      <c r="C36" s="61">
        <f>H35</f>
        <v/>
      </c>
      <c r="D36" s="61">
        <f>IF(C36&lt;=0,0,MIN(Inputs!$C$28,C36+E36))</f>
        <v/>
      </c>
      <c r="E36" s="61">
        <f>IF(C36&lt;=0,0,C36*Inputs!$C$64/12)</f>
        <v/>
      </c>
      <c r="F36" s="61">
        <f>IF(C36&lt;=0,0,D36-E36)</f>
        <v/>
      </c>
      <c r="G36" s="61">
        <f>IF(C36&lt;=0,0,MIN($C$4,MAX(0,C36-F36)))</f>
        <v/>
      </c>
      <c r="H36" s="82">
        <f>MAX(0,C36-F36-G36)</f>
        <v/>
      </c>
      <c r="I36" s="61">
        <f>I35+E36</f>
        <v/>
      </c>
      <c r="J36" s="144">
        <f>IF(AND(H36=0,C36&gt;0),"&lt;&lt;&lt; PAID OFF","")</f>
        <v/>
      </c>
    </row>
    <row r="37">
      <c r="A37" s="84" t="n">
        <v>28</v>
      </c>
      <c r="B37" s="85">
        <f>EDATE(B36,1)</f>
        <v/>
      </c>
      <c r="C37" s="66">
        <f>H36</f>
        <v/>
      </c>
      <c r="D37" s="66">
        <f>IF(C37&lt;=0,0,MIN(Inputs!$C$28,C37+E37))</f>
        <v/>
      </c>
      <c r="E37" s="66">
        <f>IF(C37&lt;=0,0,C37*Inputs!$C$64/12)</f>
        <v/>
      </c>
      <c r="F37" s="66">
        <f>IF(C37&lt;=0,0,D37-E37)</f>
        <v/>
      </c>
      <c r="G37" s="66">
        <f>IF(C37&lt;=0,0,MIN($C$4,MAX(0,C37-F37)))</f>
        <v/>
      </c>
      <c r="H37" s="87">
        <f>MAX(0,C37-F37-G37)</f>
        <v/>
      </c>
      <c r="I37" s="66">
        <f>I36+E37</f>
        <v/>
      </c>
      <c r="J37" s="145">
        <f>IF(AND(H37=0,C37&gt;0),"&lt;&lt;&lt; PAID OFF","")</f>
        <v/>
      </c>
    </row>
    <row r="38">
      <c r="A38" s="79" t="n">
        <v>29</v>
      </c>
      <c r="B38" s="80">
        <f>EDATE(B37,1)</f>
        <v/>
      </c>
      <c r="C38" s="61">
        <f>H37</f>
        <v/>
      </c>
      <c r="D38" s="61">
        <f>IF(C38&lt;=0,0,MIN(Inputs!$C$28,C38+E38))</f>
        <v/>
      </c>
      <c r="E38" s="61">
        <f>IF(C38&lt;=0,0,C38*Inputs!$C$64/12)</f>
        <v/>
      </c>
      <c r="F38" s="61">
        <f>IF(C38&lt;=0,0,D38-E38)</f>
        <v/>
      </c>
      <c r="G38" s="61">
        <f>IF(C38&lt;=0,0,MIN($C$4,MAX(0,C38-F38)))</f>
        <v/>
      </c>
      <c r="H38" s="82">
        <f>MAX(0,C38-F38-G38)</f>
        <v/>
      </c>
      <c r="I38" s="61">
        <f>I37+E38</f>
        <v/>
      </c>
      <c r="J38" s="144">
        <f>IF(AND(H38=0,C38&gt;0),"&lt;&lt;&lt; PAID OFF","")</f>
        <v/>
      </c>
    </row>
    <row r="39">
      <c r="A39" s="84" t="n">
        <v>30</v>
      </c>
      <c r="B39" s="85">
        <f>EDATE(B38,1)</f>
        <v/>
      </c>
      <c r="C39" s="66">
        <f>H38</f>
        <v/>
      </c>
      <c r="D39" s="66">
        <f>IF(C39&lt;=0,0,MIN(Inputs!$C$28,C39+E39))</f>
        <v/>
      </c>
      <c r="E39" s="66">
        <f>IF(C39&lt;=0,0,C39*Inputs!$C$64/12)</f>
        <v/>
      </c>
      <c r="F39" s="66">
        <f>IF(C39&lt;=0,0,D39-E39)</f>
        <v/>
      </c>
      <c r="G39" s="66">
        <f>IF(C39&lt;=0,0,MIN($C$4,MAX(0,C39-F39)))</f>
        <v/>
      </c>
      <c r="H39" s="87">
        <f>MAX(0,C39-F39-G39)</f>
        <v/>
      </c>
      <c r="I39" s="66">
        <f>I38+E39</f>
        <v/>
      </c>
      <c r="J39" s="145">
        <f>IF(AND(H39=0,C39&gt;0),"&lt;&lt;&lt; PAID OFF","")</f>
        <v/>
      </c>
    </row>
    <row r="40">
      <c r="A40" s="79" t="n">
        <v>31</v>
      </c>
      <c r="B40" s="80">
        <f>EDATE(B39,1)</f>
        <v/>
      </c>
      <c r="C40" s="61">
        <f>H39</f>
        <v/>
      </c>
      <c r="D40" s="61">
        <f>IF(C40&lt;=0,0,MIN(Inputs!$C$28,C40+E40))</f>
        <v/>
      </c>
      <c r="E40" s="61">
        <f>IF(C40&lt;=0,0,C40*Inputs!$C$64/12)</f>
        <v/>
      </c>
      <c r="F40" s="61">
        <f>IF(C40&lt;=0,0,D40-E40)</f>
        <v/>
      </c>
      <c r="G40" s="61">
        <f>IF(C40&lt;=0,0,MIN($C$4,MAX(0,C40-F40)))</f>
        <v/>
      </c>
      <c r="H40" s="82">
        <f>MAX(0,C40-F40-G40)</f>
        <v/>
      </c>
      <c r="I40" s="61">
        <f>I39+E40</f>
        <v/>
      </c>
      <c r="J40" s="144">
        <f>IF(AND(H40=0,C40&gt;0),"&lt;&lt;&lt; PAID OFF","")</f>
        <v/>
      </c>
    </row>
    <row r="41">
      <c r="A41" s="84" t="n">
        <v>32</v>
      </c>
      <c r="B41" s="85">
        <f>EDATE(B40,1)</f>
        <v/>
      </c>
      <c r="C41" s="66">
        <f>H40</f>
        <v/>
      </c>
      <c r="D41" s="66">
        <f>IF(C41&lt;=0,0,MIN(Inputs!$C$28,C41+E41))</f>
        <v/>
      </c>
      <c r="E41" s="66">
        <f>IF(C41&lt;=0,0,C41*Inputs!$C$64/12)</f>
        <v/>
      </c>
      <c r="F41" s="66">
        <f>IF(C41&lt;=0,0,D41-E41)</f>
        <v/>
      </c>
      <c r="G41" s="66">
        <f>IF(C41&lt;=0,0,MIN($C$4,MAX(0,C41-F41)))</f>
        <v/>
      </c>
      <c r="H41" s="87">
        <f>MAX(0,C41-F41-G41)</f>
        <v/>
      </c>
      <c r="I41" s="66">
        <f>I40+E41</f>
        <v/>
      </c>
      <c r="J41" s="145">
        <f>IF(AND(H41=0,C41&gt;0),"&lt;&lt;&lt; PAID OFF","")</f>
        <v/>
      </c>
    </row>
    <row r="42">
      <c r="A42" s="79" t="n">
        <v>33</v>
      </c>
      <c r="B42" s="80">
        <f>EDATE(B41,1)</f>
        <v/>
      </c>
      <c r="C42" s="61">
        <f>H41</f>
        <v/>
      </c>
      <c r="D42" s="61">
        <f>IF(C42&lt;=0,0,MIN(Inputs!$C$28,C42+E42))</f>
        <v/>
      </c>
      <c r="E42" s="61">
        <f>IF(C42&lt;=0,0,C42*Inputs!$C$64/12)</f>
        <v/>
      </c>
      <c r="F42" s="61">
        <f>IF(C42&lt;=0,0,D42-E42)</f>
        <v/>
      </c>
      <c r="G42" s="61">
        <f>IF(C42&lt;=0,0,MIN($C$4,MAX(0,C42-F42)))</f>
        <v/>
      </c>
      <c r="H42" s="82">
        <f>MAX(0,C42-F42-G42)</f>
        <v/>
      </c>
      <c r="I42" s="61">
        <f>I41+E42</f>
        <v/>
      </c>
      <c r="J42" s="144">
        <f>IF(AND(H42=0,C42&gt;0),"&lt;&lt;&lt; PAID OFF","")</f>
        <v/>
      </c>
    </row>
    <row r="43">
      <c r="A43" s="84" t="n">
        <v>34</v>
      </c>
      <c r="B43" s="85">
        <f>EDATE(B42,1)</f>
        <v/>
      </c>
      <c r="C43" s="66">
        <f>H42</f>
        <v/>
      </c>
      <c r="D43" s="66">
        <f>IF(C43&lt;=0,0,MIN(Inputs!$C$28,C43+E43))</f>
        <v/>
      </c>
      <c r="E43" s="66">
        <f>IF(C43&lt;=0,0,C43*Inputs!$C$64/12)</f>
        <v/>
      </c>
      <c r="F43" s="66">
        <f>IF(C43&lt;=0,0,D43-E43)</f>
        <v/>
      </c>
      <c r="G43" s="66">
        <f>IF(C43&lt;=0,0,MIN($C$4,MAX(0,C43-F43)))</f>
        <v/>
      </c>
      <c r="H43" s="87">
        <f>MAX(0,C43-F43-G43)</f>
        <v/>
      </c>
      <c r="I43" s="66">
        <f>I42+E43</f>
        <v/>
      </c>
      <c r="J43" s="145">
        <f>IF(AND(H43=0,C43&gt;0),"&lt;&lt;&lt; PAID OFF","")</f>
        <v/>
      </c>
    </row>
    <row r="44">
      <c r="A44" s="79" t="n">
        <v>35</v>
      </c>
      <c r="B44" s="80">
        <f>EDATE(B43,1)</f>
        <v/>
      </c>
      <c r="C44" s="61">
        <f>H43</f>
        <v/>
      </c>
      <c r="D44" s="61">
        <f>IF(C44&lt;=0,0,MIN(Inputs!$C$28,C44+E44))</f>
        <v/>
      </c>
      <c r="E44" s="61">
        <f>IF(C44&lt;=0,0,C44*Inputs!$C$64/12)</f>
        <v/>
      </c>
      <c r="F44" s="61">
        <f>IF(C44&lt;=0,0,D44-E44)</f>
        <v/>
      </c>
      <c r="G44" s="61">
        <f>IF(C44&lt;=0,0,MIN($C$4,MAX(0,C44-F44)))</f>
        <v/>
      </c>
      <c r="H44" s="82">
        <f>MAX(0,C44-F44-G44)</f>
        <v/>
      </c>
      <c r="I44" s="61">
        <f>I43+E44</f>
        <v/>
      </c>
      <c r="J44" s="144">
        <f>IF(AND(H44=0,C44&gt;0),"&lt;&lt;&lt; PAID OFF","")</f>
        <v/>
      </c>
    </row>
    <row r="45">
      <c r="A45" s="84" t="n">
        <v>36</v>
      </c>
      <c r="B45" s="85">
        <f>EDATE(B44,1)</f>
        <v/>
      </c>
      <c r="C45" s="66">
        <f>H44</f>
        <v/>
      </c>
      <c r="D45" s="66">
        <f>IF(C45&lt;=0,0,MIN(Inputs!$C$28,C45+E45))</f>
        <v/>
      </c>
      <c r="E45" s="66">
        <f>IF(C45&lt;=0,0,C45*Inputs!$C$64/12)</f>
        <v/>
      </c>
      <c r="F45" s="66">
        <f>IF(C45&lt;=0,0,D45-E45)</f>
        <v/>
      </c>
      <c r="G45" s="66">
        <f>IF(C45&lt;=0,0,MIN($C$4,MAX(0,C45-F45)))</f>
        <v/>
      </c>
      <c r="H45" s="87">
        <f>MAX(0,C45-F45-G45)</f>
        <v/>
      </c>
      <c r="I45" s="66">
        <f>I44+E45</f>
        <v/>
      </c>
      <c r="J45" s="145">
        <f>IF(AND(H45=0,C45&gt;0),"&lt;&lt;&lt; PAID OFF","")</f>
        <v/>
      </c>
    </row>
    <row r="46">
      <c r="A46" s="79" t="n">
        <v>37</v>
      </c>
      <c r="B46" s="80">
        <f>EDATE(B45,1)</f>
        <v/>
      </c>
      <c r="C46" s="61">
        <f>H45</f>
        <v/>
      </c>
      <c r="D46" s="61">
        <f>IF(C46&lt;=0,0,MIN(Inputs!$C$28,C46+E46))</f>
        <v/>
      </c>
      <c r="E46" s="61">
        <f>IF(C46&lt;=0,0,C46*Inputs!$C$64/12)</f>
        <v/>
      </c>
      <c r="F46" s="61">
        <f>IF(C46&lt;=0,0,D46-E46)</f>
        <v/>
      </c>
      <c r="G46" s="61">
        <f>IF(C46&lt;=0,0,MIN($C$4,MAX(0,C46-F46)))</f>
        <v/>
      </c>
      <c r="H46" s="82">
        <f>MAX(0,C46-F46-G46)</f>
        <v/>
      </c>
      <c r="I46" s="61">
        <f>I45+E46</f>
        <v/>
      </c>
      <c r="J46" s="144">
        <f>IF(AND(H46=0,C46&gt;0),"&lt;&lt;&lt; PAID OFF","")</f>
        <v/>
      </c>
    </row>
    <row r="47">
      <c r="A47" s="84" t="n">
        <v>38</v>
      </c>
      <c r="B47" s="85">
        <f>EDATE(B46,1)</f>
        <v/>
      </c>
      <c r="C47" s="66">
        <f>H46</f>
        <v/>
      </c>
      <c r="D47" s="66">
        <f>IF(C47&lt;=0,0,MIN(Inputs!$C$28,C47+E47))</f>
        <v/>
      </c>
      <c r="E47" s="66">
        <f>IF(C47&lt;=0,0,C47*Inputs!$C$64/12)</f>
        <v/>
      </c>
      <c r="F47" s="66">
        <f>IF(C47&lt;=0,0,D47-E47)</f>
        <v/>
      </c>
      <c r="G47" s="66">
        <f>IF(C47&lt;=0,0,MIN($C$4,MAX(0,C47-F47)))</f>
        <v/>
      </c>
      <c r="H47" s="87">
        <f>MAX(0,C47-F47-G47)</f>
        <v/>
      </c>
      <c r="I47" s="66">
        <f>I46+E47</f>
        <v/>
      </c>
      <c r="J47" s="145">
        <f>IF(AND(H47=0,C47&gt;0),"&lt;&lt;&lt; PAID OFF","")</f>
        <v/>
      </c>
    </row>
    <row r="48">
      <c r="A48" s="79" t="n">
        <v>39</v>
      </c>
      <c r="B48" s="80">
        <f>EDATE(B47,1)</f>
        <v/>
      </c>
      <c r="C48" s="61">
        <f>H47</f>
        <v/>
      </c>
      <c r="D48" s="61">
        <f>IF(C48&lt;=0,0,MIN(Inputs!$C$28,C48+E48))</f>
        <v/>
      </c>
      <c r="E48" s="61">
        <f>IF(C48&lt;=0,0,C48*Inputs!$C$64/12)</f>
        <v/>
      </c>
      <c r="F48" s="61">
        <f>IF(C48&lt;=0,0,D48-E48)</f>
        <v/>
      </c>
      <c r="G48" s="61">
        <f>IF(C48&lt;=0,0,MIN($C$4,MAX(0,C48-F48)))</f>
        <v/>
      </c>
      <c r="H48" s="82">
        <f>MAX(0,C48-F48-G48)</f>
        <v/>
      </c>
      <c r="I48" s="61">
        <f>I47+E48</f>
        <v/>
      </c>
      <c r="J48" s="144">
        <f>IF(AND(H48=0,C48&gt;0),"&lt;&lt;&lt; PAID OFF","")</f>
        <v/>
      </c>
    </row>
    <row r="49">
      <c r="A49" s="84" t="n">
        <v>40</v>
      </c>
      <c r="B49" s="85">
        <f>EDATE(B48,1)</f>
        <v/>
      </c>
      <c r="C49" s="66">
        <f>H48</f>
        <v/>
      </c>
      <c r="D49" s="66">
        <f>IF(C49&lt;=0,0,MIN(Inputs!$C$28,C49+E49))</f>
        <v/>
      </c>
      <c r="E49" s="66">
        <f>IF(C49&lt;=0,0,C49*Inputs!$C$64/12)</f>
        <v/>
      </c>
      <c r="F49" s="66">
        <f>IF(C49&lt;=0,0,D49-E49)</f>
        <v/>
      </c>
      <c r="G49" s="66">
        <f>IF(C49&lt;=0,0,MIN($C$4,MAX(0,C49-F49)))</f>
        <v/>
      </c>
      <c r="H49" s="87">
        <f>MAX(0,C49-F49-G49)</f>
        <v/>
      </c>
      <c r="I49" s="66">
        <f>I48+E49</f>
        <v/>
      </c>
      <c r="J49" s="145">
        <f>IF(AND(H49=0,C49&gt;0),"&lt;&lt;&lt; PAID OFF","")</f>
        <v/>
      </c>
    </row>
    <row r="50">
      <c r="A50" s="79" t="n">
        <v>41</v>
      </c>
      <c r="B50" s="80">
        <f>EDATE(B49,1)</f>
        <v/>
      </c>
      <c r="C50" s="61">
        <f>H49</f>
        <v/>
      </c>
      <c r="D50" s="61">
        <f>IF(C50&lt;=0,0,MIN(Inputs!$C$28,C50+E50))</f>
        <v/>
      </c>
      <c r="E50" s="61">
        <f>IF(C50&lt;=0,0,C50*Inputs!$C$64/12)</f>
        <v/>
      </c>
      <c r="F50" s="61">
        <f>IF(C50&lt;=0,0,D50-E50)</f>
        <v/>
      </c>
      <c r="G50" s="61">
        <f>IF(C50&lt;=0,0,MIN($C$4,MAX(0,C50-F50)))</f>
        <v/>
      </c>
      <c r="H50" s="82">
        <f>MAX(0,C50-F50-G50)</f>
        <v/>
      </c>
      <c r="I50" s="61">
        <f>I49+E50</f>
        <v/>
      </c>
      <c r="J50" s="144">
        <f>IF(AND(H50=0,C50&gt;0),"&lt;&lt;&lt; PAID OFF","")</f>
        <v/>
      </c>
    </row>
    <row r="51">
      <c r="A51" s="84" t="n">
        <v>42</v>
      </c>
      <c r="B51" s="85">
        <f>EDATE(B50,1)</f>
        <v/>
      </c>
      <c r="C51" s="66">
        <f>H50</f>
        <v/>
      </c>
      <c r="D51" s="66">
        <f>IF(C51&lt;=0,0,MIN(Inputs!$C$28,C51+E51))</f>
        <v/>
      </c>
      <c r="E51" s="66">
        <f>IF(C51&lt;=0,0,C51*Inputs!$C$64/12)</f>
        <v/>
      </c>
      <c r="F51" s="66">
        <f>IF(C51&lt;=0,0,D51-E51)</f>
        <v/>
      </c>
      <c r="G51" s="66">
        <f>IF(C51&lt;=0,0,MIN($C$4,MAX(0,C51-F51)))</f>
        <v/>
      </c>
      <c r="H51" s="87">
        <f>MAX(0,C51-F51-G51)</f>
        <v/>
      </c>
      <c r="I51" s="66">
        <f>I50+E51</f>
        <v/>
      </c>
      <c r="J51" s="145">
        <f>IF(AND(H51=0,C51&gt;0),"&lt;&lt;&lt; PAID OFF","")</f>
        <v/>
      </c>
    </row>
    <row r="52">
      <c r="A52" s="79" t="n">
        <v>43</v>
      </c>
      <c r="B52" s="80">
        <f>EDATE(B51,1)</f>
        <v/>
      </c>
      <c r="C52" s="61">
        <f>H51</f>
        <v/>
      </c>
      <c r="D52" s="61">
        <f>IF(C52&lt;=0,0,MIN(Inputs!$C$28,C52+E52))</f>
        <v/>
      </c>
      <c r="E52" s="61">
        <f>IF(C52&lt;=0,0,C52*Inputs!$C$64/12)</f>
        <v/>
      </c>
      <c r="F52" s="61">
        <f>IF(C52&lt;=0,0,D52-E52)</f>
        <v/>
      </c>
      <c r="G52" s="61">
        <f>IF(C52&lt;=0,0,MIN($C$4,MAX(0,C52-F52)))</f>
        <v/>
      </c>
      <c r="H52" s="82">
        <f>MAX(0,C52-F52-G52)</f>
        <v/>
      </c>
      <c r="I52" s="61">
        <f>I51+E52</f>
        <v/>
      </c>
      <c r="J52" s="144">
        <f>IF(AND(H52=0,C52&gt;0),"&lt;&lt;&lt; PAID OFF","")</f>
        <v/>
      </c>
    </row>
    <row r="53">
      <c r="A53" s="84" t="n">
        <v>44</v>
      </c>
      <c r="B53" s="85">
        <f>EDATE(B52,1)</f>
        <v/>
      </c>
      <c r="C53" s="66">
        <f>H52</f>
        <v/>
      </c>
      <c r="D53" s="66">
        <f>IF(C53&lt;=0,0,MIN(Inputs!$C$28,C53+E53))</f>
        <v/>
      </c>
      <c r="E53" s="66">
        <f>IF(C53&lt;=0,0,C53*Inputs!$C$64/12)</f>
        <v/>
      </c>
      <c r="F53" s="66">
        <f>IF(C53&lt;=0,0,D53-E53)</f>
        <v/>
      </c>
      <c r="G53" s="66">
        <f>IF(C53&lt;=0,0,MIN($C$4,MAX(0,C53-F53)))</f>
        <v/>
      </c>
      <c r="H53" s="87">
        <f>MAX(0,C53-F53-G53)</f>
        <v/>
      </c>
      <c r="I53" s="66">
        <f>I52+E53</f>
        <v/>
      </c>
      <c r="J53" s="145">
        <f>IF(AND(H53=0,C53&gt;0),"&lt;&lt;&lt; PAID OFF","")</f>
        <v/>
      </c>
    </row>
    <row r="54">
      <c r="A54" s="79" t="n">
        <v>45</v>
      </c>
      <c r="B54" s="80">
        <f>EDATE(B53,1)</f>
        <v/>
      </c>
      <c r="C54" s="61">
        <f>H53</f>
        <v/>
      </c>
      <c r="D54" s="61">
        <f>IF(C54&lt;=0,0,MIN(Inputs!$C$28,C54+E54))</f>
        <v/>
      </c>
      <c r="E54" s="61">
        <f>IF(C54&lt;=0,0,C54*Inputs!$C$64/12)</f>
        <v/>
      </c>
      <c r="F54" s="61">
        <f>IF(C54&lt;=0,0,D54-E54)</f>
        <v/>
      </c>
      <c r="G54" s="61">
        <f>IF(C54&lt;=0,0,MIN($C$4,MAX(0,C54-F54)))</f>
        <v/>
      </c>
      <c r="H54" s="82">
        <f>MAX(0,C54-F54-G54)</f>
        <v/>
      </c>
      <c r="I54" s="61">
        <f>I53+E54</f>
        <v/>
      </c>
      <c r="J54" s="144">
        <f>IF(AND(H54=0,C54&gt;0),"&lt;&lt;&lt; PAID OFF","")</f>
        <v/>
      </c>
    </row>
    <row r="55">
      <c r="A55" s="84" t="n">
        <v>46</v>
      </c>
      <c r="B55" s="85">
        <f>EDATE(B54,1)</f>
        <v/>
      </c>
      <c r="C55" s="66">
        <f>H54</f>
        <v/>
      </c>
      <c r="D55" s="66">
        <f>IF(C55&lt;=0,0,MIN(Inputs!$C$28,C55+E55))</f>
        <v/>
      </c>
      <c r="E55" s="66">
        <f>IF(C55&lt;=0,0,C55*Inputs!$C$64/12)</f>
        <v/>
      </c>
      <c r="F55" s="66">
        <f>IF(C55&lt;=0,0,D55-E55)</f>
        <v/>
      </c>
      <c r="G55" s="66">
        <f>IF(C55&lt;=0,0,MIN($C$4,MAX(0,C55-F55)))</f>
        <v/>
      </c>
      <c r="H55" s="87">
        <f>MAX(0,C55-F55-G55)</f>
        <v/>
      </c>
      <c r="I55" s="66">
        <f>I54+E55</f>
        <v/>
      </c>
      <c r="J55" s="145">
        <f>IF(AND(H55=0,C55&gt;0),"&lt;&lt;&lt; PAID OFF","")</f>
        <v/>
      </c>
    </row>
    <row r="56">
      <c r="A56" s="79" t="n">
        <v>47</v>
      </c>
      <c r="B56" s="80">
        <f>EDATE(B55,1)</f>
        <v/>
      </c>
      <c r="C56" s="61">
        <f>H55</f>
        <v/>
      </c>
      <c r="D56" s="61">
        <f>IF(C56&lt;=0,0,MIN(Inputs!$C$28,C56+E56))</f>
        <v/>
      </c>
      <c r="E56" s="61">
        <f>IF(C56&lt;=0,0,C56*Inputs!$C$64/12)</f>
        <v/>
      </c>
      <c r="F56" s="61">
        <f>IF(C56&lt;=0,0,D56-E56)</f>
        <v/>
      </c>
      <c r="G56" s="61">
        <f>IF(C56&lt;=0,0,MIN($C$4,MAX(0,C56-F56)))</f>
        <v/>
      </c>
      <c r="H56" s="82">
        <f>MAX(0,C56-F56-G56)</f>
        <v/>
      </c>
      <c r="I56" s="61">
        <f>I55+E56</f>
        <v/>
      </c>
      <c r="J56" s="144">
        <f>IF(AND(H56=0,C56&gt;0),"&lt;&lt;&lt; PAID OFF","")</f>
        <v/>
      </c>
    </row>
    <row r="57">
      <c r="A57" s="84" t="n">
        <v>48</v>
      </c>
      <c r="B57" s="85">
        <f>EDATE(B56,1)</f>
        <v/>
      </c>
      <c r="C57" s="66">
        <f>H56</f>
        <v/>
      </c>
      <c r="D57" s="66">
        <f>IF(C57&lt;=0,0,MIN(Inputs!$C$28,C57+E57))</f>
        <v/>
      </c>
      <c r="E57" s="66">
        <f>IF(C57&lt;=0,0,C57*Inputs!$C$64/12)</f>
        <v/>
      </c>
      <c r="F57" s="66">
        <f>IF(C57&lt;=0,0,D57-E57)</f>
        <v/>
      </c>
      <c r="G57" s="66">
        <f>IF(C57&lt;=0,0,MIN($C$4,MAX(0,C57-F57)))</f>
        <v/>
      </c>
      <c r="H57" s="87">
        <f>MAX(0,C57-F57-G57)</f>
        <v/>
      </c>
      <c r="I57" s="66">
        <f>I56+E57</f>
        <v/>
      </c>
      <c r="J57" s="145">
        <f>IF(AND(H57=0,C57&gt;0),"&lt;&lt;&lt; PAID OFF","")</f>
        <v/>
      </c>
    </row>
    <row r="58">
      <c r="A58" s="79" t="n">
        <v>49</v>
      </c>
      <c r="B58" s="80">
        <f>EDATE(B57,1)</f>
        <v/>
      </c>
      <c r="C58" s="61">
        <f>H57</f>
        <v/>
      </c>
      <c r="D58" s="61">
        <f>IF(C58&lt;=0,0,MIN(Inputs!$C$28,C58+E58))</f>
        <v/>
      </c>
      <c r="E58" s="61">
        <f>IF(C58&lt;=0,0,C58*Inputs!$C$64/12)</f>
        <v/>
      </c>
      <c r="F58" s="61">
        <f>IF(C58&lt;=0,0,D58-E58)</f>
        <v/>
      </c>
      <c r="G58" s="61">
        <f>IF(C58&lt;=0,0,MIN($C$4,MAX(0,C58-F58)))</f>
        <v/>
      </c>
      <c r="H58" s="82">
        <f>MAX(0,C58-F58-G58)</f>
        <v/>
      </c>
      <c r="I58" s="61">
        <f>I57+E58</f>
        <v/>
      </c>
      <c r="J58" s="144">
        <f>IF(AND(H58=0,C58&gt;0),"&lt;&lt;&lt; PAID OFF","")</f>
        <v/>
      </c>
    </row>
    <row r="59">
      <c r="A59" s="84" t="n">
        <v>50</v>
      </c>
      <c r="B59" s="85">
        <f>EDATE(B58,1)</f>
        <v/>
      </c>
      <c r="C59" s="66">
        <f>H58</f>
        <v/>
      </c>
      <c r="D59" s="66">
        <f>IF(C59&lt;=0,0,MIN(Inputs!$C$28,C59+E59))</f>
        <v/>
      </c>
      <c r="E59" s="66">
        <f>IF(C59&lt;=0,0,C59*Inputs!$C$64/12)</f>
        <v/>
      </c>
      <c r="F59" s="66">
        <f>IF(C59&lt;=0,0,D59-E59)</f>
        <v/>
      </c>
      <c r="G59" s="66">
        <f>IF(C59&lt;=0,0,MIN($C$4,MAX(0,C59-F59)))</f>
        <v/>
      </c>
      <c r="H59" s="87">
        <f>MAX(0,C59-F59-G59)</f>
        <v/>
      </c>
      <c r="I59" s="66">
        <f>I58+E59</f>
        <v/>
      </c>
      <c r="J59" s="145">
        <f>IF(AND(H59=0,C59&gt;0),"&lt;&lt;&lt; PAID OFF","")</f>
        <v/>
      </c>
    </row>
    <row r="60">
      <c r="A60" s="79" t="n">
        <v>51</v>
      </c>
      <c r="B60" s="80">
        <f>EDATE(B59,1)</f>
        <v/>
      </c>
      <c r="C60" s="61">
        <f>H59</f>
        <v/>
      </c>
      <c r="D60" s="61">
        <f>IF(C60&lt;=0,0,MIN(Inputs!$C$28,C60+E60))</f>
        <v/>
      </c>
      <c r="E60" s="61">
        <f>IF(C60&lt;=0,0,C60*Inputs!$C$64/12)</f>
        <v/>
      </c>
      <c r="F60" s="61">
        <f>IF(C60&lt;=0,0,D60-E60)</f>
        <v/>
      </c>
      <c r="G60" s="61">
        <f>IF(C60&lt;=0,0,MIN($C$4,MAX(0,C60-F60)))</f>
        <v/>
      </c>
      <c r="H60" s="82">
        <f>MAX(0,C60-F60-G60)</f>
        <v/>
      </c>
      <c r="I60" s="61">
        <f>I59+E60</f>
        <v/>
      </c>
      <c r="J60" s="144">
        <f>IF(AND(H60=0,C60&gt;0),"&lt;&lt;&lt; PAID OFF","")</f>
        <v/>
      </c>
    </row>
    <row r="61">
      <c r="A61" s="84" t="n">
        <v>52</v>
      </c>
      <c r="B61" s="85">
        <f>EDATE(B60,1)</f>
        <v/>
      </c>
      <c r="C61" s="66">
        <f>H60</f>
        <v/>
      </c>
      <c r="D61" s="66">
        <f>IF(C61&lt;=0,0,MIN(Inputs!$C$28,C61+E61))</f>
        <v/>
      </c>
      <c r="E61" s="66">
        <f>IF(C61&lt;=0,0,C61*Inputs!$C$64/12)</f>
        <v/>
      </c>
      <c r="F61" s="66">
        <f>IF(C61&lt;=0,0,D61-E61)</f>
        <v/>
      </c>
      <c r="G61" s="66">
        <f>IF(C61&lt;=0,0,MIN($C$4,MAX(0,C61-F61)))</f>
        <v/>
      </c>
      <c r="H61" s="87">
        <f>MAX(0,C61-F61-G61)</f>
        <v/>
      </c>
      <c r="I61" s="66">
        <f>I60+E61</f>
        <v/>
      </c>
      <c r="J61" s="145">
        <f>IF(AND(H61=0,C61&gt;0),"&lt;&lt;&lt; PAID OFF","")</f>
        <v/>
      </c>
    </row>
    <row r="62">
      <c r="A62" s="79" t="n">
        <v>53</v>
      </c>
      <c r="B62" s="80">
        <f>EDATE(B61,1)</f>
        <v/>
      </c>
      <c r="C62" s="61">
        <f>H61</f>
        <v/>
      </c>
      <c r="D62" s="61">
        <f>IF(C62&lt;=0,0,MIN(Inputs!$C$28,C62+E62))</f>
        <v/>
      </c>
      <c r="E62" s="61">
        <f>IF(C62&lt;=0,0,C62*Inputs!$C$64/12)</f>
        <v/>
      </c>
      <c r="F62" s="61">
        <f>IF(C62&lt;=0,0,D62-E62)</f>
        <v/>
      </c>
      <c r="G62" s="61">
        <f>IF(C62&lt;=0,0,MIN($C$4,MAX(0,C62-F62)))</f>
        <v/>
      </c>
      <c r="H62" s="82">
        <f>MAX(0,C62-F62-G62)</f>
        <v/>
      </c>
      <c r="I62" s="61">
        <f>I61+E62</f>
        <v/>
      </c>
      <c r="J62" s="144">
        <f>IF(AND(H62=0,C62&gt;0),"&lt;&lt;&lt; PAID OFF","")</f>
        <v/>
      </c>
    </row>
    <row r="63">
      <c r="A63" s="84" t="n">
        <v>54</v>
      </c>
      <c r="B63" s="85">
        <f>EDATE(B62,1)</f>
        <v/>
      </c>
      <c r="C63" s="66">
        <f>H62</f>
        <v/>
      </c>
      <c r="D63" s="66">
        <f>IF(C63&lt;=0,0,MIN(Inputs!$C$28,C63+E63))</f>
        <v/>
      </c>
      <c r="E63" s="66">
        <f>IF(C63&lt;=0,0,C63*Inputs!$C$64/12)</f>
        <v/>
      </c>
      <c r="F63" s="66">
        <f>IF(C63&lt;=0,0,D63-E63)</f>
        <v/>
      </c>
      <c r="G63" s="66">
        <f>IF(C63&lt;=0,0,MIN($C$4,MAX(0,C63-F63)))</f>
        <v/>
      </c>
      <c r="H63" s="87">
        <f>MAX(0,C63-F63-G63)</f>
        <v/>
      </c>
      <c r="I63" s="66">
        <f>I62+E63</f>
        <v/>
      </c>
      <c r="J63" s="145">
        <f>IF(AND(H63=0,C63&gt;0),"&lt;&lt;&lt; PAID OFF","")</f>
        <v/>
      </c>
    </row>
    <row r="64">
      <c r="A64" s="79" t="n">
        <v>55</v>
      </c>
      <c r="B64" s="80">
        <f>EDATE(B63,1)</f>
        <v/>
      </c>
      <c r="C64" s="61">
        <f>H63</f>
        <v/>
      </c>
      <c r="D64" s="61">
        <f>IF(C64&lt;=0,0,MIN(Inputs!$C$28,C64+E64))</f>
        <v/>
      </c>
      <c r="E64" s="61">
        <f>IF(C64&lt;=0,0,C64*Inputs!$C$64/12)</f>
        <v/>
      </c>
      <c r="F64" s="61">
        <f>IF(C64&lt;=0,0,D64-E64)</f>
        <v/>
      </c>
      <c r="G64" s="61">
        <f>IF(C64&lt;=0,0,MIN($C$4,MAX(0,C64-F64)))</f>
        <v/>
      </c>
      <c r="H64" s="82">
        <f>MAX(0,C64-F64-G64)</f>
        <v/>
      </c>
      <c r="I64" s="61">
        <f>I63+E64</f>
        <v/>
      </c>
      <c r="J64" s="144">
        <f>IF(AND(H64=0,C64&gt;0),"&lt;&lt;&lt; PAID OFF","")</f>
        <v/>
      </c>
    </row>
    <row r="65">
      <c r="A65" s="84" t="n">
        <v>56</v>
      </c>
      <c r="B65" s="85">
        <f>EDATE(B64,1)</f>
        <v/>
      </c>
      <c r="C65" s="66">
        <f>H64</f>
        <v/>
      </c>
      <c r="D65" s="66">
        <f>IF(C65&lt;=0,0,MIN(Inputs!$C$28,C65+E65))</f>
        <v/>
      </c>
      <c r="E65" s="66">
        <f>IF(C65&lt;=0,0,C65*Inputs!$C$64/12)</f>
        <v/>
      </c>
      <c r="F65" s="66">
        <f>IF(C65&lt;=0,0,D65-E65)</f>
        <v/>
      </c>
      <c r="G65" s="66">
        <f>IF(C65&lt;=0,0,MIN($C$4,MAX(0,C65-F65)))</f>
        <v/>
      </c>
      <c r="H65" s="87">
        <f>MAX(0,C65-F65-G65)</f>
        <v/>
      </c>
      <c r="I65" s="66">
        <f>I64+E65</f>
        <v/>
      </c>
      <c r="J65" s="145">
        <f>IF(AND(H65=0,C65&gt;0),"&lt;&lt;&lt; PAID OFF","")</f>
        <v/>
      </c>
    </row>
    <row r="66">
      <c r="A66" s="79" t="n">
        <v>57</v>
      </c>
      <c r="B66" s="80">
        <f>EDATE(B65,1)</f>
        <v/>
      </c>
      <c r="C66" s="61">
        <f>H65</f>
        <v/>
      </c>
      <c r="D66" s="61">
        <f>IF(C66&lt;=0,0,MIN(Inputs!$C$28,C66+E66))</f>
        <v/>
      </c>
      <c r="E66" s="61">
        <f>IF(C66&lt;=0,0,C66*Inputs!$C$64/12)</f>
        <v/>
      </c>
      <c r="F66" s="61">
        <f>IF(C66&lt;=0,0,D66-E66)</f>
        <v/>
      </c>
      <c r="G66" s="61">
        <f>IF(C66&lt;=0,0,MIN($C$4,MAX(0,C66-F66)))</f>
        <v/>
      </c>
      <c r="H66" s="82">
        <f>MAX(0,C66-F66-G66)</f>
        <v/>
      </c>
      <c r="I66" s="61">
        <f>I65+E66</f>
        <v/>
      </c>
      <c r="J66" s="144">
        <f>IF(AND(H66=0,C66&gt;0),"&lt;&lt;&lt; PAID OFF","")</f>
        <v/>
      </c>
    </row>
    <row r="67">
      <c r="A67" s="84" t="n">
        <v>58</v>
      </c>
      <c r="B67" s="85">
        <f>EDATE(B66,1)</f>
        <v/>
      </c>
      <c r="C67" s="66">
        <f>H66</f>
        <v/>
      </c>
      <c r="D67" s="66">
        <f>IF(C67&lt;=0,0,MIN(Inputs!$C$28,C67+E67))</f>
        <v/>
      </c>
      <c r="E67" s="66">
        <f>IF(C67&lt;=0,0,C67*Inputs!$C$64/12)</f>
        <v/>
      </c>
      <c r="F67" s="66">
        <f>IF(C67&lt;=0,0,D67-E67)</f>
        <v/>
      </c>
      <c r="G67" s="66">
        <f>IF(C67&lt;=0,0,MIN($C$4,MAX(0,C67-F67)))</f>
        <v/>
      </c>
      <c r="H67" s="87">
        <f>MAX(0,C67-F67-G67)</f>
        <v/>
      </c>
      <c r="I67" s="66">
        <f>I66+E67</f>
        <v/>
      </c>
      <c r="J67" s="145">
        <f>IF(AND(H67=0,C67&gt;0),"&lt;&lt;&lt; PAID OFF","")</f>
        <v/>
      </c>
    </row>
    <row r="68">
      <c r="A68" s="79" t="n">
        <v>59</v>
      </c>
      <c r="B68" s="80">
        <f>EDATE(B67,1)</f>
        <v/>
      </c>
      <c r="C68" s="61">
        <f>H67</f>
        <v/>
      </c>
      <c r="D68" s="61">
        <f>IF(C68&lt;=0,0,MIN(Inputs!$C$28,C68+E68))</f>
        <v/>
      </c>
      <c r="E68" s="61">
        <f>IF(C68&lt;=0,0,C68*Inputs!$C$64/12)</f>
        <v/>
      </c>
      <c r="F68" s="61">
        <f>IF(C68&lt;=0,0,D68-E68)</f>
        <v/>
      </c>
      <c r="G68" s="61">
        <f>IF(C68&lt;=0,0,MIN($C$4,MAX(0,C68-F68)))</f>
        <v/>
      </c>
      <c r="H68" s="82">
        <f>MAX(0,C68-F68-G68)</f>
        <v/>
      </c>
      <c r="I68" s="61">
        <f>I67+E68</f>
        <v/>
      </c>
      <c r="J68" s="144">
        <f>IF(AND(H68=0,C68&gt;0),"&lt;&lt;&lt; PAID OFF","")</f>
        <v/>
      </c>
    </row>
    <row r="69">
      <c r="A69" s="84" t="n">
        <v>60</v>
      </c>
      <c r="B69" s="85">
        <f>EDATE(B68,1)</f>
        <v/>
      </c>
      <c r="C69" s="66">
        <f>H68</f>
        <v/>
      </c>
      <c r="D69" s="66">
        <f>IF(C69&lt;=0,0,MIN(Inputs!$C$28,C69+E69))</f>
        <v/>
      </c>
      <c r="E69" s="66">
        <f>IF(C69&lt;=0,0,C69*Inputs!$C$64/12)</f>
        <v/>
      </c>
      <c r="F69" s="66">
        <f>IF(C69&lt;=0,0,D69-E69)</f>
        <v/>
      </c>
      <c r="G69" s="66">
        <f>IF(C69&lt;=0,0,MIN($C$4,MAX(0,C69-F69)))</f>
        <v/>
      </c>
      <c r="H69" s="87">
        <f>MAX(0,C69-F69-G69)</f>
        <v/>
      </c>
      <c r="I69" s="66">
        <f>I68+E69</f>
        <v/>
      </c>
      <c r="J69" s="145">
        <f>IF(AND(H69=0,C69&gt;0),"&lt;&lt;&lt; PAID OFF","")</f>
        <v/>
      </c>
    </row>
    <row r="70">
      <c r="A70" s="79" t="n">
        <v>61</v>
      </c>
      <c r="B70" s="80">
        <f>EDATE(B69,1)</f>
        <v/>
      </c>
      <c r="C70" s="61">
        <f>H69</f>
        <v/>
      </c>
      <c r="D70" s="61">
        <f>IF(C70&lt;=0,0,MIN(Inputs!$C$28,C70+E70))</f>
        <v/>
      </c>
      <c r="E70" s="61">
        <f>IF(C70&lt;=0,0,C70*Inputs!$C$64/12)</f>
        <v/>
      </c>
      <c r="F70" s="61">
        <f>IF(C70&lt;=0,0,D70-E70)</f>
        <v/>
      </c>
      <c r="G70" s="61">
        <f>IF(C70&lt;=0,0,MIN($C$4,MAX(0,C70-F70)))</f>
        <v/>
      </c>
      <c r="H70" s="82">
        <f>MAX(0,C70-F70-G70)</f>
        <v/>
      </c>
      <c r="I70" s="61">
        <f>I69+E70</f>
        <v/>
      </c>
      <c r="J70" s="144">
        <f>IF(AND(H70=0,C70&gt;0),"&lt;&lt;&lt; PAID OFF","")</f>
        <v/>
      </c>
    </row>
    <row r="71">
      <c r="A71" s="84" t="n">
        <v>62</v>
      </c>
      <c r="B71" s="85">
        <f>EDATE(B70,1)</f>
        <v/>
      </c>
      <c r="C71" s="66">
        <f>H70</f>
        <v/>
      </c>
      <c r="D71" s="66">
        <f>IF(C71&lt;=0,0,MIN(Inputs!$C$28,C71+E71))</f>
        <v/>
      </c>
      <c r="E71" s="66">
        <f>IF(C71&lt;=0,0,C71*Inputs!$C$64/12)</f>
        <v/>
      </c>
      <c r="F71" s="66">
        <f>IF(C71&lt;=0,0,D71-E71)</f>
        <v/>
      </c>
      <c r="G71" s="66">
        <f>IF(C71&lt;=0,0,MIN($C$4,MAX(0,C71-F71)))</f>
        <v/>
      </c>
      <c r="H71" s="87">
        <f>MAX(0,C71-F71-G71)</f>
        <v/>
      </c>
      <c r="I71" s="66">
        <f>I70+E71</f>
        <v/>
      </c>
      <c r="J71" s="145">
        <f>IF(AND(H71=0,C71&gt;0),"&lt;&lt;&lt; PAID OFF","")</f>
        <v/>
      </c>
    </row>
    <row r="72">
      <c r="A72" s="79" t="n">
        <v>63</v>
      </c>
      <c r="B72" s="80">
        <f>EDATE(B71,1)</f>
        <v/>
      </c>
      <c r="C72" s="61">
        <f>H71</f>
        <v/>
      </c>
      <c r="D72" s="61">
        <f>IF(C72&lt;=0,0,MIN(Inputs!$C$28,C72+E72))</f>
        <v/>
      </c>
      <c r="E72" s="61">
        <f>IF(C72&lt;=0,0,C72*Inputs!$C$64/12)</f>
        <v/>
      </c>
      <c r="F72" s="61">
        <f>IF(C72&lt;=0,0,D72-E72)</f>
        <v/>
      </c>
      <c r="G72" s="61">
        <f>IF(C72&lt;=0,0,MIN($C$4,MAX(0,C72-F72)))</f>
        <v/>
      </c>
      <c r="H72" s="82">
        <f>MAX(0,C72-F72-G72)</f>
        <v/>
      </c>
      <c r="I72" s="61">
        <f>I71+E72</f>
        <v/>
      </c>
      <c r="J72" s="144">
        <f>IF(AND(H72=0,C72&gt;0),"&lt;&lt;&lt; PAID OFF","")</f>
        <v/>
      </c>
    </row>
    <row r="73">
      <c r="A73" s="84" t="n">
        <v>64</v>
      </c>
      <c r="B73" s="85">
        <f>EDATE(B72,1)</f>
        <v/>
      </c>
      <c r="C73" s="66">
        <f>H72</f>
        <v/>
      </c>
      <c r="D73" s="66">
        <f>IF(C73&lt;=0,0,MIN(Inputs!$C$28,C73+E73))</f>
        <v/>
      </c>
      <c r="E73" s="66">
        <f>IF(C73&lt;=0,0,C73*Inputs!$C$64/12)</f>
        <v/>
      </c>
      <c r="F73" s="66">
        <f>IF(C73&lt;=0,0,D73-E73)</f>
        <v/>
      </c>
      <c r="G73" s="66">
        <f>IF(C73&lt;=0,0,MIN($C$4,MAX(0,C73-F73)))</f>
        <v/>
      </c>
      <c r="H73" s="87">
        <f>MAX(0,C73-F73-G73)</f>
        <v/>
      </c>
      <c r="I73" s="66">
        <f>I72+E73</f>
        <v/>
      </c>
      <c r="J73" s="145">
        <f>IF(AND(H73=0,C73&gt;0),"&lt;&lt;&lt; PAID OFF","")</f>
        <v/>
      </c>
    </row>
    <row r="74">
      <c r="A74" s="79" t="n">
        <v>65</v>
      </c>
      <c r="B74" s="80">
        <f>EDATE(B73,1)</f>
        <v/>
      </c>
      <c r="C74" s="61">
        <f>H73</f>
        <v/>
      </c>
      <c r="D74" s="61">
        <f>IF(C74&lt;=0,0,MIN(Inputs!$C$28,C74+E74))</f>
        <v/>
      </c>
      <c r="E74" s="61">
        <f>IF(C74&lt;=0,0,C74*Inputs!$C$64/12)</f>
        <v/>
      </c>
      <c r="F74" s="61">
        <f>IF(C74&lt;=0,0,D74-E74)</f>
        <v/>
      </c>
      <c r="G74" s="61">
        <f>IF(C74&lt;=0,0,MIN($C$4,MAX(0,C74-F74)))</f>
        <v/>
      </c>
      <c r="H74" s="82">
        <f>MAX(0,C74-F74-G74)</f>
        <v/>
      </c>
      <c r="I74" s="61">
        <f>I73+E74</f>
        <v/>
      </c>
      <c r="J74" s="144">
        <f>IF(AND(H74=0,C74&gt;0),"&lt;&lt;&lt; PAID OFF","")</f>
        <v/>
      </c>
    </row>
    <row r="75">
      <c r="A75" s="84" t="n">
        <v>66</v>
      </c>
      <c r="B75" s="85">
        <f>EDATE(B74,1)</f>
        <v/>
      </c>
      <c r="C75" s="66">
        <f>H74</f>
        <v/>
      </c>
      <c r="D75" s="66">
        <f>IF(C75&lt;=0,0,MIN(Inputs!$C$28,C75+E75))</f>
        <v/>
      </c>
      <c r="E75" s="66">
        <f>IF(C75&lt;=0,0,C75*Inputs!$C$64/12)</f>
        <v/>
      </c>
      <c r="F75" s="66">
        <f>IF(C75&lt;=0,0,D75-E75)</f>
        <v/>
      </c>
      <c r="G75" s="66">
        <f>IF(C75&lt;=0,0,MIN($C$4,MAX(0,C75-F75)))</f>
        <v/>
      </c>
      <c r="H75" s="87">
        <f>MAX(0,C75-F75-G75)</f>
        <v/>
      </c>
      <c r="I75" s="66">
        <f>I74+E75</f>
        <v/>
      </c>
      <c r="J75" s="145">
        <f>IF(AND(H75=0,C75&gt;0),"&lt;&lt;&lt; PAID OFF","")</f>
        <v/>
      </c>
    </row>
    <row r="76">
      <c r="A76" s="79" t="n">
        <v>67</v>
      </c>
      <c r="B76" s="80">
        <f>EDATE(B75,1)</f>
        <v/>
      </c>
      <c r="C76" s="61">
        <f>H75</f>
        <v/>
      </c>
      <c r="D76" s="61">
        <f>IF(C76&lt;=0,0,MIN(Inputs!$C$28,C76+E76))</f>
        <v/>
      </c>
      <c r="E76" s="61">
        <f>IF(C76&lt;=0,0,C76*Inputs!$C$64/12)</f>
        <v/>
      </c>
      <c r="F76" s="61">
        <f>IF(C76&lt;=0,0,D76-E76)</f>
        <v/>
      </c>
      <c r="G76" s="61">
        <f>IF(C76&lt;=0,0,MIN($C$4,MAX(0,C76-F76)))</f>
        <v/>
      </c>
      <c r="H76" s="82">
        <f>MAX(0,C76-F76-G76)</f>
        <v/>
      </c>
      <c r="I76" s="61">
        <f>I75+E76</f>
        <v/>
      </c>
      <c r="J76" s="144">
        <f>IF(AND(H76=0,C76&gt;0),"&lt;&lt;&lt; PAID OFF","")</f>
        <v/>
      </c>
    </row>
    <row r="77">
      <c r="A77" s="84" t="n">
        <v>68</v>
      </c>
      <c r="B77" s="85">
        <f>EDATE(B76,1)</f>
        <v/>
      </c>
      <c r="C77" s="66">
        <f>H76</f>
        <v/>
      </c>
      <c r="D77" s="66">
        <f>IF(C77&lt;=0,0,MIN(Inputs!$C$28,C77+E77))</f>
        <v/>
      </c>
      <c r="E77" s="66">
        <f>IF(C77&lt;=0,0,C77*Inputs!$C$64/12)</f>
        <v/>
      </c>
      <c r="F77" s="66">
        <f>IF(C77&lt;=0,0,D77-E77)</f>
        <v/>
      </c>
      <c r="G77" s="66">
        <f>IF(C77&lt;=0,0,MIN($C$4,MAX(0,C77-F77)))</f>
        <v/>
      </c>
      <c r="H77" s="87">
        <f>MAX(0,C77-F77-G77)</f>
        <v/>
      </c>
      <c r="I77" s="66">
        <f>I76+E77</f>
        <v/>
      </c>
      <c r="J77" s="145">
        <f>IF(AND(H77=0,C77&gt;0),"&lt;&lt;&lt; PAID OFF","")</f>
        <v/>
      </c>
    </row>
    <row r="78">
      <c r="A78" s="79" t="n">
        <v>69</v>
      </c>
      <c r="B78" s="80">
        <f>EDATE(B77,1)</f>
        <v/>
      </c>
      <c r="C78" s="61">
        <f>H77</f>
        <v/>
      </c>
      <c r="D78" s="61">
        <f>IF(C78&lt;=0,0,MIN(Inputs!$C$28,C78+E78))</f>
        <v/>
      </c>
      <c r="E78" s="61">
        <f>IF(C78&lt;=0,0,C78*Inputs!$C$64/12)</f>
        <v/>
      </c>
      <c r="F78" s="61">
        <f>IF(C78&lt;=0,0,D78-E78)</f>
        <v/>
      </c>
      <c r="G78" s="61">
        <f>IF(C78&lt;=0,0,MIN($C$4,MAX(0,C78-F78)))</f>
        <v/>
      </c>
      <c r="H78" s="82">
        <f>MAX(0,C78-F78-G78)</f>
        <v/>
      </c>
      <c r="I78" s="61">
        <f>I77+E78</f>
        <v/>
      </c>
      <c r="J78" s="144">
        <f>IF(AND(H78=0,C78&gt;0),"&lt;&lt;&lt; PAID OFF","")</f>
        <v/>
      </c>
    </row>
    <row r="79">
      <c r="A79" s="84" t="n">
        <v>70</v>
      </c>
      <c r="B79" s="85">
        <f>EDATE(B78,1)</f>
        <v/>
      </c>
      <c r="C79" s="66">
        <f>H78</f>
        <v/>
      </c>
      <c r="D79" s="66">
        <f>IF(C79&lt;=0,0,MIN(Inputs!$C$28,C79+E79))</f>
        <v/>
      </c>
      <c r="E79" s="66">
        <f>IF(C79&lt;=0,0,C79*Inputs!$C$64/12)</f>
        <v/>
      </c>
      <c r="F79" s="66">
        <f>IF(C79&lt;=0,0,D79-E79)</f>
        <v/>
      </c>
      <c r="G79" s="66">
        <f>IF(C79&lt;=0,0,MIN($C$4,MAX(0,C79-F79)))</f>
        <v/>
      </c>
      <c r="H79" s="87">
        <f>MAX(0,C79-F79-G79)</f>
        <v/>
      </c>
      <c r="I79" s="66">
        <f>I78+E79</f>
        <v/>
      </c>
      <c r="J79" s="145">
        <f>IF(AND(H79=0,C79&gt;0),"&lt;&lt;&lt; PAID OFF","")</f>
        <v/>
      </c>
    </row>
    <row r="80">
      <c r="A80" s="79" t="n">
        <v>71</v>
      </c>
      <c r="B80" s="80">
        <f>EDATE(B79,1)</f>
        <v/>
      </c>
      <c r="C80" s="61">
        <f>H79</f>
        <v/>
      </c>
      <c r="D80" s="61">
        <f>IF(C80&lt;=0,0,MIN(Inputs!$C$28,C80+E80))</f>
        <v/>
      </c>
      <c r="E80" s="61">
        <f>IF(C80&lt;=0,0,C80*Inputs!$C$64/12)</f>
        <v/>
      </c>
      <c r="F80" s="61">
        <f>IF(C80&lt;=0,0,D80-E80)</f>
        <v/>
      </c>
      <c r="G80" s="61">
        <f>IF(C80&lt;=0,0,MIN($C$4,MAX(0,C80-F80)))</f>
        <v/>
      </c>
      <c r="H80" s="82">
        <f>MAX(0,C80-F80-G80)</f>
        <v/>
      </c>
      <c r="I80" s="61">
        <f>I79+E80</f>
        <v/>
      </c>
      <c r="J80" s="144">
        <f>IF(AND(H80=0,C80&gt;0),"&lt;&lt;&lt; PAID OFF","")</f>
        <v/>
      </c>
    </row>
    <row r="81">
      <c r="A81" s="84" t="n">
        <v>72</v>
      </c>
      <c r="B81" s="85">
        <f>EDATE(B80,1)</f>
        <v/>
      </c>
      <c r="C81" s="66">
        <f>H80</f>
        <v/>
      </c>
      <c r="D81" s="66">
        <f>IF(C81&lt;=0,0,MIN(Inputs!$C$28,C81+E81))</f>
        <v/>
      </c>
      <c r="E81" s="66">
        <f>IF(C81&lt;=0,0,C81*Inputs!$C$64/12)</f>
        <v/>
      </c>
      <c r="F81" s="66">
        <f>IF(C81&lt;=0,0,D81-E81)</f>
        <v/>
      </c>
      <c r="G81" s="66">
        <f>IF(C81&lt;=0,0,MIN($C$4,MAX(0,C81-F81)))</f>
        <v/>
      </c>
      <c r="H81" s="87">
        <f>MAX(0,C81-F81-G81)</f>
        <v/>
      </c>
      <c r="I81" s="66">
        <f>I80+E81</f>
        <v/>
      </c>
      <c r="J81" s="145">
        <f>IF(AND(H81=0,C81&gt;0),"&lt;&lt;&lt; PAID OFF","")</f>
        <v/>
      </c>
    </row>
    <row r="82">
      <c r="A82" s="79" t="n">
        <v>73</v>
      </c>
      <c r="B82" s="80">
        <f>EDATE(B81,1)</f>
        <v/>
      </c>
      <c r="C82" s="61">
        <f>H81</f>
        <v/>
      </c>
      <c r="D82" s="61">
        <f>IF(C82&lt;=0,0,MIN(Inputs!$C$28,C82+E82))</f>
        <v/>
      </c>
      <c r="E82" s="61">
        <f>IF(C82&lt;=0,0,C82*Inputs!$C$64/12)</f>
        <v/>
      </c>
      <c r="F82" s="61">
        <f>IF(C82&lt;=0,0,D82-E82)</f>
        <v/>
      </c>
      <c r="G82" s="61">
        <f>IF(C82&lt;=0,0,MIN($C$4,MAX(0,C82-F82)))</f>
        <v/>
      </c>
      <c r="H82" s="82">
        <f>MAX(0,C82-F82-G82)</f>
        <v/>
      </c>
      <c r="I82" s="61">
        <f>I81+E82</f>
        <v/>
      </c>
      <c r="J82" s="144">
        <f>IF(AND(H82=0,C82&gt;0),"&lt;&lt;&lt; PAID OFF","")</f>
        <v/>
      </c>
    </row>
    <row r="83">
      <c r="A83" s="84" t="n">
        <v>74</v>
      </c>
      <c r="B83" s="85">
        <f>EDATE(B82,1)</f>
        <v/>
      </c>
      <c r="C83" s="66">
        <f>H82</f>
        <v/>
      </c>
      <c r="D83" s="66">
        <f>IF(C83&lt;=0,0,MIN(Inputs!$C$28,C83+E83))</f>
        <v/>
      </c>
      <c r="E83" s="66">
        <f>IF(C83&lt;=0,0,C83*Inputs!$C$64/12)</f>
        <v/>
      </c>
      <c r="F83" s="66">
        <f>IF(C83&lt;=0,0,D83-E83)</f>
        <v/>
      </c>
      <c r="G83" s="66">
        <f>IF(C83&lt;=0,0,MIN($C$4,MAX(0,C83-F83)))</f>
        <v/>
      </c>
      <c r="H83" s="87">
        <f>MAX(0,C83-F83-G83)</f>
        <v/>
      </c>
      <c r="I83" s="66">
        <f>I82+E83</f>
        <v/>
      </c>
      <c r="J83" s="145">
        <f>IF(AND(H83=0,C83&gt;0),"&lt;&lt;&lt; PAID OFF","")</f>
        <v/>
      </c>
    </row>
    <row r="84">
      <c r="A84" s="79" t="n">
        <v>75</v>
      </c>
      <c r="B84" s="80">
        <f>EDATE(B83,1)</f>
        <v/>
      </c>
      <c r="C84" s="61">
        <f>H83</f>
        <v/>
      </c>
      <c r="D84" s="61">
        <f>IF(C84&lt;=0,0,MIN(Inputs!$C$28,C84+E84))</f>
        <v/>
      </c>
      <c r="E84" s="61">
        <f>IF(C84&lt;=0,0,C84*Inputs!$C$64/12)</f>
        <v/>
      </c>
      <c r="F84" s="61">
        <f>IF(C84&lt;=0,0,D84-E84)</f>
        <v/>
      </c>
      <c r="G84" s="61">
        <f>IF(C84&lt;=0,0,MIN($C$4,MAX(0,C84-F84)))</f>
        <v/>
      </c>
      <c r="H84" s="82">
        <f>MAX(0,C84-F84-G84)</f>
        <v/>
      </c>
      <c r="I84" s="61">
        <f>I83+E84</f>
        <v/>
      </c>
      <c r="J84" s="144">
        <f>IF(AND(H84=0,C84&gt;0),"&lt;&lt;&lt; PAID OFF","")</f>
        <v/>
      </c>
    </row>
    <row r="85">
      <c r="A85" s="84" t="n">
        <v>76</v>
      </c>
      <c r="B85" s="85">
        <f>EDATE(B84,1)</f>
        <v/>
      </c>
      <c r="C85" s="66">
        <f>H84</f>
        <v/>
      </c>
      <c r="D85" s="66">
        <f>IF(C85&lt;=0,0,MIN(Inputs!$C$28,C85+E85))</f>
        <v/>
      </c>
      <c r="E85" s="66">
        <f>IF(C85&lt;=0,0,C85*Inputs!$C$64/12)</f>
        <v/>
      </c>
      <c r="F85" s="66">
        <f>IF(C85&lt;=0,0,D85-E85)</f>
        <v/>
      </c>
      <c r="G85" s="66">
        <f>IF(C85&lt;=0,0,MIN($C$4,MAX(0,C85-F85)))</f>
        <v/>
      </c>
      <c r="H85" s="87">
        <f>MAX(0,C85-F85-G85)</f>
        <v/>
      </c>
      <c r="I85" s="66">
        <f>I84+E85</f>
        <v/>
      </c>
      <c r="J85" s="145">
        <f>IF(AND(H85=0,C85&gt;0),"&lt;&lt;&lt; PAID OFF","")</f>
        <v/>
      </c>
    </row>
    <row r="86">
      <c r="A86" s="79" t="n">
        <v>77</v>
      </c>
      <c r="B86" s="80">
        <f>EDATE(B85,1)</f>
        <v/>
      </c>
      <c r="C86" s="61">
        <f>H85</f>
        <v/>
      </c>
      <c r="D86" s="61">
        <f>IF(C86&lt;=0,0,MIN(Inputs!$C$28,C86+E86))</f>
        <v/>
      </c>
      <c r="E86" s="61">
        <f>IF(C86&lt;=0,0,C86*Inputs!$C$64/12)</f>
        <v/>
      </c>
      <c r="F86" s="61">
        <f>IF(C86&lt;=0,0,D86-E86)</f>
        <v/>
      </c>
      <c r="G86" s="61">
        <f>IF(C86&lt;=0,0,MIN($C$4,MAX(0,C86-F86)))</f>
        <v/>
      </c>
      <c r="H86" s="82">
        <f>MAX(0,C86-F86-G86)</f>
        <v/>
      </c>
      <c r="I86" s="61">
        <f>I85+E86</f>
        <v/>
      </c>
      <c r="J86" s="144">
        <f>IF(AND(H86=0,C86&gt;0),"&lt;&lt;&lt; PAID OFF","")</f>
        <v/>
      </c>
    </row>
    <row r="87">
      <c r="A87" s="84" t="n">
        <v>78</v>
      </c>
      <c r="B87" s="85">
        <f>EDATE(B86,1)</f>
        <v/>
      </c>
      <c r="C87" s="66">
        <f>H86</f>
        <v/>
      </c>
      <c r="D87" s="66">
        <f>IF(C87&lt;=0,0,MIN(Inputs!$C$28,C87+E87))</f>
        <v/>
      </c>
      <c r="E87" s="66">
        <f>IF(C87&lt;=0,0,C87*Inputs!$C$64/12)</f>
        <v/>
      </c>
      <c r="F87" s="66">
        <f>IF(C87&lt;=0,0,D87-E87)</f>
        <v/>
      </c>
      <c r="G87" s="66">
        <f>IF(C87&lt;=0,0,MIN($C$4,MAX(0,C87-F87)))</f>
        <v/>
      </c>
      <c r="H87" s="87">
        <f>MAX(0,C87-F87-G87)</f>
        <v/>
      </c>
      <c r="I87" s="66">
        <f>I86+E87</f>
        <v/>
      </c>
      <c r="J87" s="145">
        <f>IF(AND(H87=0,C87&gt;0),"&lt;&lt;&lt; PAID OFF","")</f>
        <v/>
      </c>
    </row>
    <row r="88">
      <c r="A88" s="79" t="n">
        <v>79</v>
      </c>
      <c r="B88" s="80">
        <f>EDATE(B87,1)</f>
        <v/>
      </c>
      <c r="C88" s="61">
        <f>H87</f>
        <v/>
      </c>
      <c r="D88" s="61">
        <f>IF(C88&lt;=0,0,MIN(Inputs!$C$28,C88+E88))</f>
        <v/>
      </c>
      <c r="E88" s="61">
        <f>IF(C88&lt;=0,0,C88*Inputs!$C$64/12)</f>
        <v/>
      </c>
      <c r="F88" s="61">
        <f>IF(C88&lt;=0,0,D88-E88)</f>
        <v/>
      </c>
      <c r="G88" s="61">
        <f>IF(C88&lt;=0,0,MIN($C$4,MAX(0,C88-F88)))</f>
        <v/>
      </c>
      <c r="H88" s="82">
        <f>MAX(0,C88-F88-G88)</f>
        <v/>
      </c>
      <c r="I88" s="61">
        <f>I87+E88</f>
        <v/>
      </c>
      <c r="J88" s="144">
        <f>IF(AND(H88=0,C88&gt;0),"&lt;&lt;&lt; PAID OFF","")</f>
        <v/>
      </c>
    </row>
    <row r="89">
      <c r="A89" s="84" t="n">
        <v>80</v>
      </c>
      <c r="B89" s="85">
        <f>EDATE(B88,1)</f>
        <v/>
      </c>
      <c r="C89" s="66">
        <f>H88</f>
        <v/>
      </c>
      <c r="D89" s="66">
        <f>IF(C89&lt;=0,0,MIN(Inputs!$C$28,C89+E89))</f>
        <v/>
      </c>
      <c r="E89" s="66">
        <f>IF(C89&lt;=0,0,C89*Inputs!$C$64/12)</f>
        <v/>
      </c>
      <c r="F89" s="66">
        <f>IF(C89&lt;=0,0,D89-E89)</f>
        <v/>
      </c>
      <c r="G89" s="66">
        <f>IF(C89&lt;=0,0,MIN($C$4,MAX(0,C89-F89)))</f>
        <v/>
      </c>
      <c r="H89" s="87">
        <f>MAX(0,C89-F89-G89)</f>
        <v/>
      </c>
      <c r="I89" s="66">
        <f>I88+E89</f>
        <v/>
      </c>
      <c r="J89" s="145">
        <f>IF(AND(H89=0,C89&gt;0),"&lt;&lt;&lt; PAID OFF","")</f>
        <v/>
      </c>
    </row>
    <row r="90">
      <c r="A90" s="79" t="n">
        <v>81</v>
      </c>
      <c r="B90" s="80">
        <f>EDATE(B89,1)</f>
        <v/>
      </c>
      <c r="C90" s="61">
        <f>H89</f>
        <v/>
      </c>
      <c r="D90" s="61">
        <f>IF(C90&lt;=0,0,MIN(Inputs!$C$28,C90+E90))</f>
        <v/>
      </c>
      <c r="E90" s="61">
        <f>IF(C90&lt;=0,0,C90*Inputs!$C$64/12)</f>
        <v/>
      </c>
      <c r="F90" s="61">
        <f>IF(C90&lt;=0,0,D90-E90)</f>
        <v/>
      </c>
      <c r="G90" s="61">
        <f>IF(C90&lt;=0,0,MIN($C$4,MAX(0,C90-F90)))</f>
        <v/>
      </c>
      <c r="H90" s="82">
        <f>MAX(0,C90-F90-G90)</f>
        <v/>
      </c>
      <c r="I90" s="61">
        <f>I89+E90</f>
        <v/>
      </c>
      <c r="J90" s="144">
        <f>IF(AND(H90=0,C90&gt;0),"&lt;&lt;&lt; PAID OFF","")</f>
        <v/>
      </c>
    </row>
    <row r="91">
      <c r="A91" s="84" t="n">
        <v>82</v>
      </c>
      <c r="B91" s="85">
        <f>EDATE(B90,1)</f>
        <v/>
      </c>
      <c r="C91" s="66">
        <f>H90</f>
        <v/>
      </c>
      <c r="D91" s="66">
        <f>IF(C91&lt;=0,0,MIN(Inputs!$C$28,C91+E91))</f>
        <v/>
      </c>
      <c r="E91" s="66">
        <f>IF(C91&lt;=0,0,C91*Inputs!$C$64/12)</f>
        <v/>
      </c>
      <c r="F91" s="66">
        <f>IF(C91&lt;=0,0,D91-E91)</f>
        <v/>
      </c>
      <c r="G91" s="66">
        <f>IF(C91&lt;=0,0,MIN($C$4,MAX(0,C91-F91)))</f>
        <v/>
      </c>
      <c r="H91" s="87">
        <f>MAX(0,C91-F91-G91)</f>
        <v/>
      </c>
      <c r="I91" s="66">
        <f>I90+E91</f>
        <v/>
      </c>
      <c r="J91" s="145">
        <f>IF(AND(H91=0,C91&gt;0),"&lt;&lt;&lt; PAID OFF","")</f>
        <v/>
      </c>
    </row>
    <row r="92">
      <c r="A92" s="79" t="n">
        <v>83</v>
      </c>
      <c r="B92" s="80">
        <f>EDATE(B91,1)</f>
        <v/>
      </c>
      <c r="C92" s="61">
        <f>H91</f>
        <v/>
      </c>
      <c r="D92" s="61">
        <f>IF(C92&lt;=0,0,MIN(Inputs!$C$28,C92+E92))</f>
        <v/>
      </c>
      <c r="E92" s="61">
        <f>IF(C92&lt;=0,0,C92*Inputs!$C$64/12)</f>
        <v/>
      </c>
      <c r="F92" s="61">
        <f>IF(C92&lt;=0,0,D92-E92)</f>
        <v/>
      </c>
      <c r="G92" s="61">
        <f>IF(C92&lt;=0,0,MIN($C$4,MAX(0,C92-F92)))</f>
        <v/>
      </c>
      <c r="H92" s="82">
        <f>MAX(0,C92-F92-G92)</f>
        <v/>
      </c>
      <c r="I92" s="61">
        <f>I91+E92</f>
        <v/>
      </c>
      <c r="J92" s="144">
        <f>IF(AND(H92=0,C92&gt;0),"&lt;&lt;&lt; PAID OFF","")</f>
        <v/>
      </c>
    </row>
    <row r="93">
      <c r="A93" s="84" t="n">
        <v>84</v>
      </c>
      <c r="B93" s="85">
        <f>EDATE(B92,1)</f>
        <v/>
      </c>
      <c r="C93" s="66">
        <f>H92</f>
        <v/>
      </c>
      <c r="D93" s="66">
        <f>IF(C93&lt;=0,0,MIN(Inputs!$C$28,C93+E93))</f>
        <v/>
      </c>
      <c r="E93" s="66">
        <f>IF(C93&lt;=0,0,C93*Inputs!$C$64/12)</f>
        <v/>
      </c>
      <c r="F93" s="66">
        <f>IF(C93&lt;=0,0,D93-E93)</f>
        <v/>
      </c>
      <c r="G93" s="66">
        <f>IF(C93&lt;=0,0,MIN($C$4,MAX(0,C93-F93)))</f>
        <v/>
      </c>
      <c r="H93" s="87">
        <f>MAX(0,C93-F93-G93)</f>
        <v/>
      </c>
      <c r="I93" s="66">
        <f>I92+E93</f>
        <v/>
      </c>
      <c r="J93" s="145">
        <f>IF(AND(H93=0,C93&gt;0),"&lt;&lt;&lt; PAID OFF","")</f>
        <v/>
      </c>
    </row>
  </sheetData>
  <mergeCells count="8">
    <mergeCell ref="A4:B4"/>
    <mergeCell ref="A1:J1"/>
    <mergeCell ref="D6:H6"/>
    <mergeCell ref="A8:J8"/>
    <mergeCell ref="D4:F4"/>
    <mergeCell ref="A5:B5"/>
    <mergeCell ref="A2:J2"/>
    <mergeCell ref="A6:B6"/>
  </mergeCells>
  <pageMargins left="0.75" right="0.75" top="1" bottom="1" header="0.5" footer="0.5"/>
</worksheet>
</file>

<file path=xl/worksheets/sheet14.xml><?xml version="1.0" encoding="utf-8"?>
<worksheet xmlns="http://schemas.openxmlformats.org/spreadsheetml/2006/main">
  <sheetPr>
    <tabColor rgb="001F4E79"/>
    <outlinePr summaryBelow="1" summaryRight="1"/>
    <pageSetUpPr fitToPage="1"/>
  </sheetPr>
  <dimension ref="A1:F28"/>
  <sheetViews>
    <sheetView showGridLines="0" workbookViewId="0">
      <pane ySplit="5" topLeftCell="A6" activePane="bottomLeft" state="frozen"/>
      <selection pane="bottomLeft" activeCell="A1" sqref="A1"/>
    </sheetView>
  </sheetViews>
  <sheetFormatPr baseColWidth="8" defaultRowHeight="15"/>
  <cols>
    <col width="4" customWidth="1" min="1" max="1"/>
    <col width="42" customWidth="1" min="2" max="2"/>
    <col width="16" customWidth="1" min="3" max="3"/>
    <col width="16" customWidth="1" min="4" max="4"/>
    <col width="4" customWidth="1" min="5" max="5"/>
    <col width="62" customWidth="1" min="6" max="6"/>
  </cols>
  <sheetData>
    <row r="1" ht="26" customHeight="1">
      <c r="A1" s="1" t="inlineStr">
        <is>
          <t>CREDIT BUILDER  —  you have 2 lines and you want a mortgage. Here is the plan.</t>
        </is>
      </c>
      <c r="B1" s="2" t="n"/>
      <c r="C1" s="2" t="n"/>
      <c r="D1" s="2" t="n"/>
      <c r="E1" s="2" t="n"/>
      <c r="F1" s="2" t="n"/>
    </row>
    <row r="2" ht="15" customHeight="1">
      <c r="A2" s="3" t="inlineStr">
        <is>
          <t>You asked whether to pay the card in full. Short answer: yes, always the full statement balance - but WHEN you pay changes your score.</t>
        </is>
      </c>
      <c r="B2" s="2" t="n"/>
      <c r="C2" s="2" t="n"/>
      <c r="D2" s="2" t="n"/>
      <c r="E2" s="2" t="n"/>
      <c r="F2" s="2" t="n"/>
    </row>
    <row r="5" ht="18" customHeight="1">
      <c r="A5" s="4" t="inlineStr">
        <is>
          <t>A.  WHERE YOU STAND</t>
        </is>
      </c>
      <c r="B5" s="5" t="n"/>
      <c r="C5" s="5" t="n"/>
      <c r="D5" s="5" t="n"/>
      <c r="E5" s="5" t="n"/>
      <c r="F5" s="5" t="n"/>
    </row>
    <row r="6" ht="30" customHeight="1">
      <c r="A6" s="55" t="inlineStr"/>
      <c r="B6" s="55" t="inlineStr">
        <is>
          <t>Metric</t>
        </is>
      </c>
      <c r="C6" s="55" t="inlineStr">
        <is>
          <t>Value</t>
        </is>
      </c>
      <c r="D6" s="55" t="inlineStr">
        <is>
          <t>Target</t>
        </is>
      </c>
      <c r="E6" s="55" t="inlineStr"/>
      <c r="F6" s="55" t="inlineStr">
        <is>
          <t>What it means</t>
        </is>
      </c>
    </row>
    <row r="7">
      <c r="B7" s="95" t="inlineStr">
        <is>
          <t>Open credit lines</t>
        </is>
      </c>
      <c r="C7" s="146">
        <f>Inputs!$C$69</f>
        <v/>
      </c>
      <c r="D7" s="147">
        <f>4</f>
        <v/>
      </c>
      <c r="F7" s="96" t="inlineStr">
        <is>
          <t>Two is thin. Scoring models want to see you handle several accounts at once. 4-5 is the sweet spot.</t>
        </is>
      </c>
    </row>
    <row r="8">
      <c r="B8" s="97" t="inlineStr">
        <is>
          <t>Credit card balance</t>
        </is>
      </c>
      <c r="C8" s="66">
        <f>Inputs!$C$65</f>
        <v/>
      </c>
      <c r="D8" s="114">
        <f>0</f>
        <v/>
      </c>
      <c r="F8" s="100" t="inlineStr">
        <is>
          <t>Paid in full every month.</t>
        </is>
      </c>
    </row>
    <row r="9">
      <c r="B9" s="95" t="inlineStr">
        <is>
          <t>Credit limit</t>
        </is>
      </c>
      <c r="C9" s="61">
        <f>Inputs!$C$67</f>
        <v/>
      </c>
      <c r="D9" s="114">
        <f>"higher"</f>
        <v/>
      </c>
      <c r="F9" s="96" t="inlineStr">
        <is>
          <t>Ask for an increase every 6 months. A higher limit lowers utilization with zero effort.</t>
        </is>
      </c>
    </row>
    <row r="10">
      <c r="B10" s="97" t="inlineStr">
        <is>
          <t>Utilization (reported)</t>
        </is>
      </c>
      <c r="C10" s="148">
        <f>IFERROR(Inputs!$C$65/Inputs!$C$67,0)</f>
        <v/>
      </c>
      <c r="D10" s="149">
        <f>0.09</f>
        <v/>
      </c>
      <c r="F10" s="100" t="inlineStr">
        <is>
          <t>THE lever. 30% of your FICO. Keep the REPORTED figure between 1% and 9%.</t>
        </is>
      </c>
    </row>
    <row r="11">
      <c r="B11" s="95" t="inlineStr">
        <is>
          <t>Installment loan</t>
        </is>
      </c>
      <c r="C11" s="110">
        <f>"Auto loan - open"</f>
        <v/>
      </c>
      <c r="D11" s="150">
        <f>"keep"</f>
        <v/>
      </c>
      <c r="F11" s="96" t="inlineStr">
        <is>
          <t>Your car loan is doing real work here: it gives you credit MIX, which is 10% of the score. Do not rush to kill it for score reasons.</t>
        </is>
      </c>
    </row>
    <row r="12">
      <c r="B12" s="97" t="inlineStr">
        <is>
          <t>Age of credit history</t>
        </is>
      </c>
      <c r="C12" s="99">
        <f>"~ thin / young"</f>
        <v/>
      </c>
      <c r="D12" s="150">
        <f>"time"</f>
        <v/>
      </c>
      <c r="F12" s="100" t="inlineStr">
        <is>
          <t>The one input you cannot buy. Which is why the authorized-user move below is worth so much.</t>
        </is>
      </c>
    </row>
    <row r="14" ht="18" customHeight="1">
      <c r="A14" s="4" t="inlineStr">
        <is>
          <t>B.  THE ANSWER TO YOUR QUESTION: PAY IN FULL - BUT PAY TWICE</t>
        </is>
      </c>
      <c r="B14" s="5" t="n"/>
      <c r="C14" s="5" t="n"/>
      <c r="D14" s="5" t="n"/>
      <c r="E14" s="5" t="n"/>
      <c r="F14" s="5" t="n"/>
    </row>
    <row r="15" ht="30" customHeight="1">
      <c r="B15" s="13" t="inlineStr">
        <is>
          <t>The myth</t>
        </is>
      </c>
      <c r="C15" s="7" t="inlineStr">
        <is>
          <t>Carrying a small balance 'builds credit'. It does not. It costs you 26.99% APR and does nothing for your score.</t>
        </is>
      </c>
      <c r="D15" s="151" t="n"/>
      <c r="E15" s="151" t="n"/>
      <c r="F15" s="152" t="n"/>
    </row>
    <row r="16" ht="30" customHeight="1">
      <c r="B16" s="13" t="inlineStr">
        <is>
          <t>The mechanic that matters</t>
        </is>
      </c>
      <c r="C16" s="7" t="inlineStr">
        <is>
          <t>Your issuer reports your balance to the bureaus on the STATEMENT CLOSING date, not the due date. Whatever the statement says is what the whole world sees for the next 30 days.</t>
        </is>
      </c>
      <c r="D16" s="151" t="n"/>
      <c r="E16" s="151" t="n"/>
      <c r="F16" s="152" t="n"/>
    </row>
    <row r="17" ht="30" customHeight="1">
      <c r="B17" s="13" t="inlineStr">
        <is>
          <t>So do this</t>
        </is>
      </c>
      <c r="C17" s="7" t="inlineStr">
        <is>
          <t>Payment 1: a few days BEFORE the statement closes, pay the balance down to roughly 5% of your limit. Payment 2: pay the remaining statement balance in full by the 7th. You pay zero interest and you report a perfect small balance.</t>
        </is>
      </c>
      <c r="D17" s="151" t="n"/>
      <c r="E17" s="151" t="n"/>
      <c r="F17" s="152" t="n"/>
    </row>
    <row r="18" ht="30" customHeight="1">
      <c r="B18" s="13" t="inlineStr">
        <is>
          <t>Why not report $0?</t>
        </is>
      </c>
      <c r="C18" s="7" t="inlineStr">
        <is>
          <t>All-zero can actually score slightly lower than a small positive balance. Let ONE card report 1-9% and everything else report zero. This is the 'AZEO' method and it is worth real points at application time.</t>
        </is>
      </c>
      <c r="D18" s="151" t="n"/>
      <c r="E18" s="151" t="n"/>
      <c r="F18" s="152" t="n"/>
    </row>
    <row r="19" ht="30" customHeight="1">
      <c r="B19" s="13" t="inlineStr">
        <is>
          <t>On a $5,000 limit</t>
        </is>
      </c>
      <c r="C19" s="7" t="inlineStr">
        <is>
          <t>Let about $250 report. Then pay it off. That is the whole trick.</t>
        </is>
      </c>
      <c r="D19" s="151" t="n"/>
      <c r="E19" s="151" t="n"/>
      <c r="F19" s="152" t="n"/>
    </row>
    <row r="21" ht="18" customHeight="1">
      <c r="A21" s="4" t="inlineStr">
        <is>
          <t>C.  THE 24-MONTH SEQUENCE  (order matters - and there is a hard deadline)</t>
        </is>
      </c>
      <c r="B21" s="5" t="n"/>
      <c r="C21" s="5" t="n"/>
      <c r="D21" s="5" t="n"/>
      <c r="E21" s="5" t="n"/>
      <c r="F21" s="5" t="n"/>
    </row>
    <row r="22" ht="30" customHeight="1">
      <c r="A22" s="55" t="inlineStr"/>
      <c r="B22" s="55" t="inlineStr">
        <is>
          <t>When</t>
        </is>
      </c>
      <c r="C22" s="55" t="inlineStr">
        <is>
          <t>Action</t>
        </is>
      </c>
      <c r="D22" s="55" t="inlineStr"/>
      <c r="E22" s="55" t="inlineStr"/>
      <c r="F22" s="55" t="inlineStr">
        <is>
          <t>Why</t>
        </is>
      </c>
    </row>
    <row r="23" ht="30" customHeight="1">
      <c r="B23" s="9" t="inlineStr">
        <is>
          <t>Now - Oct 2026</t>
        </is>
      </c>
      <c r="C23" s="7" t="inlineStr">
        <is>
          <t>Ask your current issuer for a credit-limit increase.</t>
        </is>
      </c>
      <c r="D23" s="152" t="n"/>
      <c r="F23" s="96" t="inlineStr">
        <is>
          <t>Instant utilization improvement, usually a soft pull. Free points.</t>
        </is>
      </c>
    </row>
    <row r="24" ht="30" customHeight="1">
      <c r="B24" s="101" t="inlineStr">
        <is>
          <t>Now - Oct 2026</t>
        </is>
      </c>
      <c r="C24" s="153" t="inlineStr">
        <is>
          <t>Ask a parent to add you as an AUTHORIZED USER on their oldest, lowest-utilization card.</t>
        </is>
      </c>
      <c r="D24" s="152" t="n"/>
      <c r="F24" s="100" t="inlineStr">
        <is>
          <t>You inherit that card's full age and limit. Nothing else moves your score this fast, and you live at home - just ask.</t>
        </is>
      </c>
    </row>
    <row r="25" ht="30" customHeight="1">
      <c r="B25" s="9" t="inlineStr">
        <is>
          <t>Oct - Dec 2026</t>
        </is>
      </c>
      <c r="C25" s="7" t="inlineStr">
        <is>
          <t>Open card #2. Pick one that pays 3-4% on gas.</t>
        </is>
      </c>
      <c r="D25" s="152" t="n"/>
      <c r="F25" s="96" t="inlineStr">
        <is>
          <t>You spend ~$216/mo on fuel. At 3% that is ~$78/yr back, and it adds a third line.</t>
        </is>
      </c>
    </row>
    <row r="26" ht="30" customHeight="1">
      <c r="B26" s="101" t="inlineStr">
        <is>
          <t>Mar - Jun 2027</t>
        </is>
      </c>
      <c r="C26" s="153" t="inlineStr">
        <is>
          <t>Open card #3 (or a small credit-builder loan).</t>
        </is>
      </c>
      <c r="D26" s="152" t="n"/>
      <c r="F26" s="100" t="inlineStr">
        <is>
          <t>Gets you to 4-5 lines with 2+ years of history by the time you apply.</t>
        </is>
      </c>
    </row>
    <row r="27" ht="30" customHeight="1">
      <c r="B27" s="12" t="inlineStr">
        <is>
          <t>From ~Mar 2028</t>
        </is>
      </c>
      <c r="C27" s="7" t="inlineStr">
        <is>
          <t>STOP. No new accounts, no new inquiries, no new cars.</t>
        </is>
      </c>
      <c r="D27" s="152" t="n"/>
      <c r="F27" s="96" t="inlineStr">
        <is>
          <t>*** HARD RULE *** New accounts inside 12 months of a mortgage application lower your average account age and add inquiries, exactly when it costs the most. As a broker you already know what a 20-point drop does to pricing.</t>
        </is>
      </c>
    </row>
    <row r="28" ht="30" customHeight="1">
      <c r="B28" s="101" t="inlineStr">
        <is>
          <t>Always</t>
        </is>
      </c>
      <c r="C28" s="153" t="inlineStr">
        <is>
          <t>Never miss a payment by even one day.</t>
        </is>
      </c>
      <c r="D28" s="152" t="n"/>
      <c r="F28" s="100" t="inlineStr">
        <is>
          <t>Payment history is 35% of the score. One 30-day late can cost 60-100 points and takes 7 years to fall off. Autopay the minimum as a safety net, then pay in full manually.</t>
        </is>
      </c>
    </row>
  </sheetData>
  <mergeCells count="16">
    <mergeCell ref="A2:F2"/>
    <mergeCell ref="C18:F18"/>
    <mergeCell ref="C17:F17"/>
    <mergeCell ref="C24:D24"/>
    <mergeCell ref="A14:F14"/>
    <mergeCell ref="C25:D25"/>
    <mergeCell ref="A1:F1"/>
    <mergeCell ref="A5:F5"/>
    <mergeCell ref="C27:D27"/>
    <mergeCell ref="C26:D26"/>
    <mergeCell ref="C16:F16"/>
    <mergeCell ref="C28:D28"/>
    <mergeCell ref="C15:F15"/>
    <mergeCell ref="C19:F19"/>
    <mergeCell ref="A21:F21"/>
    <mergeCell ref="C23:D23"/>
  </mergeCells>
  <pageMargins left="0.75" right="0.75" top="1" bottom="1" header="0.5" footer="0.5"/>
</worksheet>
</file>

<file path=xl/worksheets/sheet15.xml><?xml version="1.0" encoding="utf-8"?>
<worksheet xmlns="http://schemas.openxmlformats.org/spreadsheetml/2006/main">
  <sheetPr>
    <tabColor rgb="00C00000"/>
    <outlinePr summaryBelow="1" summaryRight="1"/>
    <pageSetUpPr fitToPage="1"/>
  </sheetPr>
  <dimension ref="A1:G32"/>
  <sheetViews>
    <sheetView showGridLines="0" workbookViewId="0">
      <pane ySplit="5" topLeftCell="A6" activePane="bottomLeft" state="frozen"/>
      <selection pane="bottomLeft" activeCell="A1" sqref="A1"/>
    </sheetView>
  </sheetViews>
  <sheetFormatPr baseColWidth="8" defaultRowHeight="15"/>
  <cols>
    <col width="4" customWidth="1" min="1" max="1"/>
    <col width="40" customWidth="1" min="2" max="2"/>
    <col width="16" customWidth="1" min="3" max="3"/>
    <col width="16" customWidth="1" min="4" max="4"/>
    <col width="16" customWidth="1" min="5" max="5"/>
    <col width="4" customWidth="1" min="6" max="6"/>
    <col width="58" customWidth="1" min="7" max="7"/>
  </cols>
  <sheetData>
    <row r="1" ht="26" customHeight="1">
      <c r="A1" s="1" t="inlineStr">
        <is>
          <t>TAX RESERVE  —  the biggest unbudgeted number in your plan</t>
        </is>
      </c>
      <c r="B1" s="2" t="n"/>
      <c r="C1" s="2" t="n"/>
      <c r="D1" s="2" t="n"/>
      <c r="E1" s="2" t="n"/>
      <c r="F1" s="2" t="n"/>
      <c r="G1" s="2" t="n"/>
    </row>
    <row r="2" ht="15" customHeight="1">
      <c r="A2" s="3" t="inlineStr">
        <is>
          <t>If you are 1099, roughly 30 cents of every dollar you earn already belongs to someone else. Confirm your status on Inputs before trusting anything else in this workbook.</t>
        </is>
      </c>
      <c r="B2" s="2" t="n"/>
      <c r="C2" s="2" t="n"/>
      <c r="D2" s="2" t="n"/>
      <c r="E2" s="2" t="n"/>
      <c r="F2" s="2" t="n"/>
      <c r="G2" s="2" t="n"/>
    </row>
    <row r="5">
      <c r="B5" s="123" t="inlineStr">
        <is>
          <t>YOUR STATUS (from Inputs):</t>
        </is>
      </c>
      <c r="C5" s="154">
        <f>Inputs!$C$20</f>
        <v/>
      </c>
      <c r="D5" s="53">
        <f>IF(Inputs!$C$20="1099","You owe your own taxes. Everything below applies.","Your employer withholds. The reserve below is $0 - but so are your deductions.")</f>
        <v/>
      </c>
    </row>
    <row r="7" ht="18" customHeight="1">
      <c r="A7" s="4" t="inlineStr">
        <is>
          <t>A.  PROJECTED ANNUAL TAX  (on the active scenario)</t>
        </is>
      </c>
      <c r="B7" s="5" t="n"/>
      <c r="C7" s="5" t="n"/>
      <c r="D7" s="5" t="n"/>
      <c r="E7" s="5" t="n"/>
      <c r="F7" s="5" t="n"/>
      <c r="G7" s="5" t="n"/>
    </row>
    <row r="8" ht="30" customHeight="1">
      <c r="A8" s="55" t="inlineStr"/>
      <c r="B8" s="55" t="inlineStr">
        <is>
          <t>Line</t>
        </is>
      </c>
      <c r="C8" s="55" t="inlineStr">
        <is>
          <t>Amount</t>
        </is>
      </c>
      <c r="D8" s="55" t="inlineStr"/>
      <c r="E8" s="55" t="inlineStr"/>
      <c r="F8" s="55" t="inlineStr"/>
      <c r="G8" s="55" t="inlineStr">
        <is>
          <t>Notes</t>
        </is>
      </c>
    </row>
    <row r="9">
      <c r="B9" s="95" t="inlineStr">
        <is>
          <t>Gross income (draw + commission above it)</t>
        </is>
      </c>
      <c r="C9" s="61">
        <f>Inputs!$C$22+MAX(0,Inputs!$C$101*12-Inputs!$C$22)</f>
        <v/>
      </c>
      <c r="G9" s="96" t="inlineStr">
        <is>
          <t>Greater-Of basis. If your comp is Stacked, this understates income - change the toggle.</t>
        </is>
      </c>
    </row>
    <row r="10" ht="46" customHeight="1">
      <c r="B10" s="97" t="inlineStr">
        <is>
          <t>Less: business mileage deduction</t>
        </is>
      </c>
      <c r="C10" s="66">
        <f>-IF(Inputs!$C$20="1099",Inputs!$C$40*12*Inputs!$C$75,0)</f>
        <v/>
      </c>
      <c r="G10" s="100" t="inlineStr">
        <is>
          <t>*** THE BIGGEST ONE YOU ARE PROBABLY MISSING. *** 12,000 mi/yr at the IRS rate. Note this deduction is worth MORE than the fuel actually costs you - the rate covers depreciation, insurance and wear too. You must keep a contemporaneous mileage log (a free app does it via GPS). No log, no deduction.</t>
        </is>
      </c>
    </row>
    <row r="11">
      <c r="B11" s="95" t="inlineStr">
        <is>
          <t>Less: marketing / advertising</t>
        </is>
      </c>
      <c r="C11" s="61">
        <f>-IF(AND(Inputs!$C$20="1099",Inputs!$C$19="Self-funded"),Inputs!$C$34*12,0)</f>
        <v/>
      </c>
      <c r="G11" s="96" t="inlineStr">
        <is>
          <t>Fully deductible if you pay for it. If the company reimburses it, it is theirs to deduct, not yours.</t>
        </is>
      </c>
    </row>
    <row r="12">
      <c r="B12" s="97" t="inlineStr">
        <is>
          <t>Less: phone (business %)</t>
        </is>
      </c>
      <c r="C12" s="66">
        <f>-IF(Inputs!$C$20="1099",Inputs!$C$36*12*0.6,0)</f>
        <v/>
      </c>
      <c r="G12" s="100" t="inlineStr">
        <is>
          <t>Assumes 60% business use. Adjust with your CPA.</t>
        </is>
      </c>
    </row>
    <row r="13" ht="46" customHeight="1">
      <c r="B13" s="95" t="inlineStr">
        <is>
          <t>Less: other business expenses</t>
        </is>
      </c>
      <c r="C13" s="61">
        <f>-0</f>
        <v/>
      </c>
      <c r="G13" s="96" t="inlineStr">
        <is>
          <t>CRM, NMLS renewal, E&amp;O, association dues, CE, client gifts (capped at $25/person), home office. Track these - they are real money.</t>
        </is>
      </c>
    </row>
    <row r="14">
      <c r="B14" s="13">
        <f> NET SELF-EMPLOYMENT INCOME</f>
        <v/>
      </c>
      <c r="C14" s="51">
        <f>SUM(C9:C13)</f>
        <v/>
      </c>
      <c r="G14" s="100" t="inlineStr"/>
    </row>
    <row r="15">
      <c r="B15" s="95" t="inlineStr">
        <is>
          <t>Self-employment tax</t>
        </is>
      </c>
      <c r="C15" s="61">
        <f>-IF(Inputs!$C$20="1099",MAX(0,C14)*0.9235*Inputs!$C$71,0)</f>
        <v/>
      </c>
      <c r="G15" s="96" t="inlineStr">
        <is>
          <t>15.3% on 92.35% of net. Half of it is deductible against income tax.</t>
        </is>
      </c>
    </row>
    <row r="16">
      <c r="B16" s="97" t="inlineStr">
        <is>
          <t>Federal income tax (effective)</t>
        </is>
      </c>
      <c r="C16" s="66">
        <f>-IF(Inputs!$C$20="1099",MAX(0,C14)*Inputs!$C$72,0)</f>
        <v/>
      </c>
      <c r="G16" s="100" t="inlineStr">
        <is>
          <t>Estimate. A CPA will do better.</t>
        </is>
      </c>
    </row>
    <row r="17">
      <c r="B17" s="95" t="inlineStr">
        <is>
          <t>Maine income tax (effective)</t>
        </is>
      </c>
      <c r="C17" s="61">
        <f>-IF(Inputs!$C$20="1099",MAX(0,C14)*Inputs!$C$73,0)</f>
        <v/>
      </c>
      <c r="G17" s="96" t="inlineStr">
        <is>
          <t>Maine brackets: 5.8% / 6.75% / 7.15%.</t>
        </is>
      </c>
    </row>
    <row r="18">
      <c r="B18" s="12">
        <f> TOTAL TAX OWED</f>
        <v/>
      </c>
      <c r="C18" s="76">
        <f>-SUM(C15:C17)</f>
        <v/>
      </c>
      <c r="G18" s="100" t="inlineStr"/>
    </row>
    <row r="19">
      <c r="B19" s="13">
        <f> EFFECTIVE TAX RATE ON GROSS</f>
        <v/>
      </c>
      <c r="C19" s="155">
        <f>IFERROR(C18/C9,0)</f>
        <v/>
      </c>
      <c r="G19" s="96" t="inlineStr">
        <is>
          <t>This is the number to plan around, not the top bracket.</t>
        </is>
      </c>
    </row>
    <row r="20">
      <c r="B20" s="97" t="inlineStr">
        <is>
          <t>What you should be reserving per month</t>
        </is>
      </c>
      <c r="C20" s="66">
        <f>C18/12</f>
        <v/>
      </c>
      <c r="G20" s="100" t="inlineStr">
        <is>
          <t>Compare against the reserve rate you set on Inputs.</t>
        </is>
      </c>
    </row>
    <row r="22" ht="18" customHeight="1">
      <c r="A22" s="4" t="inlineStr">
        <is>
          <t>B.  QUARTERLY ESTIMATED PAYMENTS  (1099 only - these are hard deadlines)</t>
        </is>
      </c>
      <c r="B22" s="5" t="n"/>
      <c r="C22" s="5" t="n"/>
      <c r="D22" s="5" t="n"/>
      <c r="E22" s="5" t="n"/>
      <c r="F22" s="5" t="n"/>
      <c r="G22" s="5" t="n"/>
    </row>
    <row r="23" ht="30" customHeight="1">
      <c r="A23" s="55" t="inlineStr"/>
      <c r="B23" s="55" t="inlineStr">
        <is>
          <t>Quarter</t>
        </is>
      </c>
      <c r="C23" s="55" t="inlineStr">
        <is>
          <t>Covers</t>
        </is>
      </c>
      <c r="D23" s="55" t="inlineStr">
        <is>
          <t>Due date</t>
        </is>
      </c>
      <c r="E23" s="55" t="inlineStr">
        <is>
          <t>Amount</t>
        </is>
      </c>
      <c r="F23" s="55" t="inlineStr"/>
      <c r="G23" s="55" t="inlineStr">
        <is>
          <t>Penalty note</t>
        </is>
      </c>
    </row>
    <row r="24">
      <c r="B24" s="9" t="inlineStr">
        <is>
          <t>Q1 2027</t>
        </is>
      </c>
      <c r="C24" s="95" t="inlineStr">
        <is>
          <t>Jan 1 - Mar 31 2027</t>
        </is>
      </c>
      <c r="D24" s="56" t="n">
        <v>46492</v>
      </c>
      <c r="E24" s="51">
        <f>$C$18/4</f>
        <v/>
      </c>
      <c r="G24" s="29" t="inlineStr">
        <is>
          <t>Miss these and the IRS charges an underpayment penalty even if you pay in full in April. Safe harbour: pay 100% of last year's tax (110% if your AGI tops $150k) and you cannot be penalised, however big this year turns out.</t>
        </is>
      </c>
    </row>
    <row r="25">
      <c r="B25" s="101" t="inlineStr">
        <is>
          <t>Q2 2027</t>
        </is>
      </c>
      <c r="C25" s="97" t="inlineStr">
        <is>
          <t>Apr 1 - May 31 2027</t>
        </is>
      </c>
      <c r="D25" s="156" t="n">
        <v>46553</v>
      </c>
      <c r="E25" s="51">
        <f>$C$18/4</f>
        <v/>
      </c>
    </row>
    <row r="26">
      <c r="B26" s="9" t="inlineStr">
        <is>
          <t>Q3 2027</t>
        </is>
      </c>
      <c r="C26" s="95" t="inlineStr">
        <is>
          <t>Jun 1 - Aug 31 2027</t>
        </is>
      </c>
      <c r="D26" s="56" t="n">
        <v>46645</v>
      </c>
      <c r="E26" s="51">
        <f>$C$18/4</f>
        <v/>
      </c>
    </row>
    <row r="27">
      <c r="B27" s="101" t="inlineStr">
        <is>
          <t>Q4 2027</t>
        </is>
      </c>
      <c r="C27" s="97" t="inlineStr">
        <is>
          <t>Sep 1 - Dec 31 2027</t>
        </is>
      </c>
      <c r="D27" s="156" t="n">
        <v>46767</v>
      </c>
      <c r="E27" s="51">
        <f>$C$18/4</f>
        <v/>
      </c>
    </row>
    <row r="29" ht="18" customHeight="1">
      <c r="A29" s="4" t="inlineStr">
        <is>
          <t>C.  W-2 vs 1099  —  WHY THIS ONE QUESTION IS WORTH THOUSANDS</t>
        </is>
      </c>
      <c r="B29" s="5" t="n"/>
      <c r="C29" s="5" t="n"/>
      <c r="D29" s="5" t="n"/>
      <c r="E29" s="5" t="n"/>
      <c r="F29" s="5" t="n"/>
      <c r="G29" s="5" t="n"/>
    </row>
    <row r="30" ht="46" customHeight="1">
      <c r="B30" s="13" t="inlineStr">
        <is>
          <t>If W-2</t>
        </is>
      </c>
      <c r="C30" s="7" t="inlineStr">
        <is>
          <t>Taxes withheld automatically. Employer pays half your FICO... half your FICA (7.65%). BUT: you can deduct essentially NONE of your mileage or marketing as an employee. Simpler, safer, more expensive on the deduction side.</t>
        </is>
      </c>
      <c r="D30" s="151" t="n"/>
      <c r="E30" s="151" t="n"/>
      <c r="F30" s="151" t="n"/>
      <c r="G30" s="152" t="n"/>
    </row>
    <row r="31" ht="46" customHeight="1">
      <c r="B31" s="13" t="inlineStr">
        <is>
          <t>If 1099</t>
        </is>
      </c>
      <c r="C31" s="7" t="inlineStr">
        <is>
          <t>You pay the full 15.3% SE tax and must make quarterly payments. BUT: mileage, marketing, phone, home office and CE all come off the top, AND you may qualify for the 20% qualified business income deduction. With 12,000 miles a year, this usually wins.</t>
        </is>
      </c>
      <c r="D31" s="151" t="n"/>
      <c r="E31" s="151" t="n"/>
      <c r="F31" s="151" t="n"/>
      <c r="G31" s="152" t="n"/>
    </row>
    <row r="32" ht="46" customHeight="1">
      <c r="B32" s="13" t="inlineStr">
        <is>
          <t>What to do Monday</t>
        </is>
      </c>
      <c r="C32" s="7" t="inlineStr">
        <is>
          <t>Ask the owner, in writing: (1) W-2 or 1099? (2) Is the draw recoverable? (3) If I leave with a negative balance, do you pursue repayment? Get all three in one email and keep the reply.</t>
        </is>
      </c>
      <c r="D32" s="151" t="n"/>
      <c r="E32" s="151" t="n"/>
      <c r="F32" s="151" t="n"/>
      <c r="G32" s="152" t="n"/>
    </row>
  </sheetData>
  <mergeCells count="10">
    <mergeCell ref="C30:G30"/>
    <mergeCell ref="A1:G1"/>
    <mergeCell ref="C32:G32"/>
    <mergeCell ref="A22:G22"/>
    <mergeCell ref="A2:G2"/>
    <mergeCell ref="A29:G29"/>
    <mergeCell ref="A7:G7"/>
    <mergeCell ref="C31:G31"/>
    <mergeCell ref="D5:G5"/>
    <mergeCell ref="G24:G27"/>
  </mergeCells>
  <pageMargins left="0.75" right="0.75" top="1" bottom="1" header="0.5" footer="0.5"/>
</worksheet>
</file>

<file path=xl/worksheets/sheet16.xml><?xml version="1.0" encoding="utf-8"?>
<worksheet xmlns="http://schemas.openxmlformats.org/spreadsheetml/2006/main">
  <sheetPr>
    <tabColor rgb="001F4E79"/>
    <outlinePr summaryBelow="1" summaryRight="1"/>
    <pageSetUpPr fitToPage="1"/>
  </sheetPr>
  <dimension ref="A1:I22"/>
  <sheetViews>
    <sheetView showGridLines="0" workbookViewId="0">
      <pane ySplit="9" topLeftCell="A10" activePane="bottomLeft" state="frozen"/>
      <selection pane="bottomLeft" activeCell="A1" sqref="A1"/>
    </sheetView>
  </sheetViews>
  <sheetFormatPr baseColWidth="8" defaultRowHeight="15"/>
  <cols>
    <col width="4" customWidth="1" min="1" max="1"/>
    <col width="34" customWidth="1" min="2" max="2"/>
    <col width="14" customWidth="1" min="3" max="3"/>
    <col width="14" customWidth="1" min="4" max="4"/>
    <col width="14" customWidth="1" min="5" max="5"/>
    <col width="14" customWidth="1" min="6" max="6"/>
    <col width="14" customWidth="1" min="7" max="7"/>
    <col width="4" customWidth="1" min="8" max="8"/>
    <col width="52" customWidth="1" min="9" max="9"/>
  </cols>
  <sheetData>
    <row r="1" ht="26" customHeight="1">
      <c r="A1" s="1" t="inlineStr">
        <is>
          <t>RETIREMENT  —  you are 25 with $0 invested. This is your single biggest advantage.</t>
        </is>
      </c>
      <c r="B1" s="2" t="n"/>
      <c r="C1" s="2" t="n"/>
      <c r="D1" s="2" t="n"/>
      <c r="E1" s="2" t="n"/>
      <c r="F1" s="2" t="n"/>
      <c r="G1" s="2" t="n"/>
      <c r="H1" s="2" t="n"/>
      <c r="I1" s="2" t="n"/>
    </row>
    <row r="2" ht="15" customHeight="1">
      <c r="A2" s="3" t="inlineStr">
        <is>
          <t>Not because of the amount. Because of the number of years. Every year you delay costs more than the one before it.</t>
        </is>
      </c>
      <c r="B2" s="2" t="n"/>
      <c r="C2" s="2" t="n"/>
      <c r="D2" s="2" t="n"/>
      <c r="E2" s="2" t="n"/>
      <c r="F2" s="2" t="n"/>
      <c r="G2" s="2" t="n"/>
      <c r="H2" s="2" t="n"/>
      <c r="I2" s="2" t="n"/>
    </row>
    <row r="4">
      <c r="B4" s="26" t="inlineStr">
        <is>
          <t>Annual contribution (Roth IRA)</t>
        </is>
      </c>
      <c r="C4" s="157" t="n">
        <v>7000</v>
      </c>
      <c r="D4" s="53" t="inlineStr">
        <is>
          <t>&lt;- VERIFY the 2026 limit. It was $7,000 for 2025 and the IRS indexes it most years.</t>
        </is>
      </c>
    </row>
    <row r="5">
      <c r="B5" s="26" t="inlineStr">
        <is>
          <t>Expected annual return</t>
        </is>
      </c>
      <c r="C5" s="158" t="n">
        <v>0.08</v>
      </c>
      <c r="D5" s="53" t="inlineStr">
        <is>
          <t>Long-run US equity average is ~10% nominal; 8% is a deliberately conservative planning number.</t>
        </is>
      </c>
    </row>
    <row r="6">
      <c r="B6" s="26" t="inlineStr">
        <is>
          <t>Retirement age</t>
        </is>
      </c>
      <c r="C6" s="159" t="n">
        <v>65</v>
      </c>
      <c r="E6" s="46" t="inlineStr">
        <is>
          <t>VALUE AT 65 IF YOU START NOW:</t>
        </is>
      </c>
      <c r="G6" s="160">
        <f>FV(C5,C7,-C4,0,0)</f>
        <v/>
      </c>
    </row>
    <row r="7">
      <c r="B7" s="26" t="inlineStr">
        <is>
          <t>Years of compounding</t>
        </is>
      </c>
      <c r="C7" s="161">
        <f>C6-Inputs!$C$6</f>
        <v/>
      </c>
      <c r="E7" s="26" t="inlineStr">
        <is>
          <t>Of which YOUR money:</t>
        </is>
      </c>
      <c r="G7" s="102">
        <f>C4*C7</f>
        <v/>
      </c>
    </row>
    <row r="8">
      <c r="E8" s="26" t="inlineStr">
        <is>
          <t>...and growth (tax-free in a Roth):</t>
        </is>
      </c>
      <c r="G8" s="162">
        <f>G6-G7</f>
        <v/>
      </c>
    </row>
    <row r="9" ht="30" customHeight="1">
      <c r="A9" s="55" t="inlineStr"/>
      <c r="B9" s="55" t="inlineStr">
        <is>
          <t>If you start at age...</t>
        </is>
      </c>
      <c r="C9" s="55" t="inlineStr">
        <is>
          <t>Years to 65</t>
        </is>
      </c>
      <c r="D9" s="55" t="inlineStr">
        <is>
          <t>You contribute</t>
        </is>
      </c>
      <c r="E9" s="55" t="inlineStr">
        <is>
          <t>Value at 65</t>
        </is>
      </c>
      <c r="F9" s="55" t="inlineStr">
        <is>
          <t>Cost of waiting</t>
        </is>
      </c>
      <c r="G9" s="55" t="inlineStr"/>
      <c r="H9" s="55" t="inlineStr"/>
      <c r="I9" s="55" t="inlineStr">
        <is>
          <t>Note</t>
        </is>
      </c>
    </row>
    <row r="10">
      <c r="B10" s="163" t="n">
        <v>25</v>
      </c>
      <c r="C10" s="79">
        <f>$C$6-B10</f>
        <v/>
      </c>
      <c r="D10" s="102">
        <f>$C$4*C10</f>
        <v/>
      </c>
      <c r="E10" s="49">
        <f>FV($C$5,C10,-$C$4,0,0)</f>
        <v/>
      </c>
      <c r="F10" s="102">
        <f>$E$10-E10</f>
        <v/>
      </c>
      <c r="I10" s="29" t="inlineStr">
        <is>
          <t>Read the 'cost of waiting' column. Waiting ONE year - just until you feel more settled - is the most expensive year in the table, because the year you give up is the one that would have compounded the longest.</t>
        </is>
      </c>
    </row>
    <row r="11">
      <c r="B11" s="84" t="n">
        <v>26</v>
      </c>
      <c r="C11" s="84">
        <f>$C$6-B11</f>
        <v/>
      </c>
      <c r="D11" s="106">
        <f>$C$4*C11</f>
        <v/>
      </c>
      <c r="E11" s="164">
        <f>FV($C$5,C11,-$C$4,0,0)</f>
        <v/>
      </c>
      <c r="F11" s="165">
        <f>$E$10-E11</f>
        <v/>
      </c>
    </row>
    <row r="12">
      <c r="B12" s="79" t="n">
        <v>27</v>
      </c>
      <c r="C12" s="79">
        <f>$C$6-B12</f>
        <v/>
      </c>
      <c r="D12" s="102">
        <f>$C$4*C12</f>
        <v/>
      </c>
      <c r="E12" s="166">
        <f>FV($C$5,C12,-$C$4,0,0)</f>
        <v/>
      </c>
      <c r="F12" s="165">
        <f>$E$10-E12</f>
        <v/>
      </c>
    </row>
    <row r="13">
      <c r="B13" s="84" t="n">
        <v>28</v>
      </c>
      <c r="C13" s="84">
        <f>$C$6-B13</f>
        <v/>
      </c>
      <c r="D13" s="106">
        <f>$C$4*C13</f>
        <v/>
      </c>
      <c r="E13" s="164">
        <f>FV($C$5,C13,-$C$4,0,0)</f>
        <v/>
      </c>
      <c r="F13" s="165">
        <f>$E$10-E13</f>
        <v/>
      </c>
    </row>
    <row r="14">
      <c r="B14" s="79" t="n">
        <v>30</v>
      </c>
      <c r="C14" s="79">
        <f>$C$6-B14</f>
        <v/>
      </c>
      <c r="D14" s="102">
        <f>$C$4*C14</f>
        <v/>
      </c>
      <c r="E14" s="166">
        <f>FV($C$5,C14,-$C$4,0,0)</f>
        <v/>
      </c>
      <c r="F14" s="165">
        <f>$E$10-E14</f>
        <v/>
      </c>
    </row>
    <row r="15">
      <c r="B15" s="84" t="n">
        <v>35</v>
      </c>
      <c r="C15" s="84">
        <f>$C$6-B15</f>
        <v/>
      </c>
      <c r="D15" s="106">
        <f>$C$4*C15</f>
        <v/>
      </c>
      <c r="E15" s="164">
        <f>FV($C$5,C15,-$C$4,0,0)</f>
        <v/>
      </c>
      <c r="F15" s="165">
        <f>$E$10-E15</f>
        <v/>
      </c>
    </row>
    <row r="17" ht="18" customHeight="1">
      <c r="A17" s="4" t="inlineStr">
        <is>
          <t>WHICH ACCOUNT, IN WHICH ORDER</t>
        </is>
      </c>
      <c r="B17" s="5" t="n"/>
      <c r="C17" s="5" t="n"/>
      <c r="D17" s="5" t="n"/>
      <c r="E17" s="5" t="n"/>
      <c r="F17" s="5" t="n"/>
      <c r="G17" s="5" t="n"/>
      <c r="H17" s="5" t="n"/>
      <c r="I17" s="5" t="n"/>
    </row>
    <row r="18" ht="44" customHeight="1">
      <c r="B18" s="13" t="inlineStr">
        <is>
          <t>1. Employer 401(k) up to the match</t>
        </is>
      </c>
      <c r="C18" s="7" t="inlineStr">
        <is>
          <t>IF Baxter offers one. A match is a 50-100% instant return - nothing else comes close. If there is no plan, skip to step 2. Ask the owner.</t>
        </is>
      </c>
      <c r="D18" s="151" t="n"/>
      <c r="E18" s="151" t="n"/>
      <c r="F18" s="151" t="n"/>
      <c r="G18" s="151" t="n"/>
      <c r="H18" s="151" t="n"/>
      <c r="I18" s="152" t="n"/>
    </row>
    <row r="19" ht="44" customHeight="1">
      <c r="B19" s="13" t="inlineStr">
        <is>
          <t>2. Roth IRA - max it</t>
        </is>
      </c>
      <c r="C19" s="7" t="inlineStr">
        <is>
          <t>You are 25 in a low bracket. Pay tax now at ~12-22%, never again. Withdrawals in retirement are tax-free. This is the account for you.</t>
        </is>
      </c>
      <c r="D19" s="151" t="n"/>
      <c r="E19" s="151" t="n"/>
      <c r="F19" s="151" t="n"/>
      <c r="G19" s="151" t="n"/>
      <c r="H19" s="151" t="n"/>
      <c r="I19" s="152" t="n"/>
    </row>
    <row r="20" ht="44" customHeight="1">
      <c r="B20" s="13" t="inlineStr">
        <is>
          <t>3. If 1099: SEP-IRA or Solo 401(k)</t>
        </is>
      </c>
      <c r="C20" s="7" t="inlineStr">
        <is>
          <t>Self-employed plans let you shelter far more than $7,000 - a Solo 401(k) can take employee AND employer contributions. In a strong year this is how you cut a five-figure tax bill. Worth a CPA conversation once you are closing consistently.</t>
        </is>
      </c>
      <c r="D20" s="151" t="n"/>
      <c r="E20" s="151" t="n"/>
      <c r="F20" s="151" t="n"/>
      <c r="G20" s="151" t="n"/>
      <c r="H20" s="151" t="n"/>
      <c r="I20" s="152" t="n"/>
    </row>
    <row r="21" ht="44" customHeight="1">
      <c r="B21" s="13" t="inlineStr">
        <is>
          <t>What to buy inside it</t>
        </is>
      </c>
      <c r="C21" s="7" t="inlineStr">
        <is>
          <t>A single low-cost total-market or target-date index fund. Do not stock-pick. Money you need inside 3 years (the ring) never goes in here.</t>
        </is>
      </c>
      <c r="D21" s="151" t="n"/>
      <c r="E21" s="151" t="n"/>
      <c r="F21" s="151" t="n"/>
      <c r="G21" s="151" t="n"/>
      <c r="H21" s="151" t="n"/>
      <c r="I21" s="152" t="n"/>
    </row>
    <row r="22" ht="44" customHeight="1">
      <c r="B22" s="13" t="inlineStr">
        <is>
          <t>A Roth quirk worth knowing</t>
        </is>
      </c>
      <c r="C22" s="7" t="inlineStr">
        <is>
          <t>You can withdraw your CONTRIBUTIONS (not earnings) from a Roth at any time, tax and penalty free. It doubles as a deep backup emergency fund - which lowers the risk of maxing it early.</t>
        </is>
      </c>
      <c r="D22" s="151" t="n"/>
      <c r="E22" s="151" t="n"/>
      <c r="F22" s="151" t="n"/>
      <c r="G22" s="151" t="n"/>
      <c r="H22" s="151" t="n"/>
      <c r="I22" s="152" t="n"/>
    </row>
  </sheetData>
  <mergeCells count="11">
    <mergeCell ref="C22:I22"/>
    <mergeCell ref="A2:I2"/>
    <mergeCell ref="C18:I18"/>
    <mergeCell ref="D4:I4"/>
    <mergeCell ref="D5:I5"/>
    <mergeCell ref="C21:I21"/>
    <mergeCell ref="A1:I1"/>
    <mergeCell ref="A17:I17"/>
    <mergeCell ref="C20:I20"/>
    <mergeCell ref="I10:I15"/>
    <mergeCell ref="C19:I19"/>
  </mergeCells>
  <pageMargins left="0.75" right="0.75" top="1" bottom="1" header="0.5" footer="0.5"/>
</worksheet>
</file>

<file path=xl/worksheets/sheet17.xml><?xml version="1.0" encoding="utf-8"?>
<worksheet xmlns="http://schemas.openxmlformats.org/spreadsheetml/2006/main">
  <sheetPr>
    <tabColor rgb="00833C00"/>
    <outlinePr summaryBelow="1" summaryRight="1"/>
    <pageSetUpPr fitToPage="1"/>
  </sheetPr>
  <dimension ref="A1:J17"/>
  <sheetViews>
    <sheetView showGridLines="0" workbookViewId="0">
      <pane ySplit="6" topLeftCell="A7" activePane="bottomLeft" state="frozen"/>
      <selection pane="bottomLeft" activeCell="A1" sqref="A1"/>
    </sheetView>
  </sheetViews>
  <sheetFormatPr baseColWidth="8" defaultRowHeight="15"/>
  <cols>
    <col width="4" customWidth="1" min="1" max="1"/>
    <col width="28" customWidth="1" min="2" max="2"/>
    <col width="14" customWidth="1" min="3" max="3"/>
    <col width="13" customWidth="1" min="4" max="4"/>
    <col width="11" customWidth="1" min="5" max="5"/>
    <col width="14" customWidth="1" min="6" max="6"/>
    <col width="14" customWidth="1" min="7" max="7"/>
    <col width="14" customWidth="1" min="8" max="8"/>
    <col width="13" customWidth="1" min="9" max="9"/>
    <col width="50" customWidth="1" min="10" max="10"/>
  </cols>
  <sheetData>
    <row r="1" ht="26" customHeight="1">
      <c r="A1" s="1" t="inlineStr">
        <is>
          <t>GOAL TRACKER  —  four clocks running at once</t>
        </is>
      </c>
      <c r="B1" s="2" t="n"/>
      <c r="C1" s="2" t="n"/>
      <c r="D1" s="2" t="n"/>
      <c r="E1" s="2" t="n"/>
      <c r="F1" s="2" t="n"/>
      <c r="G1" s="2" t="n"/>
      <c r="H1" s="2" t="n"/>
      <c r="I1" s="2" t="n"/>
      <c r="J1" s="2" t="n"/>
    </row>
    <row r="2" ht="15" customHeight="1">
      <c r="A2" s="3" t="inlineStr">
        <is>
          <t>Ring in 2 years, house after that, emergency fund now, retirement forever. This sheet shows which ones actually fit.</t>
        </is>
      </c>
      <c r="B2" s="2" t="n"/>
      <c r="C2" s="2" t="n"/>
      <c r="D2" s="2" t="n"/>
      <c r="E2" s="2" t="n"/>
      <c r="F2" s="2" t="n"/>
      <c r="G2" s="2" t="n"/>
      <c r="H2" s="2" t="n"/>
      <c r="I2" s="2" t="n"/>
      <c r="J2" s="2" t="n"/>
    </row>
    <row r="6" ht="30" customHeight="1">
      <c r="A6" s="55" t="inlineStr"/>
      <c r="B6" s="55" t="inlineStr">
        <is>
          <t>Goal</t>
        </is>
      </c>
      <c r="C6" s="55" t="inlineStr">
        <is>
          <t>Target $</t>
        </is>
      </c>
      <c r="D6" s="55" t="inlineStr">
        <is>
          <t>Target date</t>
        </is>
      </c>
      <c r="E6" s="55" t="inlineStr">
        <is>
          <t>Months
left</t>
        </is>
      </c>
      <c r="F6" s="55" t="inlineStr">
        <is>
          <t>Balance
today</t>
        </is>
      </c>
      <c r="G6" s="55" t="inlineStr">
        <is>
          <t>Still
needed</t>
        </is>
      </c>
      <c r="H6" s="55" t="inlineStr">
        <is>
          <t>Needed
per month</t>
        </is>
      </c>
      <c r="I6" s="55" t="inlineStr">
        <is>
          <t>Model is
funding</t>
        </is>
      </c>
      <c r="J6" s="55" t="inlineStr">
        <is>
          <t>Reality check</t>
        </is>
      </c>
    </row>
    <row r="7" ht="32" customHeight="1">
      <c r="B7" s="9" t="inlineStr">
        <is>
          <t>Emergency fund (9 mo)</t>
        </is>
      </c>
      <c r="C7" s="61">
        <f>'Accounts'!$C$5</f>
        <v/>
      </c>
      <c r="D7" s="80">
        <f>Inputs!$C$7+365</f>
        <v/>
      </c>
      <c r="E7" s="79">
        <f>MAX(1,ROUND((D7-Inputs!$C$7)/30.44,0))</f>
        <v/>
      </c>
      <c r="F7" s="81">
        <f>Inputs!$C$53</f>
        <v/>
      </c>
      <c r="G7" s="61">
        <f>MAX(0,C7-F7)</f>
        <v/>
      </c>
      <c r="H7" s="51">
        <f>G7/E7</f>
        <v/>
      </c>
      <c r="I7" s="81">
        <f>'Accounts'!J9</f>
        <v/>
      </c>
      <c r="J7" s="96" t="inlineStr">
        <is>
          <t>Fund this before anything else. It is what stops a slow month becoming credit card debt.</t>
        </is>
      </c>
    </row>
    <row r="8" ht="32" customHeight="1">
      <c r="B8" s="101" t="inlineStr">
        <is>
          <t>Ring + proposal</t>
        </is>
      </c>
      <c r="C8" s="66">
        <f>Inputs!$C$78</f>
        <v/>
      </c>
      <c r="D8" s="85">
        <f>Inputs!$C$79</f>
        <v/>
      </c>
      <c r="E8" s="84">
        <f>MAX(1,ROUND((D8-Inputs!$C$7)/30.44,0))</f>
        <v/>
      </c>
      <c r="F8" s="86">
        <f>Inputs!$C$60</f>
        <v/>
      </c>
      <c r="G8" s="66">
        <f>MAX(0,C8-F8)</f>
        <v/>
      </c>
      <c r="H8" s="51">
        <f>G8/E8</f>
        <v/>
      </c>
      <c r="I8" s="86">
        <f>'Accounts'!V9</f>
        <v/>
      </c>
      <c r="J8" s="100" t="inlineStr">
        <is>
          <t>Cash only - never invest money you need inside three years. Open a separate named account so you cannot 'borrow' from it.</t>
        </is>
      </c>
    </row>
    <row r="9" ht="32" customHeight="1">
      <c r="B9" s="9" t="inlineStr">
        <is>
          <t>House down payment + closing</t>
        </is>
      </c>
      <c r="C9" s="61">
        <f>Inputs!$C$81*(Inputs!$C$82+Inputs!$C$83)</f>
        <v/>
      </c>
      <c r="D9" s="80">
        <f>Inputs!$C$84</f>
        <v/>
      </c>
      <c r="E9" s="79">
        <f>MAX(1,ROUND((D9-Inputs!$C$7)/30.44,0))</f>
        <v/>
      </c>
      <c r="F9" s="81">
        <f>0</f>
        <v/>
      </c>
      <c r="G9" s="61">
        <f>MAX(0,C9-F9)</f>
        <v/>
      </c>
      <c r="H9" s="51">
        <f>G9/E9</f>
        <v/>
      </c>
      <c r="I9" s="81">
        <f>'Accounts'!Y9</f>
        <v/>
      </c>
      <c r="J9" s="96" t="inlineStr">
        <is>
          <t>5% down plus 3% costs on a $400k house. FHA at 3.5% down cuts this a lot - see 'Home Purchase'.</t>
        </is>
      </c>
    </row>
    <row r="10" ht="32" customHeight="1">
      <c r="B10" s="101" t="inlineStr">
        <is>
          <t>Roth IRA (this year)</t>
        </is>
      </c>
      <c r="C10" s="66">
        <f>'Retirement'!$C$4</f>
        <v/>
      </c>
      <c r="D10" s="85">
        <f>DATE(YEAR(Inputs!$C$7)+1,4,15)</f>
        <v/>
      </c>
      <c r="E10" s="84">
        <f>MAX(1,ROUND((D10-Inputs!$C$7)/30.44,0))</f>
        <v/>
      </c>
      <c r="F10" s="86">
        <f>Inputs!$C$61</f>
        <v/>
      </c>
      <c r="G10" s="66">
        <f>MAX(0,C10-F10)</f>
        <v/>
      </c>
      <c r="H10" s="51">
        <f>G10/E10</f>
        <v/>
      </c>
      <c r="I10" s="86">
        <f>'Accounts'!R9</f>
        <v/>
      </c>
      <c r="J10" s="100" t="inlineStr">
        <is>
          <t>You have until tax day of the following year to fund the prior year's Roth. That is a real extra runway.</t>
        </is>
      </c>
    </row>
    <row r="11" ht="32" customHeight="1">
      <c r="B11" s="9" t="inlineStr">
        <is>
          <t>Travel</t>
        </is>
      </c>
      <c r="C11" s="61">
        <f>Inputs!$C$80</f>
        <v/>
      </c>
      <c r="D11" s="80">
        <f>Inputs!$C$7+365</f>
        <v/>
      </c>
      <c r="E11" s="79">
        <f>MAX(1,ROUND((D11-Inputs!$C$7)/30.44,0))</f>
        <v/>
      </c>
      <c r="F11" s="81">
        <f>0</f>
        <v/>
      </c>
      <c r="G11" s="61">
        <f>MAX(0,C11-F11)</f>
        <v/>
      </c>
      <c r="H11" s="51">
        <f>G11/E11</f>
        <v/>
      </c>
      <c r="I11" s="81">
        <f>'Accounts'!V9*0</f>
        <v/>
      </c>
      <c r="J11" s="96" t="inlineStr">
        <is>
          <t>Shares the special-savings account with the ring. Decide which comes first - you probably cannot do both AND the house.</t>
        </is>
      </c>
    </row>
    <row r="12" ht="32" customHeight="1">
      <c r="B12" s="101" t="inlineStr">
        <is>
          <t>Auto loan payoff</t>
        </is>
      </c>
      <c r="C12" s="66">
        <f>0</f>
        <v/>
      </c>
      <c r="D12" s="85">
        <f>'Car Loan'!$E$5</f>
        <v/>
      </c>
      <c r="E12" s="84">
        <f>MAX(1,ROUND((D12-Inputs!$C$7)/30.44,0))</f>
        <v/>
      </c>
      <c r="F12" s="86">
        <f>Inputs!$C$63</f>
        <v/>
      </c>
      <c r="G12" s="66">
        <f>F12</f>
        <v/>
      </c>
      <c r="H12" s="51">
        <f>G12/E12</f>
        <v/>
      </c>
      <c r="I12" s="86">
        <f>'Accounts'!AA9</f>
        <v/>
      </c>
      <c r="J12" s="100" t="inlineStr">
        <is>
          <t>Only accelerate this if the APR beats your savings rate. Otherwise the money works harder in the HYSA.</t>
        </is>
      </c>
    </row>
    <row r="13">
      <c r="B13" s="92" t="inlineStr">
        <is>
          <t>TOTAL REQUIRED PER MONTH</t>
        </is>
      </c>
      <c r="H13" s="167">
        <f>SUM(H7:H12)</f>
        <v/>
      </c>
    </row>
    <row r="14">
      <c r="B14" s="9" t="inlineStr">
        <is>
          <t>Surplus actually available per month (base case)</t>
        </is>
      </c>
      <c r="H14" s="51">
        <f>AVERAGE('Cash Flow'!P9:P20)</f>
        <v/>
      </c>
    </row>
    <row r="15">
      <c r="B15" s="92" t="inlineStr">
        <is>
          <t>GAP</t>
        </is>
      </c>
      <c r="H15" s="168">
        <f>H14-H13</f>
        <v/>
      </c>
      <c r="J15" s="169" t="inlineStr">
        <is>
          <t>If the GAP is negative, these goals do not all fit on this income. That is not a failure of budgeting - it is the model telling you to close more loans, move a date, or cut a target. Do not solve it by pretending.</t>
        </is>
      </c>
    </row>
    <row r="16"/>
    <row r="17"/>
  </sheetData>
  <mergeCells count="3">
    <mergeCell ref="A1:J1"/>
    <mergeCell ref="J15:J17"/>
    <mergeCell ref="A2:J2"/>
  </mergeCells>
  <pageMargins left="0.75" right="0.75" top="1" bottom="1" header="0.5" footer="0.5"/>
</worksheet>
</file>

<file path=xl/worksheets/sheet18.xml><?xml version="1.0" encoding="utf-8"?>
<worksheet xmlns="http://schemas.openxmlformats.org/spreadsheetml/2006/main">
  <sheetPr>
    <tabColor rgb="0031859B"/>
    <outlinePr summaryBelow="1" summaryRight="1"/>
    <pageSetUpPr fitToPage="1"/>
  </sheetPr>
  <dimension ref="A1:H39"/>
  <sheetViews>
    <sheetView showGridLines="0" workbookViewId="0">
      <pane ySplit="5" topLeftCell="A6" activePane="bottomLeft" state="frozen"/>
      <selection pane="bottomLeft" activeCell="A1" sqref="A1"/>
    </sheetView>
  </sheetViews>
  <sheetFormatPr baseColWidth="8" defaultRowHeight="15"/>
  <cols>
    <col width="4" customWidth="1" min="1" max="1"/>
    <col width="38" customWidth="1" min="2" max="2"/>
    <col width="16" customWidth="1" min="3" max="3"/>
    <col width="16" customWidth="1" min="4" max="4"/>
    <col width="16" customWidth="1" min="5" max="5"/>
    <col width="16" customWidth="1" min="6" max="6"/>
    <col width="4" customWidth="1" min="7" max="7"/>
    <col width="56" customWidth="1" min="8" max="8"/>
  </cols>
  <sheetData>
    <row r="1" ht="26" customHeight="1">
      <c r="A1" s="1" t="inlineStr">
        <is>
          <t>HOME PURCHASE  —  what you can actually qualify for, and when</t>
        </is>
      </c>
      <c r="B1" s="2" t="n"/>
      <c r="C1" s="2" t="n"/>
      <c r="D1" s="2" t="n"/>
      <c r="E1" s="2" t="n"/>
      <c r="F1" s="2" t="n"/>
      <c r="G1" s="2" t="n"/>
      <c r="H1" s="2" t="n"/>
    </row>
    <row r="2" ht="15" customHeight="1">
      <c r="A2" s="3" t="inlineStr">
        <is>
          <t>You underwrite these for a living, so this is the version you would run for a client who is you.</t>
        </is>
      </c>
      <c r="B2" s="2" t="n"/>
      <c r="C2" s="2" t="n"/>
      <c r="D2" s="2" t="n"/>
      <c r="E2" s="2" t="n"/>
      <c r="F2" s="2" t="n"/>
      <c r="G2" s="2" t="n"/>
      <c r="H2" s="2" t="n"/>
    </row>
    <row r="5">
      <c r="B5" s="170" t="inlineStr">
        <is>
          <t>!!  THE TIMING PROBLEM  —  read this before the numbers  !!</t>
        </is>
      </c>
    </row>
    <row r="6" ht="30" customHeight="1">
      <c r="B6" s="171" t="inlineStr">
        <is>
          <t>Commission income generally needs a 2-year history to be used as qualifying income - and Fannie/Freddie normally want a 2-year track record for variable income, averaged. You started 3/31/2026. That puts your first clean 2-year look at roughly APRIL 2028, and only if you have two full years of filed returns or W-2s behind it. A non-recoverable draw documented as guaranteed base salary can sometimes be counted much sooner (often 30 days of stubs), which is one more reason the recoverable/non-recoverable answer matters. Verify against current agency guidelines and your AUS findings - they change.</t>
        </is>
      </c>
    </row>
    <row r="7" ht="30" customHeight="1"/>
    <row r="8"/>
    <row r="10" ht="18" customHeight="1">
      <c r="A10" s="4" t="inlineStr">
        <is>
          <t>A.  QUALIFYING INCOME &amp; DTI</t>
        </is>
      </c>
      <c r="B10" s="5" t="n"/>
      <c r="C10" s="5" t="n"/>
      <c r="D10" s="5" t="n"/>
      <c r="E10" s="5" t="n"/>
      <c r="F10" s="5" t="n"/>
      <c r="G10" s="5" t="n"/>
      <c r="H10" s="5" t="n"/>
    </row>
    <row r="11" ht="30" customHeight="1">
      <c r="A11" s="55" t="inlineStr"/>
      <c r="B11" s="55" t="inlineStr">
        <is>
          <t>Input</t>
        </is>
      </c>
      <c r="C11" s="55" t="inlineStr">
        <is>
          <t>Value</t>
        </is>
      </c>
      <c r="D11" s="55" t="inlineStr"/>
      <c r="E11" s="55" t="inlineStr"/>
      <c r="F11" s="55" t="inlineStr"/>
      <c r="G11" s="55" t="inlineStr"/>
      <c r="H11" s="55" t="inlineStr">
        <is>
          <t>Notes</t>
        </is>
      </c>
    </row>
    <row r="12" ht="30" customHeight="1">
      <c r="B12" s="95" t="inlineStr">
        <is>
          <t>Qualifying monthly income</t>
        </is>
      </c>
      <c r="C12" s="172">
        <f>Inputs!$C$23</f>
        <v/>
      </c>
      <c r="H12" s="96" t="inlineStr">
        <is>
          <t>Draw only, to start. Once you have the history, this becomes the 24-month average of draw + commission - and it is where 'Break-Even' pays off.</t>
        </is>
      </c>
    </row>
    <row r="13" ht="30" customHeight="1">
      <c r="B13" s="97" t="inlineStr">
        <is>
          <t>Max back-end DTI</t>
        </is>
      </c>
      <c r="C13" s="42" t="n">
        <v>0.45</v>
      </c>
      <c r="H13" s="100" t="inlineStr">
        <is>
          <t>45% is a common conventional ceiling; AUS approvals sometimes stretch to 50%. FHA often allows more with compensating factors.</t>
        </is>
      </c>
    </row>
    <row r="14">
      <c r="B14" s="95" t="inlineStr">
        <is>
          <t>Auto payment</t>
        </is>
      </c>
      <c r="C14" s="172">
        <f>Inputs!$C$28</f>
        <v/>
      </c>
      <c r="H14" s="96" t="inlineStr">
        <is>
          <t>*** This one payment is eating a huge share of your borrowing power. See section C. ***</t>
        </is>
      </c>
    </row>
    <row r="15">
      <c r="B15" s="97" t="inlineStr">
        <is>
          <t>Credit card minimum</t>
        </is>
      </c>
      <c r="C15" s="172">
        <f>MAX(25,Inputs!$C$65*0.03)</f>
        <v/>
      </c>
      <c r="H15" s="100" t="inlineStr">
        <is>
          <t>Underwriting counts the minimum shown on the statement even if you pay in full.</t>
        </is>
      </c>
    </row>
    <row r="16">
      <c r="B16" s="95" t="inlineStr">
        <is>
          <t>Mortgage rate</t>
        </is>
      </c>
      <c r="C16" s="33" t="n">
        <v>0.065</v>
      </c>
      <c r="H16" s="96" t="inlineStr">
        <is>
          <t>Change this to your live pricing.</t>
        </is>
      </c>
    </row>
    <row r="17">
      <c r="B17" s="97" t="inlineStr">
        <is>
          <t>Term (months)</t>
        </is>
      </c>
      <c r="C17" s="30" t="n">
        <v>360</v>
      </c>
      <c r="H17" s="100" t="inlineStr"/>
    </row>
    <row r="18">
      <c r="B18" s="95" t="inlineStr">
        <is>
          <t>Property tax rate</t>
        </is>
      </c>
      <c r="C18" s="33" t="n">
        <v>0.012</v>
      </c>
      <c r="H18" s="96" t="inlineStr">
        <is>
          <t>Maine mill rates vary a lot by town - Portland differs from Bangor. Use the actual town.</t>
        </is>
      </c>
    </row>
    <row r="19">
      <c r="B19" s="97" t="inlineStr">
        <is>
          <t>Homeowners insurance rate</t>
        </is>
      </c>
      <c r="C19" s="33" t="n">
        <v>0.0035</v>
      </c>
      <c r="H19" s="100" t="inlineStr">
        <is>
          <t>Annual, as a % of price.</t>
        </is>
      </c>
    </row>
    <row r="20">
      <c r="B20" s="95" t="inlineStr">
        <is>
          <t>PMI rate</t>
        </is>
      </c>
      <c r="C20" s="33" t="n">
        <v>0.005</v>
      </c>
      <c r="H20" s="96" t="inlineStr">
        <is>
          <t>Conventional under 20% down. Falls off at 78% LTV. FHA MIP is different and usually permanent.</t>
        </is>
      </c>
    </row>
    <row r="22">
      <c r="B22" s="9" t="inlineStr">
        <is>
          <t>Max total monthly debt (income x DTI)</t>
        </is>
      </c>
      <c r="C22" s="51">
        <f>C12*C13</f>
        <v/>
      </c>
    </row>
    <row r="23">
      <c r="B23" s="95" t="inlineStr">
        <is>
          <t>Less existing debts</t>
        </is>
      </c>
      <c r="C23" s="61">
        <f>-(C14+C15)</f>
        <v/>
      </c>
    </row>
    <row r="24">
      <c r="B24" s="92">
        <f> MAX PITI AVAILABLE</f>
        <v/>
      </c>
      <c r="C24" s="125">
        <f>MAX(0,C22+C23)</f>
        <v/>
      </c>
    </row>
    <row r="26" ht="18" customHeight="1">
      <c r="A26" s="4" t="inlineStr">
        <is>
          <t>B.  MAX PURCHASE PRICE BY LOAN PROGRAM</t>
        </is>
      </c>
      <c r="B26" s="5" t="n"/>
      <c r="C26" s="5" t="n"/>
      <c r="D26" s="5" t="n"/>
      <c r="E26" s="5" t="n"/>
      <c r="F26" s="5" t="n"/>
      <c r="G26" s="5" t="n"/>
      <c r="H26" s="5" t="n"/>
    </row>
    <row r="27" ht="30" customHeight="1">
      <c r="A27" s="55" t="inlineStr"/>
      <c r="B27" s="55" t="inlineStr">
        <is>
          <t>Program</t>
        </is>
      </c>
      <c r="C27" s="55" t="inlineStr">
        <is>
          <t>Down
payment</t>
        </is>
      </c>
      <c r="D27" s="55" t="inlineStr">
        <is>
          <t>Max purchase
price</t>
        </is>
      </c>
      <c r="E27" s="55" t="inlineStr">
        <is>
          <t>Loan
amount</t>
        </is>
      </c>
      <c r="F27" s="55" t="inlineStr">
        <is>
          <t>Cash to
close</t>
        </is>
      </c>
      <c r="G27" s="55" t="inlineStr"/>
      <c r="H27" s="55" t="inlineStr">
        <is>
          <t>Notes</t>
        </is>
      </c>
    </row>
    <row r="28" ht="28" customHeight="1">
      <c r="B28" s="95" t="inlineStr">
        <is>
          <t>Conventional 5% down</t>
        </is>
      </c>
      <c r="C28" s="173" t="n">
        <v>0.05</v>
      </c>
      <c r="D28" s="49">
        <f>IFERROR($C$24/((1-C28)*(C16/12)/(1-(1+C16/12)^-C17)+C18/12+C19/12+IF(C28&lt;0.2,(1-C28)*C20/12*1,0)),0)</f>
        <v/>
      </c>
      <c r="E28" s="102">
        <f>D28*(1-C28)</f>
        <v/>
      </c>
      <c r="F28" s="115">
        <f>D28*C28+D28*Inputs!$C$83</f>
        <v/>
      </c>
      <c r="H28" s="96" t="inlineStr">
        <is>
          <t>Standard. PMI until 78% LTV.</t>
        </is>
      </c>
    </row>
    <row r="29" ht="28" customHeight="1">
      <c r="B29" s="97" t="inlineStr">
        <is>
          <t>Conventional 3% down (HomeReady/Home Possible)</t>
        </is>
      </c>
      <c r="C29" s="174" t="n">
        <v>0.03</v>
      </c>
      <c r="D29" s="49">
        <f>IFERROR($C$24/((1-C29)*(C16/12)/(1-(1+C16/12)^-C17)+C18/12+C19/12+IF(C29&lt;0.2,(1-C29)*C20/12*1,0)),0)</f>
        <v/>
      </c>
      <c r="E29" s="106">
        <f>D29*(1-C29)</f>
        <v/>
      </c>
      <c r="F29" s="115">
        <f>D29*C29+D29*Inputs!$C$83</f>
        <v/>
      </c>
      <c r="H29" s="100" t="inlineStr">
        <is>
          <t>Income limits apply. Reduced PMI. Worth checking for a first-time buyer.</t>
        </is>
      </c>
    </row>
    <row r="30" ht="28" customHeight="1">
      <c r="B30" s="95" t="inlineStr">
        <is>
          <t>FHA 3.5% down</t>
        </is>
      </c>
      <c r="C30" s="173" t="n">
        <v>0.035</v>
      </c>
      <c r="D30" s="49">
        <f>IFERROR($C$24/((1-C30)*(C16/12)/(1-(1+C16/12)^-C17)+C18/12+C19/12+IF(C30&lt;0.2,(1-C30)*C20/12*1,0)),0)</f>
        <v/>
      </c>
      <c r="E30" s="102">
        <f>D30*(1-C30)</f>
        <v/>
      </c>
      <c r="F30" s="115">
        <f>D30*C30+D30*Inputs!$C$83</f>
        <v/>
      </c>
      <c r="H30" s="96" t="inlineStr">
        <is>
          <t>Easier credit and DTI. MIP is generally for the life of the loan now - price it honestly.</t>
        </is>
      </c>
    </row>
    <row r="31" ht="28" customHeight="1">
      <c r="B31" s="97" t="inlineStr">
        <is>
          <t>VA 0% down</t>
        </is>
      </c>
      <c r="C31" s="174" t="n">
        <v>0</v>
      </c>
      <c r="D31" s="49">
        <f>IFERROR($C$24/((1-C31)*(C16/12)/(1-(1+C16/12)^-C17)+C18/12+C19/12+IF(C31&lt;0.2,(1-C31)*C20/12*0,0)),0)</f>
        <v/>
      </c>
      <c r="E31" s="106">
        <f>D31*(1-C31)</f>
        <v/>
      </c>
      <c r="F31" s="115">
        <f>D31*C31+D31*Inputs!$C$83</f>
        <v/>
      </c>
      <c r="H31" s="100" t="inlineStr">
        <is>
          <t>Only if you have eligible service. No PMI, funding fee instead.</t>
        </is>
      </c>
    </row>
    <row r="32" ht="28" customHeight="1">
      <c r="B32" s="95" t="inlineStr">
        <is>
          <t>USDA 0% down</t>
        </is>
      </c>
      <c r="C32" s="173" t="n">
        <v>0</v>
      </c>
      <c r="D32" s="49">
        <f>IFERROR($C$24/((1-C32)*(C16/12)/(1-(1+C16/12)^-C17)+C18/12+C19/12+IF(C32&lt;0.2,(1-C32)*C20/12*0,0)),0)</f>
        <v/>
      </c>
      <c r="E32" s="102">
        <f>D32*(1-C32)</f>
        <v/>
      </c>
      <c r="F32" s="115">
        <f>D32*C32+D32*Inputs!$C$83</f>
        <v/>
      </c>
      <c r="H32" s="96" t="inlineStr">
        <is>
          <t>Huge in Maine - most of the state outside Portland/Bangor cores is USDA-eligible. Income limits apply.</t>
        </is>
      </c>
    </row>
    <row r="33" ht="28" customHeight="1">
      <c r="B33" s="97" t="inlineStr">
        <is>
          <t>MaineHousing First Home Loan</t>
        </is>
      </c>
      <c r="C33" s="174" t="n">
        <v>0.035</v>
      </c>
      <c r="D33" s="49">
        <f>IFERROR($C$24/((1-C33)*(C16/12)/(1-(1+C16/12)^-C17)+C18/12+C19/12+IF(C33&lt;0.2,(1-C33)*C20/12*1,0)),0)</f>
        <v/>
      </c>
      <c r="E33" s="106">
        <f>D33*(1-C33)</f>
        <v/>
      </c>
      <c r="F33" s="115">
        <f>D33*C33+D33*Inputs!$C$83</f>
        <v/>
      </c>
      <c r="H33" s="100" t="inlineStr">
        <is>
          <t>Below-market rate + the Advantage down-payment grant. Income and price limits apply and change - check the current MaineHousing sheet. You sell these; use one.</t>
        </is>
      </c>
    </row>
    <row r="36" ht="18" customHeight="1">
      <c r="A36" s="4" t="inlineStr">
        <is>
          <t>C.  WHAT THE CAR IS COSTING YOU IN BUYING POWER</t>
        </is>
      </c>
      <c r="B36" s="5" t="n"/>
      <c r="C36" s="5" t="n"/>
      <c r="D36" s="5" t="n"/>
      <c r="E36" s="5" t="n"/>
      <c r="F36" s="5" t="n"/>
      <c r="G36" s="5" t="n"/>
      <c r="H36" s="5" t="n"/>
    </row>
    <row r="37">
      <c r="B37" s="95" t="inlineStr">
        <is>
          <t>Max price WITH the $475.69 car payment</t>
        </is>
      </c>
      <c r="C37" s="102">
        <f>D28</f>
        <v/>
      </c>
      <c r="H37" s="29" t="inlineStr">
        <is>
          <t>Every $100/mo of debt costs roughly $15,000-18,000 of purchase price at these rates. Your car payment alone is worth about $475.69/100 x that. Paying it off before you apply is one of the highest-leverage moves available to you - but do NOT drain the down payment to do it. Reserves matter too.</t>
        </is>
      </c>
    </row>
    <row r="38">
      <c r="B38" s="95" t="inlineStr">
        <is>
          <t>Max price WITHOUT it (car paid off)</t>
        </is>
      </c>
      <c r="C38" s="102">
        <f>IFERROR((C12*C13-C15)/((1-C28)*(C16/12)/(1-(1+C16/12)^-C17)+C18/12+C19/12+IF(C28&lt;0.2,(1-C28)*C20/12,0)),0)</f>
        <v/>
      </c>
    </row>
    <row r="39">
      <c r="B39" s="92" t="inlineStr">
        <is>
          <t>DIFFERENCE IN BUYING POWER</t>
        </is>
      </c>
      <c r="C39" s="175">
        <f>C38-C37</f>
        <v/>
      </c>
    </row>
  </sheetData>
  <mergeCells count="8">
    <mergeCell ref="A26:H26"/>
    <mergeCell ref="B6:H8"/>
    <mergeCell ref="A2:H2"/>
    <mergeCell ref="A10:H10"/>
    <mergeCell ref="A36:H36"/>
    <mergeCell ref="A1:H1"/>
    <mergeCell ref="H37:H39"/>
    <mergeCell ref="B5:H5"/>
  </mergeCells>
  <pageMargins left="0.75" right="0.75" top="1" bottom="1" header="0.5" footer="0.5"/>
</worksheet>
</file>

<file path=xl/worksheets/sheet19.xml><?xml version="1.0" encoding="utf-8"?>
<worksheet xmlns="http://schemas.openxmlformats.org/spreadsheetml/2006/main">
  <sheetPr>
    <tabColor rgb="007F6000"/>
    <outlinePr summaryBelow="1" summaryRight="1"/>
    <pageSetUpPr fitToPage="1"/>
  </sheetPr>
  <dimension ref="A1:K33"/>
  <sheetViews>
    <sheetView showGridLines="0" workbookViewId="0">
      <pane ySplit="8" topLeftCell="A9" activePane="bottomLeft" state="frozen"/>
      <selection pane="bottomLeft" activeCell="A1" sqref="A1"/>
    </sheetView>
  </sheetViews>
  <sheetFormatPr baseColWidth="8" defaultRowHeight="15"/>
  <cols>
    <col width="11" customWidth="1" min="1" max="1"/>
    <col width="13" customWidth="1" min="2" max="2"/>
    <col width="11" customWidth="1" min="3" max="3"/>
    <col width="11" customWidth="1" min="4" max="4"/>
    <col width="11" customWidth="1" min="5" max="5"/>
    <col width="13" customWidth="1" min="6" max="6"/>
    <col width="13" customWidth="1" min="7" max="7"/>
    <col width="13" customWidth="1" min="8" max="8"/>
    <col width="13" customWidth="1" min="9" max="9"/>
    <col width="13" customWidth="1" min="10" max="10"/>
    <col width="46" customWidth="1" min="11" max="11"/>
  </cols>
  <sheetData>
    <row r="1" ht="26" customHeight="1">
      <c r="A1" s="1" t="inlineStr">
        <is>
          <t>MARKETING ROI  —  $1,000/month has to earn its keep</t>
        </is>
      </c>
      <c r="B1" s="2" t="n"/>
      <c r="C1" s="2" t="n"/>
      <c r="D1" s="2" t="n"/>
      <c r="E1" s="2" t="n"/>
      <c r="F1" s="2" t="n"/>
      <c r="G1" s="2" t="n"/>
      <c r="H1" s="2" t="n"/>
      <c r="I1" s="2" t="n"/>
      <c r="J1" s="2" t="n"/>
      <c r="K1" s="2" t="n"/>
    </row>
    <row r="2" ht="15" customHeight="1">
      <c r="A2" s="3" t="inlineStr">
        <is>
          <t>Log spend and results monthly. At 75 bps on a $300k loan, ONE extra closing every three months already pays for the whole year.</t>
        </is>
      </c>
      <c r="B2" s="2" t="n"/>
      <c r="C2" s="2" t="n"/>
      <c r="D2" s="2" t="n"/>
      <c r="E2" s="2" t="n"/>
      <c r="F2" s="2" t="n"/>
      <c r="G2" s="2" t="n"/>
      <c r="H2" s="2" t="n"/>
      <c r="I2" s="2" t="n"/>
      <c r="J2" s="2" t="n"/>
      <c r="K2" s="2" t="n"/>
    </row>
    <row r="4">
      <c r="A4" s="46" t="inlineStr">
        <is>
          <t>Break-even: extra loans per year needed to justify the spend</t>
        </is>
      </c>
      <c r="F4" s="103">
        <f>IFERROR(Inputs!$C$34*12/(Inputs!$C$94*Inputs!$C$15),0)</f>
        <v/>
      </c>
      <c r="G4" s="53">
        <f>"...that is one closing every "&amp;TEXT(12/MAX(0.01,F4),"0.0")&amp;" months."</f>
        <v/>
      </c>
    </row>
    <row r="5">
      <c r="A5" s="53" t="inlineStr">
        <is>
          <t>Reminder: if marketing is a RECOVERABLE advance from the owner, it is not free - it is added to the balance you must earn back on 'Draw Recovery'.</t>
        </is>
      </c>
    </row>
    <row r="8" ht="30" customHeight="1">
      <c r="A8" s="55" t="inlineStr">
        <is>
          <t>Month</t>
        </is>
      </c>
      <c r="B8" s="55" t="inlineStr">
        <is>
          <t>Spend</t>
        </is>
      </c>
      <c r="C8" s="55" t="inlineStr">
        <is>
          <t>Leads</t>
        </is>
      </c>
      <c r="D8" s="55" t="inlineStr">
        <is>
          <t>Apps</t>
        </is>
      </c>
      <c r="E8" s="55" t="inlineStr">
        <is>
          <t>Closings</t>
        </is>
      </c>
      <c r="F8" s="55" t="inlineStr">
        <is>
          <t>Volume</t>
        </is>
      </c>
      <c r="G8" s="55" t="inlineStr">
        <is>
          <t>Commission
earned</t>
        </is>
      </c>
      <c r="H8" s="55" t="inlineStr">
        <is>
          <t>Cost per
lead</t>
        </is>
      </c>
      <c r="I8" s="55" t="inlineStr">
        <is>
          <t>Cost per
closing</t>
        </is>
      </c>
      <c r="J8" s="55" t="inlineStr">
        <is>
          <t>ROI
(x spend)</t>
        </is>
      </c>
      <c r="K8" s="55" t="inlineStr">
        <is>
          <t>Channel notes</t>
        </is>
      </c>
    </row>
    <row r="9">
      <c r="A9" s="64">
        <f>EOMONTH(Inputs!$C$7,0)</f>
        <v/>
      </c>
      <c r="B9" s="176">
        <f>Inputs!$C$34</f>
        <v/>
      </c>
      <c r="C9" s="177" t="n"/>
      <c r="D9" s="177" t="n"/>
      <c r="E9" s="177" t="n"/>
      <c r="F9" s="102">
        <f>E9*Inputs!$C$94</f>
        <v/>
      </c>
      <c r="G9" s="82">
        <f>F9*Inputs!$C$15</f>
        <v/>
      </c>
      <c r="H9" s="61">
        <f>IFERROR(B9/C9,0)</f>
        <v/>
      </c>
      <c r="I9" s="61">
        <f>IFERROR(B9/E9,0)</f>
        <v/>
      </c>
      <c r="J9" s="178">
        <f>IFERROR(G9/B9,0)</f>
        <v/>
      </c>
      <c r="K9" s="57" t="n"/>
    </row>
    <row r="10">
      <c r="A10" s="67">
        <f>EOMONTH(Inputs!$C$7,1)</f>
        <v/>
      </c>
      <c r="B10" s="176">
        <f>B9</f>
        <v/>
      </c>
      <c r="C10" s="179" t="n"/>
      <c r="D10" s="179" t="n"/>
      <c r="E10" s="179" t="n"/>
      <c r="F10" s="106">
        <f>E10*Inputs!$C$94</f>
        <v/>
      </c>
      <c r="G10" s="87">
        <f>F10*Inputs!$C$15</f>
        <v/>
      </c>
      <c r="H10" s="66">
        <f>IFERROR(B10/C10,0)</f>
        <v/>
      </c>
      <c r="I10" s="66">
        <f>IFERROR(B10/E10,0)</f>
        <v/>
      </c>
      <c r="J10" s="180">
        <f>IFERROR(G10/B10,0)</f>
        <v/>
      </c>
      <c r="K10" s="69" t="n"/>
    </row>
    <row r="11">
      <c r="A11" s="64">
        <f>EOMONTH(Inputs!$C$7,2)</f>
        <v/>
      </c>
      <c r="B11" s="176">
        <f>B10</f>
        <v/>
      </c>
      <c r="C11" s="177" t="n"/>
      <c r="D11" s="177" t="n"/>
      <c r="E11" s="177" t="n"/>
      <c r="F11" s="102">
        <f>E11*Inputs!$C$94</f>
        <v/>
      </c>
      <c r="G11" s="82">
        <f>F11*Inputs!$C$15</f>
        <v/>
      </c>
      <c r="H11" s="61">
        <f>IFERROR(B11/C11,0)</f>
        <v/>
      </c>
      <c r="I11" s="61">
        <f>IFERROR(B11/E11,0)</f>
        <v/>
      </c>
      <c r="J11" s="178">
        <f>IFERROR(G11/B11,0)</f>
        <v/>
      </c>
      <c r="K11" s="57" t="n"/>
    </row>
    <row r="12">
      <c r="A12" s="67">
        <f>EOMONTH(Inputs!$C$7,3)</f>
        <v/>
      </c>
      <c r="B12" s="176">
        <f>B11</f>
        <v/>
      </c>
      <c r="C12" s="179" t="n"/>
      <c r="D12" s="179" t="n"/>
      <c r="E12" s="179" t="n"/>
      <c r="F12" s="106">
        <f>E12*Inputs!$C$94</f>
        <v/>
      </c>
      <c r="G12" s="87">
        <f>F12*Inputs!$C$15</f>
        <v/>
      </c>
      <c r="H12" s="66">
        <f>IFERROR(B12/C12,0)</f>
        <v/>
      </c>
      <c r="I12" s="66">
        <f>IFERROR(B12/E12,0)</f>
        <v/>
      </c>
      <c r="J12" s="180">
        <f>IFERROR(G12/B12,0)</f>
        <v/>
      </c>
      <c r="K12" s="69" t="n"/>
    </row>
    <row r="13">
      <c r="A13" s="64">
        <f>EOMONTH(Inputs!$C$7,4)</f>
        <v/>
      </c>
      <c r="B13" s="176">
        <f>B12</f>
        <v/>
      </c>
      <c r="C13" s="177" t="n"/>
      <c r="D13" s="177" t="n"/>
      <c r="E13" s="177" t="n"/>
      <c r="F13" s="102">
        <f>E13*Inputs!$C$94</f>
        <v/>
      </c>
      <c r="G13" s="82">
        <f>F13*Inputs!$C$15</f>
        <v/>
      </c>
      <c r="H13" s="61">
        <f>IFERROR(B13/C13,0)</f>
        <v/>
      </c>
      <c r="I13" s="61">
        <f>IFERROR(B13/E13,0)</f>
        <v/>
      </c>
      <c r="J13" s="178">
        <f>IFERROR(G13/B13,0)</f>
        <v/>
      </c>
      <c r="K13" s="57" t="n"/>
    </row>
    <row r="14">
      <c r="A14" s="67">
        <f>EOMONTH(Inputs!$C$7,5)</f>
        <v/>
      </c>
      <c r="B14" s="176">
        <f>B13</f>
        <v/>
      </c>
      <c r="C14" s="179" t="n"/>
      <c r="D14" s="179" t="n"/>
      <c r="E14" s="179" t="n"/>
      <c r="F14" s="106">
        <f>E14*Inputs!$C$94</f>
        <v/>
      </c>
      <c r="G14" s="87">
        <f>F14*Inputs!$C$15</f>
        <v/>
      </c>
      <c r="H14" s="66">
        <f>IFERROR(B14/C14,0)</f>
        <v/>
      </c>
      <c r="I14" s="66">
        <f>IFERROR(B14/E14,0)</f>
        <v/>
      </c>
      <c r="J14" s="180">
        <f>IFERROR(G14/B14,0)</f>
        <v/>
      </c>
      <c r="K14" s="69" t="n"/>
    </row>
    <row r="15">
      <c r="A15" s="64">
        <f>EOMONTH(Inputs!$C$7,6)</f>
        <v/>
      </c>
      <c r="B15" s="176">
        <f>B14</f>
        <v/>
      </c>
      <c r="C15" s="177" t="n"/>
      <c r="D15" s="177" t="n"/>
      <c r="E15" s="177" t="n"/>
      <c r="F15" s="102">
        <f>E15*Inputs!$C$94</f>
        <v/>
      </c>
      <c r="G15" s="82">
        <f>F15*Inputs!$C$15</f>
        <v/>
      </c>
      <c r="H15" s="61">
        <f>IFERROR(B15/C15,0)</f>
        <v/>
      </c>
      <c r="I15" s="61">
        <f>IFERROR(B15/E15,0)</f>
        <v/>
      </c>
      <c r="J15" s="178">
        <f>IFERROR(G15/B15,0)</f>
        <v/>
      </c>
      <c r="K15" s="57" t="n"/>
    </row>
    <row r="16">
      <c r="A16" s="67">
        <f>EOMONTH(Inputs!$C$7,7)</f>
        <v/>
      </c>
      <c r="B16" s="176">
        <f>B15</f>
        <v/>
      </c>
      <c r="C16" s="179" t="n"/>
      <c r="D16" s="179" t="n"/>
      <c r="E16" s="179" t="n"/>
      <c r="F16" s="106">
        <f>E16*Inputs!$C$94</f>
        <v/>
      </c>
      <c r="G16" s="87">
        <f>F16*Inputs!$C$15</f>
        <v/>
      </c>
      <c r="H16" s="66">
        <f>IFERROR(B16/C16,0)</f>
        <v/>
      </c>
      <c r="I16" s="66">
        <f>IFERROR(B16/E16,0)</f>
        <v/>
      </c>
      <c r="J16" s="180">
        <f>IFERROR(G16/B16,0)</f>
        <v/>
      </c>
      <c r="K16" s="69" t="n"/>
    </row>
    <row r="17">
      <c r="A17" s="64">
        <f>EOMONTH(Inputs!$C$7,8)</f>
        <v/>
      </c>
      <c r="B17" s="176">
        <f>B16</f>
        <v/>
      </c>
      <c r="C17" s="177" t="n"/>
      <c r="D17" s="177" t="n"/>
      <c r="E17" s="177" t="n"/>
      <c r="F17" s="102">
        <f>E17*Inputs!$C$94</f>
        <v/>
      </c>
      <c r="G17" s="82">
        <f>F17*Inputs!$C$15</f>
        <v/>
      </c>
      <c r="H17" s="61">
        <f>IFERROR(B17/C17,0)</f>
        <v/>
      </c>
      <c r="I17" s="61">
        <f>IFERROR(B17/E17,0)</f>
        <v/>
      </c>
      <c r="J17" s="178">
        <f>IFERROR(G17/B17,0)</f>
        <v/>
      </c>
      <c r="K17" s="57" t="n"/>
    </row>
    <row r="18">
      <c r="A18" s="67">
        <f>EOMONTH(Inputs!$C$7,9)</f>
        <v/>
      </c>
      <c r="B18" s="176">
        <f>B17</f>
        <v/>
      </c>
      <c r="C18" s="179" t="n"/>
      <c r="D18" s="179" t="n"/>
      <c r="E18" s="179" t="n"/>
      <c r="F18" s="106">
        <f>E18*Inputs!$C$94</f>
        <v/>
      </c>
      <c r="G18" s="87">
        <f>F18*Inputs!$C$15</f>
        <v/>
      </c>
      <c r="H18" s="66">
        <f>IFERROR(B18/C18,0)</f>
        <v/>
      </c>
      <c r="I18" s="66">
        <f>IFERROR(B18/E18,0)</f>
        <v/>
      </c>
      <c r="J18" s="180">
        <f>IFERROR(G18/B18,0)</f>
        <v/>
      </c>
      <c r="K18" s="69" t="n"/>
    </row>
    <row r="19">
      <c r="A19" s="64">
        <f>EOMONTH(Inputs!$C$7,10)</f>
        <v/>
      </c>
      <c r="B19" s="176">
        <f>B18</f>
        <v/>
      </c>
      <c r="C19" s="177" t="n"/>
      <c r="D19" s="177" t="n"/>
      <c r="E19" s="177" t="n"/>
      <c r="F19" s="102">
        <f>E19*Inputs!$C$94</f>
        <v/>
      </c>
      <c r="G19" s="82">
        <f>F19*Inputs!$C$15</f>
        <v/>
      </c>
      <c r="H19" s="61">
        <f>IFERROR(B19/C19,0)</f>
        <v/>
      </c>
      <c r="I19" s="61">
        <f>IFERROR(B19/E19,0)</f>
        <v/>
      </c>
      <c r="J19" s="178">
        <f>IFERROR(G19/B19,0)</f>
        <v/>
      </c>
      <c r="K19" s="57" t="n"/>
    </row>
    <row r="20">
      <c r="A20" s="67">
        <f>EOMONTH(Inputs!$C$7,11)</f>
        <v/>
      </c>
      <c r="B20" s="176">
        <f>B19</f>
        <v/>
      </c>
      <c r="C20" s="179" t="n"/>
      <c r="D20" s="179" t="n"/>
      <c r="E20" s="179" t="n"/>
      <c r="F20" s="106">
        <f>E20*Inputs!$C$94</f>
        <v/>
      </c>
      <c r="G20" s="87">
        <f>F20*Inputs!$C$15</f>
        <v/>
      </c>
      <c r="H20" s="66">
        <f>IFERROR(B20/C20,0)</f>
        <v/>
      </c>
      <c r="I20" s="66">
        <f>IFERROR(B20/E20,0)</f>
        <v/>
      </c>
      <c r="J20" s="180">
        <f>IFERROR(G20/B20,0)</f>
        <v/>
      </c>
      <c r="K20" s="69" t="n"/>
    </row>
    <row r="21">
      <c r="A21" s="64">
        <f>EOMONTH(Inputs!$C$7,12)</f>
        <v/>
      </c>
      <c r="B21" s="176">
        <f>B20</f>
        <v/>
      </c>
      <c r="C21" s="177" t="n"/>
      <c r="D21" s="177" t="n"/>
      <c r="E21" s="177" t="n"/>
      <c r="F21" s="102">
        <f>E21*Inputs!$C$94</f>
        <v/>
      </c>
      <c r="G21" s="82">
        <f>F21*Inputs!$C$15</f>
        <v/>
      </c>
      <c r="H21" s="61">
        <f>IFERROR(B21/C21,0)</f>
        <v/>
      </c>
      <c r="I21" s="61">
        <f>IFERROR(B21/E21,0)</f>
        <v/>
      </c>
      <c r="J21" s="178">
        <f>IFERROR(G21/B21,0)</f>
        <v/>
      </c>
      <c r="K21" s="57" t="n"/>
    </row>
    <row r="22">
      <c r="A22" s="67">
        <f>EOMONTH(Inputs!$C$7,13)</f>
        <v/>
      </c>
      <c r="B22" s="176">
        <f>B21</f>
        <v/>
      </c>
      <c r="C22" s="179" t="n"/>
      <c r="D22" s="179" t="n"/>
      <c r="E22" s="179" t="n"/>
      <c r="F22" s="106">
        <f>E22*Inputs!$C$94</f>
        <v/>
      </c>
      <c r="G22" s="87">
        <f>F22*Inputs!$C$15</f>
        <v/>
      </c>
      <c r="H22" s="66">
        <f>IFERROR(B22/C22,0)</f>
        <v/>
      </c>
      <c r="I22" s="66">
        <f>IFERROR(B22/E22,0)</f>
        <v/>
      </c>
      <c r="J22" s="180">
        <f>IFERROR(G22/B22,0)</f>
        <v/>
      </c>
      <c r="K22" s="69" t="n"/>
    </row>
    <row r="23">
      <c r="A23" s="64">
        <f>EOMONTH(Inputs!$C$7,14)</f>
        <v/>
      </c>
      <c r="B23" s="176">
        <f>B22</f>
        <v/>
      </c>
      <c r="C23" s="177" t="n"/>
      <c r="D23" s="177" t="n"/>
      <c r="E23" s="177" t="n"/>
      <c r="F23" s="102">
        <f>E23*Inputs!$C$94</f>
        <v/>
      </c>
      <c r="G23" s="82">
        <f>F23*Inputs!$C$15</f>
        <v/>
      </c>
      <c r="H23" s="61">
        <f>IFERROR(B23/C23,0)</f>
        <v/>
      </c>
      <c r="I23" s="61">
        <f>IFERROR(B23/E23,0)</f>
        <v/>
      </c>
      <c r="J23" s="178">
        <f>IFERROR(G23/B23,0)</f>
        <v/>
      </c>
      <c r="K23" s="57" t="n"/>
    </row>
    <row r="24">
      <c r="A24" s="67">
        <f>EOMONTH(Inputs!$C$7,15)</f>
        <v/>
      </c>
      <c r="B24" s="176">
        <f>B23</f>
        <v/>
      </c>
      <c r="C24" s="179" t="n"/>
      <c r="D24" s="179" t="n"/>
      <c r="E24" s="179" t="n"/>
      <c r="F24" s="106">
        <f>E24*Inputs!$C$94</f>
        <v/>
      </c>
      <c r="G24" s="87">
        <f>F24*Inputs!$C$15</f>
        <v/>
      </c>
      <c r="H24" s="66">
        <f>IFERROR(B24/C24,0)</f>
        <v/>
      </c>
      <c r="I24" s="66">
        <f>IFERROR(B24/E24,0)</f>
        <v/>
      </c>
      <c r="J24" s="180">
        <f>IFERROR(G24/B24,0)</f>
        <v/>
      </c>
      <c r="K24" s="69" t="n"/>
    </row>
    <row r="25">
      <c r="A25" s="64">
        <f>EOMONTH(Inputs!$C$7,16)</f>
        <v/>
      </c>
      <c r="B25" s="176">
        <f>B24</f>
        <v/>
      </c>
      <c r="C25" s="177" t="n"/>
      <c r="D25" s="177" t="n"/>
      <c r="E25" s="177" t="n"/>
      <c r="F25" s="102">
        <f>E25*Inputs!$C$94</f>
        <v/>
      </c>
      <c r="G25" s="82">
        <f>F25*Inputs!$C$15</f>
        <v/>
      </c>
      <c r="H25" s="61">
        <f>IFERROR(B25/C25,0)</f>
        <v/>
      </c>
      <c r="I25" s="61">
        <f>IFERROR(B25/E25,0)</f>
        <v/>
      </c>
      <c r="J25" s="178">
        <f>IFERROR(G25/B25,0)</f>
        <v/>
      </c>
      <c r="K25" s="57" t="n"/>
    </row>
    <row r="26">
      <c r="A26" s="67">
        <f>EOMONTH(Inputs!$C$7,17)</f>
        <v/>
      </c>
      <c r="B26" s="176">
        <f>B25</f>
        <v/>
      </c>
      <c r="C26" s="179" t="n"/>
      <c r="D26" s="179" t="n"/>
      <c r="E26" s="179" t="n"/>
      <c r="F26" s="106">
        <f>E26*Inputs!$C$94</f>
        <v/>
      </c>
      <c r="G26" s="87">
        <f>F26*Inputs!$C$15</f>
        <v/>
      </c>
      <c r="H26" s="66">
        <f>IFERROR(B26/C26,0)</f>
        <v/>
      </c>
      <c r="I26" s="66">
        <f>IFERROR(B26/E26,0)</f>
        <v/>
      </c>
      <c r="J26" s="180">
        <f>IFERROR(G26/B26,0)</f>
        <v/>
      </c>
      <c r="K26" s="69" t="n"/>
    </row>
    <row r="27">
      <c r="A27" s="64">
        <f>EOMONTH(Inputs!$C$7,18)</f>
        <v/>
      </c>
      <c r="B27" s="176">
        <f>B26</f>
        <v/>
      </c>
      <c r="C27" s="177" t="n"/>
      <c r="D27" s="177" t="n"/>
      <c r="E27" s="177" t="n"/>
      <c r="F27" s="102">
        <f>E27*Inputs!$C$94</f>
        <v/>
      </c>
      <c r="G27" s="82">
        <f>F27*Inputs!$C$15</f>
        <v/>
      </c>
      <c r="H27" s="61">
        <f>IFERROR(B27/C27,0)</f>
        <v/>
      </c>
      <c r="I27" s="61">
        <f>IFERROR(B27/E27,0)</f>
        <v/>
      </c>
      <c r="J27" s="178">
        <f>IFERROR(G27/B27,0)</f>
        <v/>
      </c>
      <c r="K27" s="57" t="n"/>
    </row>
    <row r="28">
      <c r="A28" s="67">
        <f>EOMONTH(Inputs!$C$7,19)</f>
        <v/>
      </c>
      <c r="B28" s="176">
        <f>B27</f>
        <v/>
      </c>
      <c r="C28" s="179" t="n"/>
      <c r="D28" s="179" t="n"/>
      <c r="E28" s="179" t="n"/>
      <c r="F28" s="106">
        <f>E28*Inputs!$C$94</f>
        <v/>
      </c>
      <c r="G28" s="87">
        <f>F28*Inputs!$C$15</f>
        <v/>
      </c>
      <c r="H28" s="66">
        <f>IFERROR(B28/C28,0)</f>
        <v/>
      </c>
      <c r="I28" s="66">
        <f>IFERROR(B28/E28,0)</f>
        <v/>
      </c>
      <c r="J28" s="180">
        <f>IFERROR(G28/B28,0)</f>
        <v/>
      </c>
      <c r="K28" s="69" t="n"/>
    </row>
    <row r="29">
      <c r="A29" s="64">
        <f>EOMONTH(Inputs!$C$7,20)</f>
        <v/>
      </c>
      <c r="B29" s="176">
        <f>B28</f>
        <v/>
      </c>
      <c r="C29" s="177" t="n"/>
      <c r="D29" s="177" t="n"/>
      <c r="E29" s="177" t="n"/>
      <c r="F29" s="102">
        <f>E29*Inputs!$C$94</f>
        <v/>
      </c>
      <c r="G29" s="82">
        <f>F29*Inputs!$C$15</f>
        <v/>
      </c>
      <c r="H29" s="61">
        <f>IFERROR(B29/C29,0)</f>
        <v/>
      </c>
      <c r="I29" s="61">
        <f>IFERROR(B29/E29,0)</f>
        <v/>
      </c>
      <c r="J29" s="178">
        <f>IFERROR(G29/B29,0)</f>
        <v/>
      </c>
      <c r="K29" s="57" t="n"/>
    </row>
    <row r="30">
      <c r="A30" s="67">
        <f>EOMONTH(Inputs!$C$7,21)</f>
        <v/>
      </c>
      <c r="B30" s="176">
        <f>B29</f>
        <v/>
      </c>
      <c r="C30" s="179" t="n"/>
      <c r="D30" s="179" t="n"/>
      <c r="E30" s="179" t="n"/>
      <c r="F30" s="106">
        <f>E30*Inputs!$C$94</f>
        <v/>
      </c>
      <c r="G30" s="87">
        <f>F30*Inputs!$C$15</f>
        <v/>
      </c>
      <c r="H30" s="66">
        <f>IFERROR(B30/C30,0)</f>
        <v/>
      </c>
      <c r="I30" s="66">
        <f>IFERROR(B30/E30,0)</f>
        <v/>
      </c>
      <c r="J30" s="180">
        <f>IFERROR(G30/B30,0)</f>
        <v/>
      </c>
      <c r="K30" s="69" t="n"/>
    </row>
    <row r="31">
      <c r="A31" s="64">
        <f>EOMONTH(Inputs!$C$7,22)</f>
        <v/>
      </c>
      <c r="B31" s="176">
        <f>B30</f>
        <v/>
      </c>
      <c r="C31" s="177" t="n"/>
      <c r="D31" s="177" t="n"/>
      <c r="E31" s="177" t="n"/>
      <c r="F31" s="102">
        <f>E31*Inputs!$C$94</f>
        <v/>
      </c>
      <c r="G31" s="82">
        <f>F31*Inputs!$C$15</f>
        <v/>
      </c>
      <c r="H31" s="61">
        <f>IFERROR(B31/C31,0)</f>
        <v/>
      </c>
      <c r="I31" s="61">
        <f>IFERROR(B31/E31,0)</f>
        <v/>
      </c>
      <c r="J31" s="178">
        <f>IFERROR(G31/B31,0)</f>
        <v/>
      </c>
      <c r="K31" s="57" t="n"/>
    </row>
    <row r="32">
      <c r="A32" s="67">
        <f>EOMONTH(Inputs!$C$7,23)</f>
        <v/>
      </c>
      <c r="B32" s="176">
        <f>B31</f>
        <v/>
      </c>
      <c r="C32" s="179" t="n"/>
      <c r="D32" s="179" t="n"/>
      <c r="E32" s="179" t="n"/>
      <c r="F32" s="106">
        <f>E32*Inputs!$C$94</f>
        <v/>
      </c>
      <c r="G32" s="87">
        <f>F32*Inputs!$C$15</f>
        <v/>
      </c>
      <c r="H32" s="66">
        <f>IFERROR(B32/C32,0)</f>
        <v/>
      </c>
      <c r="I32" s="66">
        <f>IFERROR(B32/E32,0)</f>
        <v/>
      </c>
      <c r="J32" s="180">
        <f>IFERROR(G32/B32,0)</f>
        <v/>
      </c>
      <c r="K32" s="69" t="n"/>
    </row>
    <row r="33">
      <c r="A33" s="92" t="inlineStr">
        <is>
          <t>TOTALS</t>
        </is>
      </c>
      <c r="B33" s="93">
        <f>SUM(B9:B32)</f>
        <v/>
      </c>
      <c r="C33" s="181">
        <f>SUM(C9:C32)</f>
        <v/>
      </c>
      <c r="D33" s="181">
        <f>SUM(D9:D32)</f>
        <v/>
      </c>
      <c r="E33" s="181">
        <f>SUM(E9:E32)</f>
        <v/>
      </c>
      <c r="F33" s="93">
        <f>SUM(F9:F32)</f>
        <v/>
      </c>
      <c r="G33" s="93">
        <f>SUM(G9:G32)</f>
        <v/>
      </c>
      <c r="J33" s="182">
        <f>IFERROR(G33/B33,0)</f>
        <v/>
      </c>
    </row>
  </sheetData>
  <mergeCells count="5">
    <mergeCell ref="A4:E4"/>
    <mergeCell ref="A2:K2"/>
    <mergeCell ref="A1:K1"/>
    <mergeCell ref="A5:K5"/>
    <mergeCell ref="G4:K4"/>
  </mergeCells>
  <conditionalFormatting sqref="J9:J32">
    <cfRule type="cellIs" priority="1" operator="lessThan" dxfId="0">
      <formula>1</formula>
    </cfRule>
  </conditionalFormatting>
  <pageMargins left="0.75" right="0.75" top="1" bottom="1" header="0.5" footer="0.5"/>
</worksheet>
</file>

<file path=xl/worksheets/sheet20.xml><?xml version="1.0" encoding="utf-8"?>
<worksheet xmlns="http://schemas.openxmlformats.org/spreadsheetml/2006/main">
  <sheetPr>
    <tabColor rgb="001E7B4F"/>
    <outlinePr summaryBelow="1" summaryRight="1"/>
    <pageSetUpPr fitToPage="1"/>
  </sheetPr>
  <dimension ref="A1:E31"/>
  <sheetViews>
    <sheetView showGridLines="0" workbookViewId="0">
      <selection activeCell="A1" sqref="A1"/>
    </sheetView>
  </sheetViews>
  <sheetFormatPr baseColWidth="8" defaultRowHeight="15"/>
  <cols>
    <col width="4" customWidth="1" min="1" max="1"/>
    <col width="9" customWidth="1" min="2" max="2"/>
    <col width="42" customWidth="1" min="3" max="3"/>
    <col width="74" customWidth="1" min="4" max="4"/>
    <col width="18" customWidth="1" min="5" max="5"/>
  </cols>
  <sheetData>
    <row r="1" ht="26" customHeight="1">
      <c r="A1" s="1" t="inlineStr">
        <is>
          <t>RECOMMENDATIONS  —  ranked by what they are actually worth to you</t>
        </is>
      </c>
      <c r="B1" s="2" t="n"/>
      <c r="C1" s="2" t="n"/>
      <c r="D1" s="2" t="n"/>
      <c r="E1" s="2" t="n"/>
    </row>
    <row r="2" ht="15" customHeight="1">
      <c r="A2" s="3" t="inlineStr">
        <is>
          <t>You asked what I would suggest. Here it is, in the order I would do it.</t>
        </is>
      </c>
      <c r="B2" s="2" t="n"/>
      <c r="C2" s="2" t="n"/>
      <c r="D2" s="2" t="n"/>
      <c r="E2" s="2" t="n"/>
    </row>
    <row r="4" ht="18" customHeight="1">
      <c r="A4" s="4" t="inlineStr">
        <is>
          <t>THIS WEEK  —  nothing else in this workbook is reliable until these are done</t>
        </is>
      </c>
      <c r="B4" s="5" t="n"/>
      <c r="C4" s="5" t="n"/>
      <c r="D4" s="5" t="n"/>
      <c r="E4" s="5" t="n"/>
    </row>
    <row r="5" ht="30" customHeight="1">
      <c r="A5" s="55" t="inlineStr"/>
      <c r="B5" s="55" t="inlineStr">
        <is>
          <t>#</t>
        </is>
      </c>
      <c r="C5" s="55" t="inlineStr">
        <is>
          <t>Do this</t>
        </is>
      </c>
      <c r="D5" s="55" t="inlineStr">
        <is>
          <t>Why it matters</t>
        </is>
      </c>
      <c r="E5" s="55" t="inlineStr">
        <is>
          <t>Worth</t>
        </is>
      </c>
    </row>
    <row r="6" ht="60" customHeight="1">
      <c r="B6" s="183" t="n">
        <v>1</v>
      </c>
      <c r="C6" s="184" t="inlineStr">
        <is>
          <t>Get three answers from the owner IN WRITING</t>
        </is>
      </c>
      <c r="D6" s="7" t="inlineStr">
        <is>
          <t>One email: (a) Is the draw recoverable or non-recoverable? (b) Am I W-2 or 1099? (c) If I leave with a negative draw balance, do you pursue repayment? These three answers swing this model by tens of thousands of dollars, and a verbal answer is worth nothing if the relationship ever sours. If it is recoverable, you are carrying a $13,547.38 liability you may not know about.</t>
        </is>
      </c>
      <c r="E6" s="185" t="inlineStr">
        <is>
          <t>$13,547 at risk</t>
        </is>
      </c>
    </row>
    <row r="7" ht="60" customHeight="1">
      <c r="B7" s="183" t="n">
        <v>2</v>
      </c>
      <c r="C7" s="184" t="inlineStr">
        <is>
          <t>Get checking to a $2,000 cushion before you fund anything else</t>
        </is>
      </c>
      <c r="D7" s="7" t="inlineStr">
        <is>
          <t>You have $395.40 in checking. Between now and 10/14 you owe $390.15 on the card and $475.69 on the car - $865.84 against $395.40, with one $1,231.58 draw (9/15) landing in between. That is a genuine overdraft risk in the next 30 days, and an overdraft or a late payment right now would undo months of credit work. See 'Bill Calendar'.</t>
        </is>
      </c>
      <c r="E7" s="185" t="inlineStr">
        <is>
          <t>Avoids a 30-day late</t>
        </is>
      </c>
    </row>
    <row r="8" ht="48" customHeight="1">
      <c r="B8" s="183" t="n">
        <v>3</v>
      </c>
      <c r="C8" s="184" t="inlineStr">
        <is>
          <t>Correct your mental math: you get 24 draws a year, not 26</t>
        </is>
      </c>
      <c r="D8" s="7" t="inlineStr">
        <is>
          <t>Your own dates (3/31, 4/15, 4/30, 5/15, 5/29, 6/15, 6/30, 7/16, 7/30, 8/14, 8/28) are semi-monthly - the 15th and month-end - not every 14 days. Annualized that is $29,557.92, not $32,021.08. If you have been planning on 26 checks you have been overstating your floor by $2,463 a year.</t>
        </is>
      </c>
      <c r="E8" s="185" t="inlineStr">
        <is>
          <t>$2,463/yr correction</t>
        </is>
      </c>
    </row>
    <row r="9" ht="72" customHeight="1">
      <c r="B9" s="98" t="n">
        <v>4</v>
      </c>
      <c r="C9" s="186" t="inlineStr">
        <is>
          <t>Start a mileage log today</t>
        </is>
      </c>
      <c r="D9" s="7" t="inlineStr">
        <is>
          <t>12,000 business miles a year at roughly $0.70/mi is about $8,400 of deduction - materially more than the ~$2,590 the fuel actually costs you, because the IRS rate also covers depreciation, insurance and wear. If you are 1099 this is likely your single largest deduction. It requires a contemporaneous log; a free GPS app does it automatically. No log, no deduction, and it is the first thing an auditor asks for.</t>
        </is>
      </c>
      <c r="E9" s="187" t="inlineStr">
        <is>
          <t>~$2,000-2,500/yr in tax</t>
        </is>
      </c>
    </row>
    <row r="10" ht="18" customHeight="1">
      <c r="A10" s="4" t="inlineStr">
        <is>
          <t>THIS MONTH</t>
        </is>
      </c>
      <c r="B10" s="5" t="n"/>
      <c r="C10" s="5" t="n"/>
      <c r="D10" s="5" t="n"/>
      <c r="E10" s="5" t="n"/>
    </row>
    <row r="11" ht="30" customHeight="1">
      <c r="A11" s="55" t="inlineStr"/>
      <c r="B11" s="55" t="inlineStr">
        <is>
          <t>#</t>
        </is>
      </c>
      <c r="C11" s="55" t="inlineStr">
        <is>
          <t>Do this</t>
        </is>
      </c>
      <c r="D11" s="55" t="inlineStr">
        <is>
          <t>Why it matters</t>
        </is>
      </c>
      <c r="E11" s="55" t="inlineStr">
        <is>
          <t>Worth</t>
        </is>
      </c>
    </row>
    <row r="12" ht="36" customHeight="1">
      <c r="B12" s="188" t="n">
        <v>5</v>
      </c>
      <c r="C12" s="189" t="inlineStr">
        <is>
          <t>Open two accounts that do not exist yet: a Roth IRA and a named ring/travel savings account</t>
        </is>
      </c>
      <c r="D12" s="7" t="inlineStr">
        <is>
          <t>Both show $0 in this model because neither exists. The Roth is the bigger one - see item 8. The separate savings account matters for a behavioural reason: money in a named 'Ring' account does not get spent on tires.</t>
        </is>
      </c>
      <c r="E12" s="190" t="inlineStr">
        <is>
          <t>Foundational</t>
        </is>
      </c>
    </row>
    <row r="13" ht="60" customHeight="1">
      <c r="B13" s="191" t="n">
        <v>6</v>
      </c>
      <c r="C13" s="192" t="inlineStr">
        <is>
          <t>Check your HYSA rate against the certificate's 3.687%</t>
        </is>
      </c>
      <c r="D13" s="7" t="inlineStr">
        <is>
          <t>Your certificate auto-pulls $1,250 out of savings every 3 months - $416.67/mo of real cash movement. If your HYSA pays more than 3.687% (many pay ~4%), that automatic roll is moving money from a better account to a worse one, and locking it up for 3 months to do it. 'Certificate Ladder' column I runs the comparison over 8 years. Fix: keep the certificate but stop the auto-add, or size it down.</t>
        </is>
      </c>
      <c r="E13" s="193" t="inlineStr">
        <is>
          <t>A few hundred/yr</t>
        </is>
      </c>
    </row>
    <row r="14" ht="48" customHeight="1">
      <c r="B14" s="183" t="n">
        <v>7</v>
      </c>
      <c r="C14" s="184" t="inlineStr">
        <is>
          <t>Set the tax reserve to 30% and automate it - same day, every commission</t>
        </is>
      </c>
      <c r="D14" s="7" t="inlineStr">
        <is>
          <t>If you are 1099 nothing is withheld. The classic failure for commission earners is spending Q1 and Q2 money and meeting a five-figure bill in April. Move 30% to a separate account the day each commission lands, before you look at the balance. If you are W-2, set this to 0% on 'Inputs' and skip it.</t>
        </is>
      </c>
      <c r="E14" s="185" t="inlineStr">
        <is>
          <t>Avoids a 5-figure surprise</t>
        </is>
      </c>
    </row>
    <row r="15" ht="72" customHeight="1">
      <c r="B15" s="98" t="n">
        <v>8</v>
      </c>
      <c r="C15" s="186" t="inlineStr">
        <is>
          <t>Fund the Roth IRA before you fund the ring</t>
        </is>
      </c>
      <c r="D15" s="7" t="inlineStr">
        <is>
          <t>This is the recommendation you will most want to argue with, so here are the numbers: $7,000/yr from age 25 to 65 at 8% is about $1.81 million, of which roughly $1.53M is growth you never pay tax on. Start at 26 instead and you end with about $145,000 less. One year. And a Roth lets you withdraw your CONTRIBUTIONS at any time penalty-free, so it doubles as deep backup savings - it is not as locked-up as it feels.</t>
        </is>
      </c>
      <c r="E15" s="187" t="inlineStr">
        <is>
          <t>~$145,000 per year of delay</t>
        </is>
      </c>
    </row>
    <row r="16" ht="18" customHeight="1">
      <c r="A16" s="4" t="inlineStr">
        <is>
          <t>NEXT 90 DAYS  —  credit, because you want a mortgage</t>
        </is>
      </c>
      <c r="B16" s="5" t="n"/>
      <c r="C16" s="5" t="n"/>
      <c r="D16" s="5" t="n"/>
      <c r="E16" s="5" t="n"/>
    </row>
    <row r="17" ht="30" customHeight="1">
      <c r="A17" s="55" t="inlineStr"/>
      <c r="B17" s="55" t="inlineStr">
        <is>
          <t>#</t>
        </is>
      </c>
      <c r="C17" s="55" t="inlineStr">
        <is>
          <t>Do this</t>
        </is>
      </c>
      <c r="D17" s="55" t="inlineStr">
        <is>
          <t>Why it matters</t>
        </is>
      </c>
      <c r="E17" s="55" t="inlineStr">
        <is>
          <t>Worth</t>
        </is>
      </c>
    </row>
    <row r="18" ht="60" customHeight="1">
      <c r="B18" s="188" t="n">
        <v>9</v>
      </c>
      <c r="C18" s="189" t="inlineStr">
        <is>
          <t>Pay the statement balance in full - and make a second payment BEFORE the statement closes</t>
        </is>
      </c>
      <c r="D18" s="7" t="inlineStr">
        <is>
          <t>Direct answer to your question. Carrying a balance does NOT build credit; it just costs you 26.99%. But your issuer reports the balance on the STATEMENT CLOSING date, not the due date. So: pay it down to ~5% of your limit a few days before closing, let that small balance report, then pay the rest by the 7th. Zero interest, near-perfect utilization.</t>
        </is>
      </c>
      <c r="E18" s="190" t="inlineStr">
        <is>
          <t>20-40 FICO points</t>
        </is>
      </c>
    </row>
    <row r="19" ht="36" customHeight="1">
      <c r="B19" s="191" t="n">
        <v>10</v>
      </c>
      <c r="C19" s="192" t="inlineStr">
        <is>
          <t>Get added as an authorized user on a parent's oldest card</t>
        </is>
      </c>
      <c r="D19" s="7" t="inlineStr">
        <is>
          <t>You live at home - just ask. You inherit that card's full age and limit. With only 2 lines and a thin file, nothing else moves your score this fast or this cheaply.</t>
        </is>
      </c>
      <c r="E19" s="193" t="inlineStr">
        <is>
          <t>Fastest single win</t>
        </is>
      </c>
    </row>
    <row r="20" ht="60" customHeight="1">
      <c r="B20" s="188" t="n">
        <v>11</v>
      </c>
      <c r="C20" s="189" t="inlineStr">
        <is>
          <t>Add a third and fourth line - then stop</t>
        </is>
      </c>
      <c r="D20" s="7" t="inlineStr">
        <is>
          <t>Request a limit increase on your current card now (usually a soft pull, instantly lowers utilization). Open a gas-rewards card in Q4 2026 - you spend ~$216/mo on fuel, so 3% back is ~$78/yr. Add a fourth line by mid-2027. HARD DEADLINE: no new accounts within 12 months of your mortgage application. New inquiries and a lower average account age hit you exactly when pricing matters.</t>
        </is>
      </c>
      <c r="E20" s="190" t="inlineStr">
        <is>
          <t>Thin file -&gt; solid file</t>
        </is>
      </c>
    </row>
    <row r="21" ht="18" customHeight="1">
      <c r="A21" s="4" t="inlineStr">
        <is>
          <t>THE BIG STRUCTURAL DECISIONS</t>
        </is>
      </c>
      <c r="B21" s="5" t="n"/>
      <c r="C21" s="5" t="n"/>
      <c r="D21" s="5" t="n"/>
      <c r="E21" s="5" t="n"/>
    </row>
    <row r="22" ht="30" customHeight="1">
      <c r="A22" s="55" t="inlineStr"/>
      <c r="B22" s="55" t="inlineStr">
        <is>
          <t>#</t>
        </is>
      </c>
      <c r="C22" s="55" t="inlineStr">
        <is>
          <t>Do this</t>
        </is>
      </c>
      <c r="D22" s="55" t="inlineStr">
        <is>
          <t>Why it matters</t>
        </is>
      </c>
      <c r="E22" s="55" t="inlineStr">
        <is>
          <t>Worth</t>
        </is>
      </c>
    </row>
    <row r="23" ht="72" customHeight="1">
      <c r="B23" s="183" t="n">
        <v>12</v>
      </c>
      <c r="C23" s="184" t="inlineStr">
        <is>
          <t>Accept that the ring and the house cannot both happen in 2028</t>
        </is>
      </c>
      <c r="D23" s="7" t="inlineStr">
        <is>
          <t>Ring at $12,000 by Sept 2028 plus 8% of a $400,000 house (~$32,000) is ~$44,000 of cash inside about 30 months, on top of a 9-month emergency fund, on an income whose floor is $29,558. 'Goals' does this arithmetic honestly and the GAP row will show it. My suggestion: propose first (it is the dated, non-negotiable one), keep the house fund growing in the background, and buy in 2029-2030 when your income history also supports it.</t>
        </is>
      </c>
      <c r="E23" s="185" t="inlineStr">
        <is>
          <t>Sequencing, not sacrifice</t>
        </is>
      </c>
    </row>
    <row r="24" ht="84" customHeight="1">
      <c r="B24" s="183" t="n">
        <v>13</v>
      </c>
      <c r="C24" s="184" t="inlineStr">
        <is>
          <t>Your mortgage timeline is driven by income history, not by savings</t>
        </is>
      </c>
      <c r="D24" s="7" t="inlineStr">
        <is>
          <t>Variable/commission income generally needs a 2-year history to be used as qualifying income. You started 3/31/2026, so your first clean 2-year look is around April 2028 - and on the draw alone, 'Home Purchase' shows what you qualify for is not close to $400,000. This is the real constraint, and you already know it from the other side of the desk. If the draw turns out to be non-recoverable and is documented as guaranteed base salary, it may be usable much sooner - one more reason item 1 matters. Verify against current agency guidelines.</t>
        </is>
      </c>
      <c r="E24" s="185" t="inlineStr">
        <is>
          <t>Sets the whole timeline</t>
        </is>
      </c>
    </row>
    <row r="25" ht="72" customHeight="1">
      <c r="B25" s="191" t="n">
        <v>14</v>
      </c>
      <c r="C25" s="192" t="inlineStr">
        <is>
          <t>Do not accelerate the car loan for its own sake - but do kill it before you apply</t>
        </is>
      </c>
      <c r="D25" s="7" t="inlineStr">
        <is>
          <t>Two different questions. As an investment: only prepay if the APR (put the real one on 'Inputs') beats your HYSA rate; at 7.49% vs 4.00% it does, modestly. As mortgage strategy: that $475.69 payment is consuming a large share of your borrowing power - 'Home Purchase' section C prices it exactly. Clearing it before you apply buys more house than the interest saved. But never drain the down payment to do it - lenders want reserves too.</t>
        </is>
      </c>
      <c r="E25" s="193" t="inlineStr">
        <is>
          <t>See 'Home Purchase' C</t>
        </is>
      </c>
    </row>
    <row r="26" ht="48" customHeight="1">
      <c r="B26" s="183" t="n">
        <v>15</v>
      </c>
      <c r="C26" s="184" t="inlineStr">
        <is>
          <t>Plan for health insurance at 26</t>
        </is>
      </c>
      <c r="D26" s="7" t="inlineStr">
        <is>
          <t>You are 25. If you are on a parent's plan you age off at 26 - roughly a year out. That is $350-500/mo appearing in a budget that is already tight, and it is currently modeled at $0. Put a real number on 'Inputs' now so no plan you build this year quietly breaks next year.</t>
        </is>
      </c>
      <c r="E26" s="185" t="inlineStr">
        <is>
          <t>$4,200-6,000/yr cliff</t>
        </is>
      </c>
    </row>
    <row r="27" ht="48" customHeight="1">
      <c r="B27" s="191" t="n">
        <v>16</v>
      </c>
      <c r="C27" s="192" t="inlineStr">
        <is>
          <t>Ask whether Baxter offers a 401(k) with a match</t>
        </is>
      </c>
      <c r="D27" s="7" t="inlineStr">
        <is>
          <t>If there is a match, it outranks everything on this list including the Roth - a 50% match is a 50% instant return. If there is no plan and you are 1099, look at a SEP-IRA or Solo 401(k) instead: they shelter far more than $7,000 and become genuinely valuable in a strong year.</t>
        </is>
      </c>
      <c r="E27" s="193" t="inlineStr">
        <is>
          <t>Potentially thousands</t>
        </is>
      </c>
    </row>
    <row r="28" ht="60" customHeight="1">
      <c r="B28" s="188" t="n">
        <v>17</v>
      </c>
      <c r="C28" s="189" t="inlineStr">
        <is>
          <t>Buy disability insurance before you buy the ring</t>
        </is>
      </c>
      <c r="D28" s="7" t="inlineStr">
        <is>
          <t>Unglamorous and it is the one that actually protects the plan. You are 25, your entire income depends on you physically driving Maine and closing loans, you have no employer safety net worth the name, and you are about to take on a mortgage and a spouse. Own-occupation coverage is cheapest when you are young and healthy. Roughly 1-3% of income.</t>
        </is>
      </c>
      <c r="E28" s="190" t="inlineStr">
        <is>
          <t>Protects everything else</t>
        </is>
      </c>
    </row>
    <row r="29" ht="60" customHeight="1">
      <c r="B29" s="191" t="n">
        <v>18</v>
      </c>
      <c r="C29" s="192" t="inlineStr">
        <is>
          <t>Small things, because they are free</t>
        </is>
      </c>
      <c r="D29" s="7" t="inlineStr">
        <is>
          <t>Amazon Prime annual instead of monthly saves about $41/yr. Aroma Joe's at 4 visits/week is $1,248/yr - not a lecture, just make it a decision rather than a default; the model has a cell for it. And if you are 1099, open a separate business checking account: it makes the deductions in item 4 defensible instead of a reconstruction exercise every April.</t>
        </is>
      </c>
      <c r="E29" s="193" t="inlineStr">
        <is>
          <t>~$100-1,300/yr</t>
        </is>
      </c>
    </row>
    <row r="31" ht="44" customHeight="1">
      <c r="C31" s="46" t="inlineStr">
        <is>
          <t>One honest caveat:</t>
        </is>
      </c>
      <c r="D31" s="171" t="inlineStr">
        <is>
          <t>The two numbers with the largest effect on this entire model - whether the draw is recoverable, and whether you are W-2 or 1099 - are the two I had to guess at. The model currently assumes the pessimistic case for both (recoverable, 1099). Change them on 'Inputs' the moment you know, and everything re-solves.</t>
        </is>
      </c>
    </row>
  </sheetData>
  <mergeCells count="6">
    <mergeCell ref="A21:E21"/>
    <mergeCell ref="A4:E4"/>
    <mergeCell ref="A2:E2"/>
    <mergeCell ref="A16:E16"/>
    <mergeCell ref="A10:E10"/>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2026-09-10T13:31:27Z</dcterms:created>
  <dcterms:modified xsi:type="dcterms:W3CDTF">2026-09-10T13:31:27Z</dcterms:modified>
</cp:coreProperties>
</file>