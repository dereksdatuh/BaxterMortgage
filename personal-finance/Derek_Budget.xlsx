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puts" sheetId="2" state="visible" r:id="rId2"/>
    <sheet name="Budget" sheetId="3" state="visible" r:id="rId3"/>
    <sheet name="Deal Log" sheetId="4" state="visible" r:id="rId4"/>
    <sheet name="Scenarios" sheetId="5" state="visible" r:id="rId5"/>
    <sheet name="Goals" sheetId="6" state="visible" r:id="rId6"/>
    <sheet name="Money Spl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&quot;-&quot;"/>
    <numFmt numFmtId="165" formatCode="#,##0.0"/>
    <numFmt numFmtId="166" formatCode="0.0%"/>
    <numFmt numFmtId="167" formatCode="$#,##0;($#,##0);&quot;-&quot;"/>
    <numFmt numFmtId="168" formatCode="yyyy-mm-dd"/>
    <numFmt numFmtId="169" formatCode="mm/dd/yyyy"/>
    <numFmt numFmtId="170" formatCode="mmm 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00FF"/>
      <sz val="11"/>
    </font>
    <font>
      <name val="Arial"/>
      <i val="1"/>
      <color rgb="00595959"/>
      <sz val="9"/>
    </font>
    <font>
      <name val="Arial"/>
      <b val="1"/>
      <sz val="11"/>
    </font>
    <font>
      <name val="Arial"/>
      <color rgb="00008000"/>
      <sz val="11"/>
    </font>
    <font>
      <name val="Arial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0F2B46"/>
      </patternFill>
    </fill>
    <fill>
      <patternFill patternType="solid">
        <fgColor rgb="001E7B4F"/>
      </patternFill>
    </fill>
    <fill>
      <patternFill patternType="solid">
        <fgColor rgb="00FFF2CC"/>
      </patternFill>
    </fill>
    <fill>
      <patternFill patternType="solid">
        <fgColor rgb="00E3F4EA"/>
      </patternFill>
    </fill>
    <fill>
      <patternFill patternType="solid">
        <fgColor rgb="00FFFF00"/>
      </patternFill>
    </fill>
    <fill>
      <patternFill patternType="solid">
        <fgColor rgb="00F2F5F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7C2CC"/>
      </left>
      <right style="thin">
        <color rgb="00B7C2CC"/>
      </right>
      <top style="thin">
        <color rgb="00B7C2CC"/>
      </top>
      <bottom style="thin">
        <color rgb="00B7C2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3" borderId="0" pivotButton="0" quotePrefix="0" xfId="0"/>
    <xf numFmtId="0" fontId="0" fillId="3" borderId="0" pivotButton="0" quotePrefix="0" xfId="0"/>
    <xf numFmtId="0" fontId="7" fillId="0" borderId="1" pivotButton="0" quotePrefix="0" xfId="0"/>
    <xf numFmtId="0" fontId="4" fillId="0" borderId="1" applyAlignment="1" pivotButton="0" quotePrefix="0" xfId="0">
      <alignment vertical="center" wrapText="1"/>
    </xf>
    <xf numFmtId="0" fontId="7" fillId="8" borderId="1" pivotButton="0" quotePrefix="0" xfId="0"/>
    <xf numFmtId="0" fontId="4" fillId="8" borderId="1" applyAlignment="1" pivotButton="0" quotePrefix="0" xfId="0">
      <alignment vertical="center" wrapText="1"/>
    </xf>
    <xf numFmtId="0" fontId="4" fillId="0" borderId="0" pivotButton="0" quotePrefix="0" xfId="0"/>
    <xf numFmtId="164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3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164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8" fillId="0" borderId="1" pivotButton="0" quotePrefix="0" xfId="0"/>
    <xf numFmtId="164" fontId="4" fillId="0" borderId="1" pivotButton="0" quotePrefix="0" xfId="0"/>
    <xf numFmtId="0" fontId="6" fillId="0" borderId="1" applyAlignment="1" pivotButton="0" quotePrefix="0" xfId="0">
      <alignment vertical="center" wrapText="1"/>
    </xf>
    <xf numFmtId="0" fontId="4" fillId="7" borderId="1" pivotButton="0" quotePrefix="0" xfId="0"/>
    <xf numFmtId="164" fontId="8" fillId="7" borderId="1" pivotButton="0" quotePrefix="0" xfId="0"/>
    <xf numFmtId="164" fontId="4" fillId="7" borderId="1" pivotButton="0" quotePrefix="0" xfId="0"/>
    <xf numFmtId="0" fontId="6" fillId="7" borderId="1" applyAlignment="1" pivotButton="0" quotePrefix="0" xfId="0">
      <alignment vertical="center" wrapText="1"/>
    </xf>
    <xf numFmtId="164" fontId="7" fillId="4" borderId="1" pivotButton="0" quotePrefix="0" xfId="0"/>
    <xf numFmtId="0" fontId="6" fillId="0" borderId="1" pivotButton="0" quotePrefix="0" xfId="0"/>
    <xf numFmtId="164" fontId="7" fillId="8" borderId="1" pivotButton="0" quotePrefix="0" xfId="0"/>
    <xf numFmtId="164" fontId="8" fillId="5" borderId="1" pivotButton="0" quotePrefix="0" xfId="0"/>
    <xf numFmtId="164" fontId="4" fillId="5" borderId="1" pivotButton="0" quotePrefix="0" xfId="0"/>
    <xf numFmtId="164" fontId="7" fillId="6" borderId="1" pivotButton="0" quotePrefix="0" xfId="0"/>
    <xf numFmtId="165" fontId="7" fillId="4" borderId="1" pivotButton="0" quotePrefix="0" xfId="0"/>
    <xf numFmtId="0" fontId="7" fillId="7" borderId="1" pivotButton="0" quotePrefix="0" xfId="0"/>
    <xf numFmtId="167" fontId="7" fillId="5" borderId="1" pivotButton="0" quotePrefix="0" xfId="0"/>
    <xf numFmtId="164" fontId="7" fillId="5" borderId="1" pivotButton="0" quotePrefix="0" xfId="0"/>
    <xf numFmtId="0" fontId="6" fillId="0" borderId="0" pivotButton="0" quotePrefix="0" xfId="0"/>
    <xf numFmtId="0" fontId="9" fillId="8" borderId="0" pivotButton="0" quotePrefix="0" xfId="0"/>
    <xf numFmtId="169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7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169" fontId="5" fillId="7" borderId="1" pivotButton="0" quotePrefix="0" xfId="0"/>
    <xf numFmtId="0" fontId="5" fillId="7" borderId="1" pivotButton="0" quotePrefix="0" xfId="0"/>
    <xf numFmtId="167" fontId="5" fillId="7" borderId="1" pivotButton="0" quotePrefix="0" xfId="0"/>
    <xf numFmtId="10" fontId="5" fillId="7" borderId="1" pivotButton="0" quotePrefix="0" xfId="0"/>
    <xf numFmtId="170" fontId="4" fillId="7" borderId="1" applyAlignment="1" pivotButton="0" quotePrefix="0" xfId="0">
      <alignment horizontal="center" vertical="center"/>
    </xf>
    <xf numFmtId="169" fontId="5" fillId="0" borderId="1" pivotButton="0" quotePrefix="0" xfId="0"/>
    <xf numFmtId="167" fontId="5" fillId="0" borderId="1" pivotButton="0" quotePrefix="0" xfId="0"/>
    <xf numFmtId="10" fontId="5" fillId="0" borderId="1" pivotButton="0" quotePrefix="0" xfId="0"/>
    <xf numFmtId="167" fontId="5" fillId="4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7" fontId="4" fillId="0" borderId="1" pivotButton="0" quotePrefix="0" xfId="0"/>
    <xf numFmtId="164" fontId="7" fillId="0" borderId="1" pivotButton="0" quotePrefix="0" xfId="0"/>
    <xf numFmtId="0" fontId="4" fillId="0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67" fontId="4" fillId="7" borderId="1" pivotButton="0" quotePrefix="0" xfId="0"/>
    <xf numFmtId="164" fontId="7" fillId="7" borderId="1" pivotButton="0" quotePrefix="0" xfId="0"/>
    <xf numFmtId="0" fontId="4" fillId="7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5" fillId="7" borderId="1" pivotButton="0" quotePrefix="0" xfId="0"/>
    <xf numFmtId="169" fontId="5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notes</author>
  </authors>
  <commentList>
    <comment ref="D6" authorId="0" shapeId="0">
      <text>
        <t>Company fee (275/200/150 bps) doesn't change your pay. It's here so you can see what discounting costs the shop.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F2B46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 ht="24" customHeight="1">
      <c r="A1" s="1" t="inlineStr">
        <is>
          <t>START HERE</t>
        </is>
      </c>
      <c r="B1" s="2" t="n"/>
    </row>
    <row r="2">
      <c r="A2" s="3" t="inlineStr">
        <is>
          <t>Derek Smith · Baxter Mortgage · built September 2026</t>
        </is>
      </c>
      <c r="B2" s="2" t="n"/>
    </row>
    <row r="4">
      <c r="A4" s="4" t="inlineStr">
        <is>
          <t xml:space="preserve">  HOW TO USE IT</t>
        </is>
      </c>
      <c r="B4" s="5" t="n"/>
    </row>
    <row r="5" ht="28" customHeight="1">
      <c r="A5" s="6" t="inlineStr">
        <is>
          <t>Inputs</t>
        </is>
      </c>
      <c r="B5" s="7" t="inlineStr">
        <is>
          <t>Fix every YELLOW cell — those are numbers I had to guess. Blue cells are yours to change.</t>
        </is>
      </c>
    </row>
    <row r="6" ht="28" customHeight="1">
      <c r="A6" s="6" t="inlineStr">
        <is>
          <t>Budget</t>
        </is>
      </c>
      <c r="B6" s="7" t="inlineStr">
        <is>
          <t>What the draw covers and what it doesn't. Right now this is your whole financial picture.</t>
        </is>
      </c>
    </row>
    <row r="7" ht="28" customHeight="1">
      <c r="A7" s="6" t="inlineStr">
        <is>
          <t>Deal Log</t>
        </is>
      </c>
      <c r="B7" s="7" t="inlineStr">
        <is>
          <t>One row per closing. Your 75 bps calculates itself. Delete the example row first.</t>
        </is>
      </c>
    </row>
    <row r="8" ht="28" customHeight="1">
      <c r="A8" s="6" t="inlineStr">
        <is>
          <t>Scenarios</t>
        </is>
      </c>
      <c r="B8" s="7" t="inlineStr">
        <is>
          <t>What take-home looks like at 0-6 loans a month, under each comp structure.</t>
        </is>
      </c>
    </row>
    <row r="9" ht="28" customHeight="1">
      <c r="A9" s="6" t="inlineStr">
        <is>
          <t>Goals</t>
        </is>
      </c>
      <c r="B9" s="7" t="inlineStr">
        <is>
          <t>Set targets and dates; it tells you the monthly cost.</t>
        </is>
      </c>
    </row>
    <row r="10" ht="28" customHeight="1">
      <c r="A10" s="6" t="inlineStr">
        <is>
          <t>Money Split</t>
        </is>
      </c>
      <c r="B10" s="7" t="inlineStr">
        <is>
          <t>A check landed — type the amount, follow the steps.</t>
        </is>
      </c>
    </row>
    <row r="11">
      <c r="A11" s="4" t="inlineStr">
        <is>
          <t xml:space="preserve">  THE FIVE THINGS THAT MATTER</t>
        </is>
      </c>
      <c r="B11" s="5" t="n"/>
    </row>
    <row r="12" ht="52" customHeight="1">
      <c r="A12" s="8" t="inlineStr">
        <is>
          <t>1. Ask the owner three questions</t>
        </is>
      </c>
      <c r="B12" s="9" t="inlineStr">
        <is>
          <t>In writing: (a) Is the draw recoverable? (b) Am I W-2 or 1099? (c) If recoverable, does the WHOLE commission go to the advance or only part? You raised (c) yourself and it's the right question — it's the 'recapture %' dial on Inputs. Nothing else in this file is reliable until you have all three answers.</t>
        </is>
      </c>
    </row>
    <row r="13" ht="28" customHeight="1">
      <c r="A13" s="8" t="inlineStr">
        <is>
          <t>2. You get 24 paychecks a year, not 26</t>
        </is>
      </c>
      <c r="B13" s="9" t="inlineStr">
        <is>
          <t>Your dates are the 15th and month-end — semi-monthly. That's $29,557.92/yr, not $32,021.08. If you'd been planning on 26 you were overstating your income by about $2,463 a year.</t>
        </is>
      </c>
    </row>
    <row r="14" ht="28" customHeight="1">
      <c r="A14" s="8" t="inlineStr">
        <is>
          <t>3. Fix checking first</t>
        </is>
      </c>
      <c r="B14" s="9" t="inlineStr">
        <is>
          <t>$395.40 on hand, $390.15 due 10/7 and $475.69 due 10/14. That's an overdraft risk in the next month, and a late payment now would undo a lot of credit work.</t>
        </is>
      </c>
    </row>
    <row r="15" ht="39" customHeight="1">
      <c r="A15" s="6" t="inlineStr">
        <is>
          <t>4. One loan a month doesn't move the needle</t>
        </is>
      </c>
      <c r="B15" s="7" t="inlineStr">
        <is>
          <t>A $300k loan pays you $2,250. Your monthly draw is $2,463.16. Under a 'greater of' structure, closing one loan in a month is worth literally nothing extra. You need roughly 1.1 loans a month before commission beats the draw at all — and more than that before it beats your costs.</t>
        </is>
      </c>
    </row>
    <row r="16" ht="39" customHeight="1">
      <c r="A16" s="6" t="inlineStr">
        <is>
          <t>5. Open the two accounts that don't exist yet</t>
        </is>
      </c>
      <c r="B16" s="7" t="inlineStr">
        <is>
          <t>A Roth IRA and a separate named savings account for the ring. Both show $0 because neither exists. Being 25 with $0 invested is the one thing here that gets more expensive every month you wait.</t>
        </is>
      </c>
    </row>
    <row r="17">
      <c r="A17" s="4" t="inlineStr">
        <is>
          <t xml:space="preserve">  ON YOUR CREDIT CARD QUESTION</t>
        </is>
      </c>
      <c r="B17" s="5" t="n"/>
    </row>
    <row r="18" ht="78" customHeight="1">
      <c r="A18" s="6" t="inlineStr">
        <is>
          <t>Pay in full — but pay twice</t>
        </is>
      </c>
      <c r="B18" s="7" t="inlineStr">
        <is>
          <t>Carrying a balance does NOT build credit; it just costs you interest. But your card reports the balance on the STATEMENT CLOSING date, not the due date. So pay it down to about 5% of your limit a few days before the statement closes, let that small balance report, then pay the rest by the 7th. Zero interest, near-perfect utilization. You have only 2 credit lines — also ask a parent to add you as an authorized user on their oldest card, and request a limit increase. Then stop opening things 12 months before you apply for a mortgage.</t>
        </is>
      </c>
    </row>
    <row r="19">
      <c r="A19" s="4" t="inlineStr">
        <is>
          <t xml:space="preserve">  WHAT I GUESSED</t>
        </is>
      </c>
      <c r="B19" s="5" t="n"/>
    </row>
    <row r="20" ht="52" customHeight="1">
      <c r="A20" s="6" t="inlineStr">
        <is>
          <t>Confirm these</t>
        </is>
      </c>
      <c r="B20" s="7" t="inlineStr">
        <is>
          <t>Car insurance $165, phone $60, food $400, fun $250, car maintenance $90, savings rate 4.00%, credit limit $5,000. Also: health insurance is set to $0 because I assumed you're on a parent's plan — you age off at 26, which is about a year away, and that's $350-500/mo landing in an already-tight budget.</t>
        </is>
      </c>
    </row>
    <row r="21" ht="28" customHeight="1">
      <c r="A21" s="8" t="inlineStr">
        <is>
          <t>Not advice</t>
        </is>
      </c>
      <c r="B21" s="9" t="inlineStr">
        <is>
          <t>A planning model built from the numbers you gave me. Not tax, legal or investment advice — confirm your comp structure with the owner and your tax status with a CPA.</t>
        </is>
      </c>
    </row>
  </sheetData>
  <mergeCells count="6">
    <mergeCell ref="A4:B4"/>
    <mergeCell ref="A2:B2"/>
    <mergeCell ref="A19:B19"/>
    <mergeCell ref="A11:B11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B46"/>
    <outlinePr summaryBelow="1" summaryRight="1"/>
    <pageSetUpPr/>
  </sheetPr>
  <dimension ref="A1:D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62" customWidth="1" min="4" max="4"/>
  </cols>
  <sheetData>
    <row r="1" ht="24" customHeight="1">
      <c r="A1" s="1" t="inlineStr">
        <is>
          <t>YOUR NUMBERS</t>
        </is>
      </c>
      <c r="B1" s="2" t="n"/>
      <c r="C1" s="2" t="n"/>
      <c r="D1" s="2" t="n"/>
    </row>
    <row r="2">
      <c r="A2" s="3" t="inlineStr">
        <is>
          <t>Edit the BLUE cells. YELLOW = I guessed, please confirm.</t>
        </is>
      </c>
      <c r="B2" s="2" t="n"/>
      <c r="C2" s="2" t="n"/>
      <c r="D2" s="2" t="n"/>
    </row>
    <row r="4">
      <c r="A4" s="4" t="inlineStr">
        <is>
          <t xml:space="preserve">  WHAT YOU MAKE RIGHT NOW</t>
        </is>
      </c>
      <c r="B4" s="5" t="n"/>
      <c r="C4" s="5" t="n"/>
      <c r="D4" s="5" t="n"/>
    </row>
    <row r="5">
      <c r="A5" s="10" t="inlineStr">
        <is>
          <t>Draw per paycheck</t>
        </is>
      </c>
      <c r="B5" s="11" t="n">
        <v>1231.58</v>
      </c>
      <c r="C5" s="12" t="inlineStr">
        <is>
          <t>$</t>
        </is>
      </c>
      <c r="D5" s="13" t="inlineStr"/>
    </row>
    <row r="6">
      <c r="A6" s="10" t="inlineStr">
        <is>
          <t>Paychecks per year</t>
        </is>
      </c>
      <c r="B6" s="14" t="n">
        <v>24</v>
      </c>
      <c r="C6" s="12" t="inlineStr">
        <is>
          <t>/yr</t>
        </is>
      </c>
      <c r="D6" s="13" t="inlineStr">
        <is>
          <t>24, not 26. Your dates (3/31, 4/15, 4/30, 5/15, 5/29, 6/15, 6/30, 7/16, 7/30, 8/14, 8/28) are the 15th + month-end. Semi-monthly.</t>
        </is>
      </c>
    </row>
    <row r="7">
      <c r="A7" s="15" t="inlineStr">
        <is>
          <t>MONTHLY INCOME (draw only)</t>
        </is>
      </c>
      <c r="B7" s="16">
        <f>B5*B6/12</f>
        <v/>
      </c>
      <c r="C7" s="12" t="inlineStr">
        <is>
          <t>$/mo</t>
        </is>
      </c>
      <c r="D7" s="13" t="inlineStr">
        <is>
          <t>This is all you're making until commissions start landing.</t>
        </is>
      </c>
    </row>
    <row r="8">
      <c r="A8" s="15" t="inlineStr">
        <is>
          <t>Annual draw</t>
        </is>
      </c>
      <c r="B8" s="16">
        <f>B5*B6</f>
        <v/>
      </c>
      <c r="C8" s="12" t="inlineStr">
        <is>
          <t>$/yr</t>
        </is>
      </c>
      <c r="D8" s="13" t="inlineStr"/>
    </row>
    <row r="9">
      <c r="A9" s="10" t="inlineStr">
        <is>
          <t>Draws received so far</t>
        </is>
      </c>
      <c r="B9" s="14" t="n">
        <v>11</v>
      </c>
      <c r="C9" s="12" t="inlineStr">
        <is>
          <t>checks</t>
        </is>
      </c>
      <c r="D9" s="13" t="inlineStr"/>
    </row>
    <row r="10">
      <c r="A10" s="15" t="inlineStr">
        <is>
          <t>Draw dollars taken to date</t>
        </is>
      </c>
      <c r="B10" s="16">
        <f>B5*B9</f>
        <v/>
      </c>
      <c r="C10" s="12" t="inlineStr">
        <is>
          <t>$</t>
        </is>
      </c>
      <c r="D10" s="13" t="inlineStr">
        <is>
          <t>If the draw is RECOVERABLE, this is what you owe back before commission reaches you.</t>
        </is>
      </c>
    </row>
    <row r="11">
      <c r="A11" s="10" t="inlineStr">
        <is>
          <t>Is the draw recoverable?</t>
        </is>
      </c>
      <c r="B11" s="17" t="inlineStr">
        <is>
          <t>Yes</t>
        </is>
      </c>
      <c r="C11" s="12" t="inlineStr">
        <is>
          <t>Yes/No</t>
        </is>
      </c>
      <c r="D11" s="13" t="inlineStr">
        <is>
          <t>ASK THE OWNER IN WRITING. Yes = you repay it from commissions. No = it's yours.</t>
        </is>
      </c>
    </row>
    <row r="12">
      <c r="A12" s="10" t="inlineStr">
        <is>
          <t>Your commission</t>
        </is>
      </c>
      <c r="B12" s="18" t="n">
        <v>0.0075</v>
      </c>
      <c r="C12" s="12" t="inlineStr">
        <is>
          <t>of loan</t>
        </is>
      </c>
      <c r="D12" s="13" t="inlineStr">
        <is>
          <t>75 bps. Doesn't change whether the company charges 275, 200 or 150.</t>
        </is>
      </c>
    </row>
    <row r="13">
      <c r="A13" s="4" t="inlineStr">
        <is>
          <t xml:space="preserve">  WHAT YOU SPEND</t>
        </is>
      </c>
      <c r="B13" s="5" t="n"/>
      <c r="C13" s="5" t="n"/>
      <c r="D13" s="5" t="n"/>
    </row>
    <row r="14">
      <c r="A14" s="10" t="inlineStr">
        <is>
          <t>Car payment</t>
        </is>
      </c>
      <c r="B14" s="11" t="n">
        <v>475.69</v>
      </c>
      <c r="C14" s="12" t="inlineStr">
        <is>
          <t>$/mo</t>
        </is>
      </c>
      <c r="D14" s="13" t="inlineStr">
        <is>
          <t>Due the 14th.</t>
        </is>
      </c>
    </row>
    <row r="15">
      <c r="A15" s="10" t="inlineStr">
        <is>
          <t>Gym (per charge x2/mo)</t>
        </is>
      </c>
      <c r="B15" s="11" t="n">
        <v>31.99</v>
      </c>
      <c r="C15" s="12" t="inlineStr">
        <is>
          <t>$/charge</t>
        </is>
      </c>
      <c r="D15" s="13" t="inlineStr">
        <is>
          <t>Mid-month + last day = 24/yr.</t>
        </is>
      </c>
    </row>
    <row r="16">
      <c r="A16" s="10" t="inlineStr">
        <is>
          <t>Amazon Prime</t>
        </is>
      </c>
      <c r="B16" s="11" t="n">
        <v>15</v>
      </c>
      <c r="C16" s="12" t="inlineStr">
        <is>
          <t>$/mo</t>
        </is>
      </c>
      <c r="D16" s="13" t="inlineStr">
        <is>
          <t>Annual plan is ~$11.58/mo. Saves $41/yr.</t>
        </is>
      </c>
    </row>
    <row r="17">
      <c r="A17" s="10" t="inlineStr">
        <is>
          <t>Car insurance</t>
        </is>
      </c>
      <c r="B17" s="19" t="n">
        <v>165</v>
      </c>
      <c r="C17" s="12" t="inlineStr">
        <is>
          <t>$/mo</t>
        </is>
      </c>
      <c r="D17" s="13" t="inlineStr">
        <is>
          <t>YOU DIDN'T LIST THIS but your lender requires it. Put your real premium in.</t>
        </is>
      </c>
    </row>
    <row r="18">
      <c r="A18" s="10" t="inlineStr">
        <is>
          <t>Phone</t>
        </is>
      </c>
      <c r="B18" s="19" t="n">
        <v>60</v>
      </c>
      <c r="C18" s="12" t="inlineStr">
        <is>
          <t>$/mo</t>
        </is>
      </c>
      <c r="D18" s="13" t="inlineStr">
        <is>
          <t>NOT LISTED. Set to 0 if you're on a family plan.</t>
        </is>
      </c>
    </row>
    <row r="19">
      <c r="A19" s="10" t="inlineStr">
        <is>
          <t>Miles driven</t>
        </is>
      </c>
      <c r="B19" s="14" t="n">
        <v>1000</v>
      </c>
      <c r="C19" s="12" t="inlineStr">
        <is>
          <t>mi/mo</t>
        </is>
      </c>
      <c r="D19" s="13" t="inlineStr"/>
    </row>
    <row r="20">
      <c r="A20" s="10" t="inlineStr">
        <is>
          <t>Gas price</t>
        </is>
      </c>
      <c r="B20" s="11" t="n">
        <v>4.1</v>
      </c>
      <c r="C20" s="12" t="inlineStr">
        <is>
          <t>$/gal</t>
        </is>
      </c>
      <c r="D20" s="13" t="inlineStr"/>
    </row>
    <row r="21">
      <c r="A21" s="10" t="inlineStr">
        <is>
          <t>MPG</t>
        </is>
      </c>
      <c r="B21" s="20" t="n">
        <v>19</v>
      </c>
      <c r="C21" s="12" t="inlineStr">
        <is>
          <t>mpg</t>
        </is>
      </c>
      <c r="D21" s="13" t="inlineStr">
        <is>
          <t>Middle of the 18-20 you gave.</t>
        </is>
      </c>
    </row>
    <row r="22">
      <c r="A22" s="15" t="inlineStr">
        <is>
          <t xml:space="preserve">  = Fuel</t>
        </is>
      </c>
      <c r="B22" s="16">
        <f>B19/B21*B20</f>
        <v/>
      </c>
      <c r="C22" s="12" t="inlineStr">
        <is>
          <t>$/mo</t>
        </is>
      </c>
      <c r="D22" s="13" t="inlineStr"/>
    </row>
    <row r="23">
      <c r="A23" s="10" t="inlineStr">
        <is>
          <t>Aroma Joes per visit</t>
        </is>
      </c>
      <c r="B23" s="11" t="n">
        <v>6</v>
      </c>
      <c r="C23" s="12" t="inlineStr">
        <is>
          <t>$</t>
        </is>
      </c>
      <c r="D23" s="13" t="inlineStr"/>
    </row>
    <row r="24">
      <c r="A24" s="10" t="inlineStr">
        <is>
          <t xml:space="preserve">  visits per week</t>
        </is>
      </c>
      <c r="B24" s="14" t="n">
        <v>4</v>
      </c>
      <c r="C24" s="12" t="inlineStr">
        <is>
          <t>/wk</t>
        </is>
      </c>
      <c r="D24" s="13" t="inlineStr">
        <is>
          <t>4/wk = $1,248/yr. Just so you can see it.</t>
        </is>
      </c>
    </row>
    <row r="25">
      <c r="A25" s="15" t="inlineStr">
        <is>
          <t xml:space="preserve">  = Coffee</t>
        </is>
      </c>
      <c r="B25" s="16">
        <f>B23*B24*52/12</f>
        <v/>
      </c>
      <c r="C25" s="12" t="inlineStr">
        <is>
          <t>$/mo</t>
        </is>
      </c>
      <c r="D25" s="13" t="inlineStr"/>
    </row>
    <row r="26">
      <c r="A26" s="10" t="inlineStr">
        <is>
          <t>Food / eating out</t>
        </is>
      </c>
      <c r="B26" s="19" t="n">
        <v>400</v>
      </c>
      <c r="C26" s="12" t="inlineStr">
        <is>
          <t>$/mo</t>
        </is>
      </c>
      <c r="D26" s="13" t="inlineStr">
        <is>
          <t>NOT LISTED. You live at home so this may be lower.</t>
        </is>
      </c>
    </row>
    <row r="27">
      <c r="A27" s="10" t="inlineStr">
        <is>
          <t>Personal / fun</t>
        </is>
      </c>
      <c r="B27" s="19" t="n">
        <v>250</v>
      </c>
      <c r="C27" s="12" t="inlineStr">
        <is>
          <t>$/mo</t>
        </is>
      </c>
      <c r="D27" s="13" t="inlineStr">
        <is>
          <t>NOT LISTED.</t>
        </is>
      </c>
    </row>
    <row r="28">
      <c r="A28" s="10" t="inlineStr">
        <is>
          <t>Car maintenance set-aside</t>
        </is>
      </c>
      <c r="B28" s="19" t="n">
        <v>90</v>
      </c>
      <c r="C28" s="12" t="inlineStr">
        <is>
          <t>$/mo</t>
        </is>
      </c>
      <c r="D28" s="13" t="inlineStr">
        <is>
          <t>NOT LISTED. 12k miles of Maine driving = tires and brakes.</t>
        </is>
      </c>
    </row>
    <row r="29">
      <c r="A29" s="10" t="inlineStr">
        <is>
          <t>Marketing</t>
        </is>
      </c>
      <c r="B29" s="19" t="n">
        <v>1000</v>
      </c>
      <c r="C29" s="12" t="inlineStr">
        <is>
          <t>$/mo</t>
        </is>
      </c>
      <c r="D29" s="13" t="inlineStr">
        <is>
          <t>Set to 0 if the company pays for it.</t>
        </is>
      </c>
    </row>
    <row r="30">
      <c r="A30" s="4" t="inlineStr">
        <is>
          <t xml:space="preserve">  WHAT YOU HAVE</t>
        </is>
      </c>
      <c r="B30" s="5" t="n"/>
      <c r="C30" s="5" t="n"/>
      <c r="D30" s="5" t="n"/>
    </row>
    <row r="31">
      <c r="A31" s="10" t="inlineStr">
        <is>
          <t>Checking</t>
        </is>
      </c>
      <c r="B31" s="11" t="n">
        <v>395.4</v>
      </c>
      <c r="C31" s="12" t="inlineStr">
        <is>
          <t>$</t>
        </is>
      </c>
      <c r="D31" s="13" t="inlineStr"/>
    </row>
    <row r="32">
      <c r="A32" s="10" t="inlineStr">
        <is>
          <t>High-yield savings</t>
        </is>
      </c>
      <c r="B32" s="11" t="n">
        <v>8398.9</v>
      </c>
      <c r="C32" s="12" t="inlineStr">
        <is>
          <t>$</t>
        </is>
      </c>
      <c r="D32" s="13" t="inlineStr"/>
    </row>
    <row r="33">
      <c r="A33" s="10" t="inlineStr">
        <is>
          <t xml:space="preserve">  savings rate</t>
        </is>
      </c>
      <c r="B33" s="21" t="n">
        <v>0.04</v>
      </c>
      <c r="C33" s="12" t="inlineStr">
        <is>
          <t>APY</t>
        </is>
      </c>
      <c r="D33" s="13" t="inlineStr">
        <is>
          <t>CONFIRM. If it beats 3.687%, your certificate is the worse account.</t>
        </is>
      </c>
    </row>
    <row r="34">
      <c r="A34" s="10" t="inlineStr">
        <is>
          <t>Shared certificate</t>
        </is>
      </c>
      <c r="B34" s="11" t="n">
        <v>6522.71</v>
      </c>
      <c r="C34" s="12" t="inlineStr">
        <is>
          <t>$</t>
        </is>
      </c>
      <c r="D34" s="13" t="inlineStr"/>
    </row>
    <row r="35">
      <c r="A35" s="10" t="inlineStr">
        <is>
          <t xml:space="preserve">  certificate rate</t>
        </is>
      </c>
      <c r="B35" s="18" t="n">
        <v>0.03687</v>
      </c>
      <c r="C35" s="12" t="inlineStr">
        <is>
          <t>APY</t>
        </is>
      </c>
      <c r="D35" s="13" t="inlineStr"/>
    </row>
    <row r="36">
      <c r="A36" s="10" t="inlineStr">
        <is>
          <t xml:space="preserve">  auto-transfer each roll</t>
        </is>
      </c>
      <c r="B36" s="11" t="n">
        <v>1250</v>
      </c>
      <c r="C36" s="12" t="inlineStr">
        <is>
          <t>$/3mo</t>
        </is>
      </c>
      <c r="D36" s="13">
        <f> $416.67/mo leaving your savings automatically.</f>
        <v/>
      </c>
    </row>
    <row r="37">
      <c r="A37" s="10" t="inlineStr">
        <is>
          <t>Credit card balance</t>
        </is>
      </c>
      <c r="B37" s="11" t="n">
        <v>390.15</v>
      </c>
      <c r="C37" s="12" t="inlineStr">
        <is>
          <t>$</t>
        </is>
      </c>
      <c r="D37" s="13" t="inlineStr">
        <is>
          <t>Due the 7th.</t>
        </is>
      </c>
    </row>
    <row r="38">
      <c r="A38" s="10" t="inlineStr">
        <is>
          <t xml:space="preserve">  credit limit</t>
        </is>
      </c>
      <c r="B38" s="19" t="n">
        <v>5000</v>
      </c>
      <c r="C38" s="12" t="inlineStr">
        <is>
          <t>$</t>
        </is>
      </c>
      <c r="D38" s="13" t="inlineStr">
        <is>
          <t>CONFIRM - drives your utilization %.</t>
        </is>
      </c>
    </row>
    <row r="39">
      <c r="A39" s="10" t="inlineStr">
        <is>
          <t>Car loan balance</t>
        </is>
      </c>
      <c r="B39" s="11" t="n">
        <v>25092.02</v>
      </c>
      <c r="C39" s="12" t="inlineStr">
        <is>
          <t>$</t>
        </is>
      </c>
      <c r="D39" s="13" t="inlineStr"/>
    </row>
    <row r="40">
      <c r="A40" s="10" t="inlineStr">
        <is>
          <t>Tax set-aside %</t>
        </is>
      </c>
      <c r="B40" s="22" t="n">
        <v>0.3</v>
      </c>
      <c r="C40" s="12" t="inlineStr">
        <is>
          <t>of income</t>
        </is>
      </c>
      <c r="D40" s="13" t="inlineStr">
        <is>
          <t>If you're 1099, move 30% of every check to a separate account the day it lands. If W-2, set to 0.</t>
        </is>
      </c>
    </row>
    <row r="42">
      <c r="A42" s="4" t="inlineStr">
        <is>
          <t xml:space="preserve">  HOW THE DRAW GETS PAID BACK  (you weren't sure — so make it a dial)</t>
        </is>
      </c>
      <c r="B42" s="5" t="n"/>
      <c r="C42" s="5" t="n"/>
      <c r="D42" s="5" t="n"/>
    </row>
    <row r="43" ht="42" customHeight="1">
      <c r="A43" s="10" t="inlineStr">
        <is>
          <t>% of each commission that repays the draw</t>
        </is>
      </c>
      <c r="B43" s="22" t="n">
        <v>1</v>
      </c>
      <c r="C43" s="12" t="inlineStr">
        <is>
          <t>of comm.</t>
        </is>
      </c>
      <c r="D43" s="13" t="inlineStr">
        <is>
          <t>100% = the whole commission goes to the advance until it's cleared, and you keep living on the draw. 50% = it splits, so you see some upside right away. Ask the owner which one it is — this is exactly the right question.</t>
        </is>
      </c>
    </row>
    <row r="44" ht="32" customHeight="1">
      <c r="A44" s="10" t="inlineStr">
        <is>
          <t>If NON-recoverable, does commission stack?</t>
        </is>
      </c>
      <c r="B44" s="17" t="inlineStr">
        <is>
          <t>Greater of</t>
        </is>
      </c>
      <c r="D44" s="13" t="inlineStr">
        <is>
          <t>'Greater of' = you get the draw OR the commission, whichever is bigger (most common). 'Stacked' = draw is base pay and commission is paid on top (best case, rarer).</t>
        </is>
      </c>
    </row>
  </sheetData>
  <mergeCells count="6">
    <mergeCell ref="A1:D1"/>
    <mergeCell ref="A4:D4"/>
    <mergeCell ref="A30:D30"/>
    <mergeCell ref="A2:D2"/>
    <mergeCell ref="A42:D42"/>
    <mergeCell ref="A13:D13"/>
  </mergeCells>
  <dataValidations count="2">
    <dataValidation sqref="B44" showDropDown="0" showInputMessage="0" showErrorMessage="0" allowBlank="0" type="list">
      <formula1>"Greater of,Stacked"</formula1>
    </dataValidation>
    <dataValidation sqref="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B4F"/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58" customWidth="1" min="4" max="4"/>
  </cols>
  <sheetData>
    <row r="1" ht="24" customHeight="1">
      <c r="A1" s="1" t="inlineStr">
        <is>
          <t>MONTHLY BUDGET — living on the draw alone</t>
        </is>
      </c>
      <c r="B1" s="2" t="n"/>
      <c r="C1" s="2" t="n"/>
      <c r="D1" s="2" t="n"/>
    </row>
    <row r="2">
      <c r="A2" s="3" t="inlineStr">
        <is>
          <t>Right now this is the whole picture. Commissions come in on the next tab.</t>
        </is>
      </c>
      <c r="B2" s="2" t="n"/>
      <c r="C2" s="2" t="n"/>
      <c r="D2" s="2" t="n"/>
    </row>
    <row r="4" ht="28" customHeight="1">
      <c r="A4" s="23" t="inlineStr">
        <is>
          <t>Line</t>
        </is>
      </c>
      <c r="B4" s="23" t="inlineStr">
        <is>
          <t>Per month</t>
        </is>
      </c>
      <c r="C4" s="23" t="inlineStr">
        <is>
          <t>Per year</t>
        </is>
      </c>
      <c r="D4" s="23" t="inlineStr">
        <is>
          <t>Note</t>
        </is>
      </c>
    </row>
    <row r="5">
      <c r="A5" s="24" t="inlineStr">
        <is>
          <t>Car payment</t>
        </is>
      </c>
      <c r="B5" s="25">
        <f>Inputs!$B$14</f>
        <v/>
      </c>
      <c r="C5" s="26">
        <f>B5*12</f>
        <v/>
      </c>
      <c r="D5" s="27" t="inlineStr"/>
    </row>
    <row r="6">
      <c r="A6" s="28" t="inlineStr">
        <is>
          <t>Car insurance</t>
        </is>
      </c>
      <c r="B6" s="29">
        <f>Inputs!$B$17</f>
        <v/>
      </c>
      <c r="C6" s="30">
        <f>B6*12</f>
        <v/>
      </c>
      <c r="D6" s="31" t="inlineStr">
        <is>
          <t>Estimated - confirm.</t>
        </is>
      </c>
    </row>
    <row r="7">
      <c r="A7" s="24" t="inlineStr">
        <is>
          <t>Gym</t>
        </is>
      </c>
      <c r="B7" s="25">
        <f>Inputs!$B$15*2</f>
        <v/>
      </c>
      <c r="C7" s="26">
        <f>B7*12</f>
        <v/>
      </c>
      <c r="D7" s="27" t="inlineStr"/>
    </row>
    <row r="8">
      <c r="A8" s="28" t="inlineStr">
        <is>
          <t>Amazon Prime</t>
        </is>
      </c>
      <c r="B8" s="29">
        <f>Inputs!$B$16</f>
        <v/>
      </c>
      <c r="C8" s="30">
        <f>B8*12</f>
        <v/>
      </c>
      <c r="D8" s="31" t="inlineStr"/>
    </row>
    <row r="9">
      <c r="A9" s="24" t="inlineStr">
        <is>
          <t>Phone</t>
        </is>
      </c>
      <c r="B9" s="25">
        <f>Inputs!$B$18</f>
        <v/>
      </c>
      <c r="C9" s="26">
        <f>B9*12</f>
        <v/>
      </c>
      <c r="D9" s="27" t="inlineStr">
        <is>
          <t>Estimated.</t>
        </is>
      </c>
    </row>
    <row r="10">
      <c r="A10" s="28" t="inlineStr">
        <is>
          <t>Fuel</t>
        </is>
      </c>
      <c r="B10" s="29">
        <f>Inputs!$B$22</f>
        <v/>
      </c>
      <c r="C10" s="30">
        <f>B10*12</f>
        <v/>
      </c>
      <c r="D10" s="31" t="inlineStr">
        <is>
          <t>1,000 mi at 19 mpg.</t>
        </is>
      </c>
    </row>
    <row r="11">
      <c r="A11" s="24" t="inlineStr">
        <is>
          <t>Coffee</t>
        </is>
      </c>
      <c r="B11" s="25">
        <f>Inputs!$B$25</f>
        <v/>
      </c>
      <c r="C11" s="26">
        <f>B11*12</f>
        <v/>
      </c>
      <c r="D11" s="27" t="inlineStr"/>
    </row>
    <row r="12">
      <c r="A12" s="28" t="inlineStr">
        <is>
          <t>Food</t>
        </is>
      </c>
      <c r="B12" s="29">
        <f>Inputs!$B$26</f>
        <v/>
      </c>
      <c r="C12" s="30">
        <f>B12*12</f>
        <v/>
      </c>
      <c r="D12" s="31" t="inlineStr">
        <is>
          <t>Estimated.</t>
        </is>
      </c>
    </row>
    <row r="13">
      <c r="A13" s="24" t="inlineStr">
        <is>
          <t>Fun / personal</t>
        </is>
      </c>
      <c r="B13" s="25">
        <f>Inputs!$B$27</f>
        <v/>
      </c>
      <c r="C13" s="26">
        <f>B13*12</f>
        <v/>
      </c>
      <c r="D13" s="27" t="inlineStr">
        <is>
          <t>Estimated.</t>
        </is>
      </c>
    </row>
    <row r="14">
      <c r="A14" s="28" t="inlineStr">
        <is>
          <t>Car maintenance</t>
        </is>
      </c>
      <c r="B14" s="29">
        <f>Inputs!$B$28</f>
        <v/>
      </c>
      <c r="C14" s="30">
        <f>B14*12</f>
        <v/>
      </c>
      <c r="D14" s="31" t="inlineStr">
        <is>
          <t>Estimated.</t>
        </is>
      </c>
    </row>
    <row r="15">
      <c r="A15" s="6" t="inlineStr">
        <is>
          <t>LIVING COSTS</t>
        </is>
      </c>
      <c r="B15" s="32">
        <f>SUM(B5:B14)</f>
        <v/>
      </c>
      <c r="C15" s="32">
        <f>B15*12</f>
        <v/>
      </c>
    </row>
    <row r="16">
      <c r="A16" s="24" t="inlineStr">
        <is>
          <t>Marketing</t>
        </is>
      </c>
      <c r="B16" s="25">
        <f>Inputs!$B$29</f>
        <v/>
      </c>
      <c r="C16" s="26">
        <f>B16*12</f>
        <v/>
      </c>
      <c r="D16" s="33" t="inlineStr">
        <is>
          <t>Zero this out if the company pays.</t>
        </is>
      </c>
    </row>
    <row r="17">
      <c r="A17" s="6" t="inlineStr">
        <is>
          <t>TOTAL GOING OUT</t>
        </is>
      </c>
      <c r="B17" s="34">
        <f>B15+B16</f>
        <v/>
      </c>
      <c r="C17" s="34">
        <f>B17*12</f>
        <v/>
      </c>
    </row>
    <row r="19">
      <c r="A19" s="6" t="inlineStr">
        <is>
          <t>Draw income</t>
        </is>
      </c>
      <c r="B19" s="35">
        <f>Inputs!$B$7</f>
        <v/>
      </c>
      <c r="C19" s="36">
        <f>B19*12</f>
        <v/>
      </c>
      <c r="D19" s="33" t="inlineStr">
        <is>
          <t>$1,231.58 x 24 / 12.</t>
        </is>
      </c>
    </row>
    <row r="20">
      <c r="A20" s="6" t="inlineStr">
        <is>
          <t>LEFT OVER EACH MONTH</t>
        </is>
      </c>
      <c r="B20" s="37">
        <f>B19-B17</f>
        <v/>
      </c>
      <c r="C20" s="37">
        <f>B20*12</f>
        <v/>
      </c>
      <c r="D20" s="27" t="inlineStr">
        <is>
          <t>If this is negative, the draw alone doesn't cover your life — every month without a closing digs a hole.</t>
        </is>
      </c>
    </row>
    <row r="22">
      <c r="A22" s="4" t="inlineStr">
        <is>
          <t>HOW MUCH DO YOU HAVE TO CLOSE TO COVER YOUR COSTS?</t>
        </is>
      </c>
      <c r="B22" s="5" t="n"/>
      <c r="C22" s="5" t="n"/>
      <c r="D22" s="5" t="n"/>
    </row>
    <row r="23" ht="28" customHeight="1">
      <c r="A23" s="23" t="inlineStr">
        <is>
          <t>Comp structure</t>
        </is>
      </c>
      <c r="B23" s="23" t="inlineStr">
        <is>
          <t>Commission needed
per month</t>
        </is>
      </c>
      <c r="C23" s="23" t="inlineStr">
        <is>
          <t>Loans/mo
(at $300k)</t>
        </is>
      </c>
      <c r="D23" s="23" t="inlineStr">
        <is>
          <t>What it means</t>
        </is>
      </c>
    </row>
    <row r="24" ht="42" customHeight="1">
      <c r="A24" s="6" t="inlineStr">
        <is>
          <t>Recoverable draw</t>
        </is>
      </c>
      <c r="B24" s="32">
        <f>IF(Inputs!$B$43&gt;=1,"",MAX(0,(B17-B19)/(1-Inputs!$B$43)))</f>
        <v/>
      </c>
      <c r="C24" s="38">
        <f>IF(B24="","n/a",B24/Inputs!$B$12/300000)</f>
        <v/>
      </c>
      <c r="D24" s="27" t="inlineStr">
        <is>
          <t>At 100% recapture the answer is NONE OF THEM — every commission dollar goes to the advance, so your take-home stays pinned at the draw no matter how much you close, until the $13,547 clears. Lower the recapture % and this becomes a real number.</t>
        </is>
      </c>
    </row>
    <row r="25" ht="42" customHeight="1">
      <c r="A25" s="39" t="inlineStr">
        <is>
          <t>Non-recoverable, greater of</t>
        </is>
      </c>
      <c r="B25" s="32">
        <f>B17</f>
        <v/>
      </c>
      <c r="C25" s="38">
        <f>IF(B25="","n/a",B25/Inputs!$B$12/300000)</f>
        <v/>
      </c>
      <c r="D25" s="31" t="inlineStr">
        <is>
          <t>Commission REPLACES the draw, it doesn't add to it. So you need commission to cover your whole cost of living on its own — the draw stops helping the moment commission passes it.</t>
        </is>
      </c>
    </row>
    <row r="26" ht="42" customHeight="1">
      <c r="A26" s="6" t="inlineStr">
        <is>
          <t>Non-recoverable, stacked</t>
        </is>
      </c>
      <c r="B26" s="32">
        <f>MAX(0,B17-B19)</f>
        <v/>
      </c>
      <c r="C26" s="38">
        <f>IF(B26="","n/a",B26/Inputs!$B$12/300000)</f>
        <v/>
      </c>
      <c r="D26" s="27" t="inlineStr">
        <is>
          <t>Draw is base pay and commission sits on top, so you only need to cover the gap. Much the easiest — and the rarest.</t>
        </is>
      </c>
    </row>
    <row r="27">
      <c r="A27" s="13" t="inlineStr">
        <is>
          <t>Until you know which row you're on, plan against the GREATER-OF row — it's the most likely and the least forgiving of the two non-recoverable versions.</t>
        </is>
      </c>
    </row>
  </sheetData>
  <mergeCells count="3">
    <mergeCell ref="A1:D1"/>
    <mergeCell ref="A27:D27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7B4F"/>
    <outlinePr summaryBelow="1" summaryRight="1"/>
    <pageSetUpPr/>
  </sheetPr>
  <dimension ref="A1:H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1" customWidth="1" min="4" max="4"/>
    <col width="11" customWidth="1" min="5" max="5"/>
    <col width="16" customWidth="1" min="6" max="6"/>
    <col width="13" customWidth="1" min="7" max="7"/>
    <col width="30" customWidth="1" min="8" max="8"/>
  </cols>
  <sheetData>
    <row r="1" ht="24" customHeight="1">
      <c r="A1" s="1" t="inlineStr">
        <is>
          <t>DEAL LOG — log every closing here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Fill in A-E. Column F is your commission and it calculates itself.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15" t="inlineStr">
        <is>
          <t>Total funded volume:</t>
        </is>
      </c>
      <c r="C4" s="40">
        <f>SUMIFS(C7:C106,E7:E106,"Funded")</f>
        <v/>
      </c>
      <c r="D4" s="15" t="inlineStr">
        <is>
          <t>Your commission:</t>
        </is>
      </c>
      <c r="F4" s="41">
        <f>SUMIFS(F7:F106,E7:E106,"Funded")</f>
        <v/>
      </c>
      <c r="G4" s="42">
        <f>COUNTIFS(E7:E106,"Funded")&amp;" loans"</f>
        <v/>
      </c>
    </row>
    <row r="5">
      <c r="A5" s="43" t="inlineStr">
        <is>
          <t>Row 7 is an EXAMPLE — delete it.</t>
        </is>
      </c>
    </row>
    <row r="6" ht="28" customHeight="1">
      <c r="A6" s="23" t="inlineStr">
        <is>
          <t>Date</t>
        </is>
      </c>
      <c r="B6" s="23" t="inlineStr">
        <is>
          <t>Client</t>
        </is>
      </c>
      <c r="C6" s="23" t="inlineStr">
        <is>
          <t>Loan amount</t>
        </is>
      </c>
      <c r="D6" s="23" t="inlineStr">
        <is>
          <t>Company bps</t>
        </is>
      </c>
      <c r="E6" s="23" t="inlineStr">
        <is>
          <t>Status</t>
        </is>
      </c>
      <c r="F6" s="23" t="inlineStr">
        <is>
          <t>YOUR COMMISSION</t>
        </is>
      </c>
      <c r="G6" s="23" t="inlineStr">
        <is>
          <t>Month</t>
        </is>
      </c>
      <c r="H6" s="23" t="inlineStr">
        <is>
          <t>Notes</t>
        </is>
      </c>
    </row>
    <row r="7">
      <c r="A7" s="44" t="n">
        <v>46287</v>
      </c>
      <c r="B7" s="45" t="inlineStr">
        <is>
          <t>EXAMPLE - delete me</t>
        </is>
      </c>
      <c r="C7" s="46" t="n">
        <v>300000</v>
      </c>
      <c r="D7" s="18" t="n">
        <v>0.0275</v>
      </c>
      <c r="E7" s="47" t="inlineStr">
        <is>
          <t>Funded</t>
        </is>
      </c>
      <c r="F7" s="41">
        <f>IF(A7="","",C7*Inputs!$B$12)</f>
        <v/>
      </c>
      <c r="G7" s="48">
        <f>IF(A7="","",EOMONTH(A7,0))</f>
        <v/>
      </c>
      <c r="H7" s="49" t="n"/>
    </row>
    <row r="8">
      <c r="A8" s="50" t="n"/>
      <c r="B8" s="51" t="n"/>
      <c r="C8" s="52" t="n"/>
      <c r="D8" s="53" t="n"/>
      <c r="E8" s="51" t="n"/>
      <c r="F8" s="41">
        <f>IF(A8="","",C8*Inputs!$B$12)</f>
        <v/>
      </c>
      <c r="G8" s="54">
        <f>IF(A8="","",EOMONTH(A8,0))</f>
        <v/>
      </c>
      <c r="H8" s="51" t="n"/>
    </row>
    <row r="9">
      <c r="A9" s="55" t="n"/>
      <c r="B9" s="49" t="n"/>
      <c r="C9" s="56" t="n"/>
      <c r="D9" s="57" t="n"/>
      <c r="E9" s="49" t="n"/>
      <c r="F9" s="41">
        <f>IF(A9="","",C9*Inputs!$B$12)</f>
        <v/>
      </c>
      <c r="G9" s="48">
        <f>IF(A9="","",EOMONTH(A9,0))</f>
        <v/>
      </c>
      <c r="H9" s="49" t="n"/>
    </row>
    <row r="10">
      <c r="A10" s="50" t="n"/>
      <c r="B10" s="51" t="n"/>
      <c r="C10" s="52" t="n"/>
      <c r="D10" s="53" t="n"/>
      <c r="E10" s="51" t="n"/>
      <c r="F10" s="41">
        <f>IF(A10="","",C10*Inputs!$B$12)</f>
        <v/>
      </c>
      <c r="G10" s="54">
        <f>IF(A10="","",EOMONTH(A10,0))</f>
        <v/>
      </c>
      <c r="H10" s="51" t="n"/>
    </row>
    <row r="11">
      <c r="A11" s="55" t="n"/>
      <c r="B11" s="49" t="n"/>
      <c r="C11" s="56" t="n"/>
      <c r="D11" s="57" t="n"/>
      <c r="E11" s="49" t="n"/>
      <c r="F11" s="41">
        <f>IF(A11="","",C11*Inputs!$B$12)</f>
        <v/>
      </c>
      <c r="G11" s="48">
        <f>IF(A11="","",EOMONTH(A11,0))</f>
        <v/>
      </c>
      <c r="H11" s="49" t="n"/>
    </row>
    <row r="12">
      <c r="A12" s="50" t="n"/>
      <c r="B12" s="51" t="n"/>
      <c r="C12" s="52" t="n"/>
      <c r="D12" s="53" t="n"/>
      <c r="E12" s="51" t="n"/>
      <c r="F12" s="41">
        <f>IF(A12="","",C12*Inputs!$B$12)</f>
        <v/>
      </c>
      <c r="G12" s="54">
        <f>IF(A12="","",EOMONTH(A12,0))</f>
        <v/>
      </c>
      <c r="H12" s="51" t="n"/>
    </row>
    <row r="13">
      <c r="A13" s="55" t="n"/>
      <c r="B13" s="49" t="n"/>
      <c r="C13" s="56" t="n"/>
      <c r="D13" s="57" t="n"/>
      <c r="E13" s="49" t="n"/>
      <c r="F13" s="41">
        <f>IF(A13="","",C13*Inputs!$B$12)</f>
        <v/>
      </c>
      <c r="G13" s="48">
        <f>IF(A13="","",EOMONTH(A13,0))</f>
        <v/>
      </c>
      <c r="H13" s="49" t="n"/>
    </row>
    <row r="14">
      <c r="A14" s="50" t="n"/>
      <c r="B14" s="51" t="n"/>
      <c r="C14" s="52" t="n"/>
      <c r="D14" s="53" t="n"/>
      <c r="E14" s="51" t="n"/>
      <c r="F14" s="41">
        <f>IF(A14="","",C14*Inputs!$B$12)</f>
        <v/>
      </c>
      <c r="G14" s="54">
        <f>IF(A14="","",EOMONTH(A14,0))</f>
        <v/>
      </c>
      <c r="H14" s="51" t="n"/>
    </row>
    <row r="15">
      <c r="A15" s="55" t="n"/>
      <c r="B15" s="49" t="n"/>
      <c r="C15" s="56" t="n"/>
      <c r="D15" s="57" t="n"/>
      <c r="E15" s="49" t="n"/>
      <c r="F15" s="41">
        <f>IF(A15="","",C15*Inputs!$B$12)</f>
        <v/>
      </c>
      <c r="G15" s="48">
        <f>IF(A15="","",EOMONTH(A15,0))</f>
        <v/>
      </c>
      <c r="H15" s="49" t="n"/>
    </row>
    <row r="16">
      <c r="A16" s="50" t="n"/>
      <c r="B16" s="51" t="n"/>
      <c r="C16" s="52" t="n"/>
      <c r="D16" s="53" t="n"/>
      <c r="E16" s="51" t="n"/>
      <c r="F16" s="41">
        <f>IF(A16="","",C16*Inputs!$B$12)</f>
        <v/>
      </c>
      <c r="G16" s="54">
        <f>IF(A16="","",EOMONTH(A16,0))</f>
        <v/>
      </c>
      <c r="H16" s="51" t="n"/>
    </row>
    <row r="17">
      <c r="A17" s="55" t="n"/>
      <c r="B17" s="49" t="n"/>
      <c r="C17" s="56" t="n"/>
      <c r="D17" s="57" t="n"/>
      <c r="E17" s="49" t="n"/>
      <c r="F17" s="41">
        <f>IF(A17="","",C17*Inputs!$B$12)</f>
        <v/>
      </c>
      <c r="G17" s="48">
        <f>IF(A17="","",EOMONTH(A17,0))</f>
        <v/>
      </c>
      <c r="H17" s="49" t="n"/>
    </row>
    <row r="18">
      <c r="A18" s="50" t="n"/>
      <c r="B18" s="51" t="n"/>
      <c r="C18" s="52" t="n"/>
      <c r="D18" s="53" t="n"/>
      <c r="E18" s="51" t="n"/>
      <c r="F18" s="41">
        <f>IF(A18="","",C18*Inputs!$B$12)</f>
        <v/>
      </c>
      <c r="G18" s="54">
        <f>IF(A18="","",EOMONTH(A18,0))</f>
        <v/>
      </c>
      <c r="H18" s="51" t="n"/>
    </row>
    <row r="19">
      <c r="A19" s="55" t="n"/>
      <c r="B19" s="49" t="n"/>
      <c r="C19" s="56" t="n"/>
      <c r="D19" s="57" t="n"/>
      <c r="E19" s="49" t="n"/>
      <c r="F19" s="41">
        <f>IF(A19="","",C19*Inputs!$B$12)</f>
        <v/>
      </c>
      <c r="G19" s="48">
        <f>IF(A19="","",EOMONTH(A19,0))</f>
        <v/>
      </c>
      <c r="H19" s="49" t="n"/>
    </row>
    <row r="20">
      <c r="A20" s="50" t="n"/>
      <c r="B20" s="51" t="n"/>
      <c r="C20" s="52" t="n"/>
      <c r="D20" s="53" t="n"/>
      <c r="E20" s="51" t="n"/>
      <c r="F20" s="41">
        <f>IF(A20="","",C20*Inputs!$B$12)</f>
        <v/>
      </c>
      <c r="G20" s="54">
        <f>IF(A20="","",EOMONTH(A20,0))</f>
        <v/>
      </c>
      <c r="H20" s="51" t="n"/>
    </row>
    <row r="21">
      <c r="A21" s="55" t="n"/>
      <c r="B21" s="49" t="n"/>
      <c r="C21" s="56" t="n"/>
      <c r="D21" s="57" t="n"/>
      <c r="E21" s="49" t="n"/>
      <c r="F21" s="41">
        <f>IF(A21="","",C21*Inputs!$B$12)</f>
        <v/>
      </c>
      <c r="G21" s="48">
        <f>IF(A21="","",EOMONTH(A21,0))</f>
        <v/>
      </c>
      <c r="H21" s="49" t="n"/>
    </row>
    <row r="22">
      <c r="A22" s="50" t="n"/>
      <c r="B22" s="51" t="n"/>
      <c r="C22" s="52" t="n"/>
      <c r="D22" s="53" t="n"/>
      <c r="E22" s="51" t="n"/>
      <c r="F22" s="41">
        <f>IF(A22="","",C22*Inputs!$B$12)</f>
        <v/>
      </c>
      <c r="G22" s="54">
        <f>IF(A22="","",EOMONTH(A22,0))</f>
        <v/>
      </c>
      <c r="H22" s="51" t="n"/>
    </row>
    <row r="23">
      <c r="A23" s="55" t="n"/>
      <c r="B23" s="49" t="n"/>
      <c r="C23" s="56" t="n"/>
      <c r="D23" s="57" t="n"/>
      <c r="E23" s="49" t="n"/>
      <c r="F23" s="41">
        <f>IF(A23="","",C23*Inputs!$B$12)</f>
        <v/>
      </c>
      <c r="G23" s="48">
        <f>IF(A23="","",EOMONTH(A23,0))</f>
        <v/>
      </c>
      <c r="H23" s="49" t="n"/>
    </row>
    <row r="24">
      <c r="A24" s="50" t="n"/>
      <c r="B24" s="51" t="n"/>
      <c r="C24" s="52" t="n"/>
      <c r="D24" s="53" t="n"/>
      <c r="E24" s="51" t="n"/>
      <c r="F24" s="41">
        <f>IF(A24="","",C24*Inputs!$B$12)</f>
        <v/>
      </c>
      <c r="G24" s="54">
        <f>IF(A24="","",EOMONTH(A24,0))</f>
        <v/>
      </c>
      <c r="H24" s="51" t="n"/>
    </row>
    <row r="25">
      <c r="A25" s="55" t="n"/>
      <c r="B25" s="49" t="n"/>
      <c r="C25" s="56" t="n"/>
      <c r="D25" s="57" t="n"/>
      <c r="E25" s="49" t="n"/>
      <c r="F25" s="41">
        <f>IF(A25="","",C25*Inputs!$B$12)</f>
        <v/>
      </c>
      <c r="G25" s="48">
        <f>IF(A25="","",EOMONTH(A25,0))</f>
        <v/>
      </c>
      <c r="H25" s="49" t="n"/>
    </row>
    <row r="26">
      <c r="A26" s="50" t="n"/>
      <c r="B26" s="51" t="n"/>
      <c r="C26" s="52" t="n"/>
      <c r="D26" s="53" t="n"/>
      <c r="E26" s="51" t="n"/>
      <c r="F26" s="41">
        <f>IF(A26="","",C26*Inputs!$B$12)</f>
        <v/>
      </c>
      <c r="G26" s="54">
        <f>IF(A26="","",EOMONTH(A26,0))</f>
        <v/>
      </c>
      <c r="H26" s="51" t="n"/>
    </row>
    <row r="27">
      <c r="A27" s="55" t="n"/>
      <c r="B27" s="49" t="n"/>
      <c r="C27" s="56" t="n"/>
      <c r="D27" s="57" t="n"/>
      <c r="E27" s="49" t="n"/>
      <c r="F27" s="41">
        <f>IF(A27="","",C27*Inputs!$B$12)</f>
        <v/>
      </c>
      <c r="G27" s="48">
        <f>IF(A27="","",EOMONTH(A27,0))</f>
        <v/>
      </c>
      <c r="H27" s="49" t="n"/>
    </row>
    <row r="28">
      <c r="A28" s="50" t="n"/>
      <c r="B28" s="51" t="n"/>
      <c r="C28" s="52" t="n"/>
      <c r="D28" s="53" t="n"/>
      <c r="E28" s="51" t="n"/>
      <c r="F28" s="41">
        <f>IF(A28="","",C28*Inputs!$B$12)</f>
        <v/>
      </c>
      <c r="G28" s="54">
        <f>IF(A28="","",EOMONTH(A28,0))</f>
        <v/>
      </c>
      <c r="H28" s="51" t="n"/>
    </row>
    <row r="29">
      <c r="A29" s="55" t="n"/>
      <c r="B29" s="49" t="n"/>
      <c r="C29" s="56" t="n"/>
      <c r="D29" s="57" t="n"/>
      <c r="E29" s="49" t="n"/>
      <c r="F29" s="41">
        <f>IF(A29="","",C29*Inputs!$B$12)</f>
        <v/>
      </c>
      <c r="G29" s="48">
        <f>IF(A29="","",EOMONTH(A29,0))</f>
        <v/>
      </c>
      <c r="H29" s="49" t="n"/>
    </row>
    <row r="30">
      <c r="A30" s="50" t="n"/>
      <c r="B30" s="51" t="n"/>
      <c r="C30" s="52" t="n"/>
      <c r="D30" s="53" t="n"/>
      <c r="E30" s="51" t="n"/>
      <c r="F30" s="41">
        <f>IF(A30="","",C30*Inputs!$B$12)</f>
        <v/>
      </c>
      <c r="G30" s="54">
        <f>IF(A30="","",EOMONTH(A30,0))</f>
        <v/>
      </c>
      <c r="H30" s="51" t="n"/>
    </row>
    <row r="31">
      <c r="A31" s="55" t="n"/>
      <c r="B31" s="49" t="n"/>
      <c r="C31" s="56" t="n"/>
      <c r="D31" s="57" t="n"/>
      <c r="E31" s="49" t="n"/>
      <c r="F31" s="41">
        <f>IF(A31="","",C31*Inputs!$B$12)</f>
        <v/>
      </c>
      <c r="G31" s="48">
        <f>IF(A31="","",EOMONTH(A31,0))</f>
        <v/>
      </c>
      <c r="H31" s="49" t="n"/>
    </row>
    <row r="32">
      <c r="A32" s="50" t="n"/>
      <c r="B32" s="51" t="n"/>
      <c r="C32" s="52" t="n"/>
      <c r="D32" s="53" t="n"/>
      <c r="E32" s="51" t="n"/>
      <c r="F32" s="41">
        <f>IF(A32="","",C32*Inputs!$B$12)</f>
        <v/>
      </c>
      <c r="G32" s="54">
        <f>IF(A32="","",EOMONTH(A32,0))</f>
        <v/>
      </c>
      <c r="H32" s="51" t="n"/>
    </row>
    <row r="33">
      <c r="A33" s="55" t="n"/>
      <c r="B33" s="49" t="n"/>
      <c r="C33" s="56" t="n"/>
      <c r="D33" s="57" t="n"/>
      <c r="E33" s="49" t="n"/>
      <c r="F33" s="41">
        <f>IF(A33="","",C33*Inputs!$B$12)</f>
        <v/>
      </c>
      <c r="G33" s="48">
        <f>IF(A33="","",EOMONTH(A33,0))</f>
        <v/>
      </c>
      <c r="H33" s="49" t="n"/>
    </row>
    <row r="34">
      <c r="A34" s="50" t="n"/>
      <c r="B34" s="51" t="n"/>
      <c r="C34" s="52" t="n"/>
      <c r="D34" s="53" t="n"/>
      <c r="E34" s="51" t="n"/>
      <c r="F34" s="41">
        <f>IF(A34="","",C34*Inputs!$B$12)</f>
        <v/>
      </c>
      <c r="G34" s="54">
        <f>IF(A34="","",EOMONTH(A34,0))</f>
        <v/>
      </c>
      <c r="H34" s="51" t="n"/>
    </row>
    <row r="35">
      <c r="A35" s="55" t="n"/>
      <c r="B35" s="49" t="n"/>
      <c r="C35" s="56" t="n"/>
      <c r="D35" s="57" t="n"/>
      <c r="E35" s="49" t="n"/>
      <c r="F35" s="41">
        <f>IF(A35="","",C35*Inputs!$B$12)</f>
        <v/>
      </c>
      <c r="G35" s="48">
        <f>IF(A35="","",EOMONTH(A35,0))</f>
        <v/>
      </c>
      <c r="H35" s="49" t="n"/>
    </row>
    <row r="36">
      <c r="A36" s="50" t="n"/>
      <c r="B36" s="51" t="n"/>
      <c r="C36" s="52" t="n"/>
      <c r="D36" s="53" t="n"/>
      <c r="E36" s="51" t="n"/>
      <c r="F36" s="41">
        <f>IF(A36="","",C36*Inputs!$B$12)</f>
        <v/>
      </c>
      <c r="G36" s="54">
        <f>IF(A36="","",EOMONTH(A36,0))</f>
        <v/>
      </c>
      <c r="H36" s="51" t="n"/>
    </row>
    <row r="37">
      <c r="A37" s="55" t="n"/>
      <c r="B37" s="49" t="n"/>
      <c r="C37" s="56" t="n"/>
      <c r="D37" s="57" t="n"/>
      <c r="E37" s="49" t="n"/>
      <c r="F37" s="41">
        <f>IF(A37="","",C37*Inputs!$B$12)</f>
        <v/>
      </c>
      <c r="G37" s="48">
        <f>IF(A37="","",EOMONTH(A37,0))</f>
        <v/>
      </c>
      <c r="H37" s="49" t="n"/>
    </row>
    <row r="38">
      <c r="A38" s="50" t="n"/>
      <c r="B38" s="51" t="n"/>
      <c r="C38" s="52" t="n"/>
      <c r="D38" s="53" t="n"/>
      <c r="E38" s="51" t="n"/>
      <c r="F38" s="41">
        <f>IF(A38="","",C38*Inputs!$B$12)</f>
        <v/>
      </c>
      <c r="G38" s="54">
        <f>IF(A38="","",EOMONTH(A38,0))</f>
        <v/>
      </c>
      <c r="H38" s="51" t="n"/>
    </row>
    <row r="39">
      <c r="A39" s="55" t="n"/>
      <c r="B39" s="49" t="n"/>
      <c r="C39" s="56" t="n"/>
      <c r="D39" s="57" t="n"/>
      <c r="E39" s="49" t="n"/>
      <c r="F39" s="41">
        <f>IF(A39="","",C39*Inputs!$B$12)</f>
        <v/>
      </c>
      <c r="G39" s="48">
        <f>IF(A39="","",EOMONTH(A39,0))</f>
        <v/>
      </c>
      <c r="H39" s="49" t="n"/>
    </row>
    <row r="40">
      <c r="A40" s="50" t="n"/>
      <c r="B40" s="51" t="n"/>
      <c r="C40" s="52" t="n"/>
      <c r="D40" s="53" t="n"/>
      <c r="E40" s="51" t="n"/>
      <c r="F40" s="41">
        <f>IF(A40="","",C40*Inputs!$B$12)</f>
        <v/>
      </c>
      <c r="G40" s="54">
        <f>IF(A40="","",EOMONTH(A40,0))</f>
        <v/>
      </c>
      <c r="H40" s="51" t="n"/>
    </row>
    <row r="41">
      <c r="A41" s="55" t="n"/>
      <c r="B41" s="49" t="n"/>
      <c r="C41" s="56" t="n"/>
      <c r="D41" s="57" t="n"/>
      <c r="E41" s="49" t="n"/>
      <c r="F41" s="41">
        <f>IF(A41="","",C41*Inputs!$B$12)</f>
        <v/>
      </c>
      <c r="G41" s="48">
        <f>IF(A41="","",EOMONTH(A41,0))</f>
        <v/>
      </c>
      <c r="H41" s="49" t="n"/>
    </row>
    <row r="42">
      <c r="A42" s="50" t="n"/>
      <c r="B42" s="51" t="n"/>
      <c r="C42" s="52" t="n"/>
      <c r="D42" s="53" t="n"/>
      <c r="E42" s="51" t="n"/>
      <c r="F42" s="41">
        <f>IF(A42="","",C42*Inputs!$B$12)</f>
        <v/>
      </c>
      <c r="G42" s="54">
        <f>IF(A42="","",EOMONTH(A42,0))</f>
        <v/>
      </c>
      <c r="H42" s="51" t="n"/>
    </row>
    <row r="43">
      <c r="A43" s="55" t="n"/>
      <c r="B43" s="49" t="n"/>
      <c r="C43" s="56" t="n"/>
      <c r="D43" s="57" t="n"/>
      <c r="E43" s="49" t="n"/>
      <c r="F43" s="41">
        <f>IF(A43="","",C43*Inputs!$B$12)</f>
        <v/>
      </c>
      <c r="G43" s="48">
        <f>IF(A43="","",EOMONTH(A43,0))</f>
        <v/>
      </c>
      <c r="H43" s="49" t="n"/>
    </row>
    <row r="44">
      <c r="A44" s="50" t="n"/>
      <c r="B44" s="51" t="n"/>
      <c r="C44" s="52" t="n"/>
      <c r="D44" s="53" t="n"/>
      <c r="E44" s="51" t="n"/>
      <c r="F44" s="41">
        <f>IF(A44="","",C44*Inputs!$B$12)</f>
        <v/>
      </c>
      <c r="G44" s="54">
        <f>IF(A44="","",EOMONTH(A44,0))</f>
        <v/>
      </c>
      <c r="H44" s="51" t="n"/>
    </row>
    <row r="45">
      <c r="A45" s="55" t="n"/>
      <c r="B45" s="49" t="n"/>
      <c r="C45" s="56" t="n"/>
      <c r="D45" s="57" t="n"/>
      <c r="E45" s="49" t="n"/>
      <c r="F45" s="41">
        <f>IF(A45="","",C45*Inputs!$B$12)</f>
        <v/>
      </c>
      <c r="G45" s="48">
        <f>IF(A45="","",EOMONTH(A45,0))</f>
        <v/>
      </c>
      <c r="H45" s="49" t="n"/>
    </row>
    <row r="46">
      <c r="A46" s="50" t="n"/>
      <c r="B46" s="51" t="n"/>
      <c r="C46" s="52" t="n"/>
      <c r="D46" s="53" t="n"/>
      <c r="E46" s="51" t="n"/>
      <c r="F46" s="41">
        <f>IF(A46="","",C46*Inputs!$B$12)</f>
        <v/>
      </c>
      <c r="G46" s="54">
        <f>IF(A46="","",EOMONTH(A46,0))</f>
        <v/>
      </c>
      <c r="H46" s="51" t="n"/>
    </row>
    <row r="47">
      <c r="A47" s="55" t="n"/>
      <c r="B47" s="49" t="n"/>
      <c r="C47" s="56" t="n"/>
      <c r="D47" s="57" t="n"/>
      <c r="E47" s="49" t="n"/>
      <c r="F47" s="41">
        <f>IF(A47="","",C47*Inputs!$B$12)</f>
        <v/>
      </c>
      <c r="G47" s="48">
        <f>IF(A47="","",EOMONTH(A47,0))</f>
        <v/>
      </c>
      <c r="H47" s="49" t="n"/>
    </row>
    <row r="48">
      <c r="A48" s="50" t="n"/>
      <c r="B48" s="51" t="n"/>
      <c r="C48" s="52" t="n"/>
      <c r="D48" s="53" t="n"/>
      <c r="E48" s="51" t="n"/>
      <c r="F48" s="41">
        <f>IF(A48="","",C48*Inputs!$B$12)</f>
        <v/>
      </c>
      <c r="G48" s="54">
        <f>IF(A48="","",EOMONTH(A48,0))</f>
        <v/>
      </c>
      <c r="H48" s="51" t="n"/>
    </row>
    <row r="49">
      <c r="A49" s="55" t="n"/>
      <c r="B49" s="49" t="n"/>
      <c r="C49" s="56" t="n"/>
      <c r="D49" s="57" t="n"/>
      <c r="E49" s="49" t="n"/>
      <c r="F49" s="41">
        <f>IF(A49="","",C49*Inputs!$B$12)</f>
        <v/>
      </c>
      <c r="G49" s="48">
        <f>IF(A49="","",EOMONTH(A49,0))</f>
        <v/>
      </c>
      <c r="H49" s="49" t="n"/>
    </row>
    <row r="50">
      <c r="A50" s="50" t="n"/>
      <c r="B50" s="51" t="n"/>
      <c r="C50" s="52" t="n"/>
      <c r="D50" s="53" t="n"/>
      <c r="E50" s="51" t="n"/>
      <c r="F50" s="41">
        <f>IF(A50="","",C50*Inputs!$B$12)</f>
        <v/>
      </c>
      <c r="G50" s="54">
        <f>IF(A50="","",EOMONTH(A50,0))</f>
        <v/>
      </c>
      <c r="H50" s="51" t="n"/>
    </row>
    <row r="51">
      <c r="A51" s="55" t="n"/>
      <c r="B51" s="49" t="n"/>
      <c r="C51" s="56" t="n"/>
      <c r="D51" s="57" t="n"/>
      <c r="E51" s="49" t="n"/>
      <c r="F51" s="41">
        <f>IF(A51="","",C51*Inputs!$B$12)</f>
        <v/>
      </c>
      <c r="G51" s="48">
        <f>IF(A51="","",EOMONTH(A51,0))</f>
        <v/>
      </c>
      <c r="H51" s="49" t="n"/>
    </row>
    <row r="52">
      <c r="A52" s="50" t="n"/>
      <c r="B52" s="51" t="n"/>
      <c r="C52" s="52" t="n"/>
      <c r="D52" s="53" t="n"/>
      <c r="E52" s="51" t="n"/>
      <c r="F52" s="41">
        <f>IF(A52="","",C52*Inputs!$B$12)</f>
        <v/>
      </c>
      <c r="G52" s="54">
        <f>IF(A52="","",EOMONTH(A52,0))</f>
        <v/>
      </c>
      <c r="H52" s="51" t="n"/>
    </row>
    <row r="53">
      <c r="A53" s="55" t="n"/>
      <c r="B53" s="49" t="n"/>
      <c r="C53" s="56" t="n"/>
      <c r="D53" s="57" t="n"/>
      <c r="E53" s="49" t="n"/>
      <c r="F53" s="41">
        <f>IF(A53="","",C53*Inputs!$B$12)</f>
        <v/>
      </c>
      <c r="G53" s="48">
        <f>IF(A53="","",EOMONTH(A53,0))</f>
        <v/>
      </c>
      <c r="H53" s="49" t="n"/>
    </row>
    <row r="54">
      <c r="A54" s="50" t="n"/>
      <c r="B54" s="51" t="n"/>
      <c r="C54" s="52" t="n"/>
      <c r="D54" s="53" t="n"/>
      <c r="E54" s="51" t="n"/>
      <c r="F54" s="41">
        <f>IF(A54="","",C54*Inputs!$B$12)</f>
        <v/>
      </c>
      <c r="G54" s="54">
        <f>IF(A54="","",EOMONTH(A54,0))</f>
        <v/>
      </c>
      <c r="H54" s="51" t="n"/>
    </row>
    <row r="55">
      <c r="A55" s="55" t="n"/>
      <c r="B55" s="49" t="n"/>
      <c r="C55" s="56" t="n"/>
      <c r="D55" s="57" t="n"/>
      <c r="E55" s="49" t="n"/>
      <c r="F55" s="41">
        <f>IF(A55="","",C55*Inputs!$B$12)</f>
        <v/>
      </c>
      <c r="G55" s="48">
        <f>IF(A55="","",EOMONTH(A55,0))</f>
        <v/>
      </c>
      <c r="H55" s="49" t="n"/>
    </row>
    <row r="56">
      <c r="A56" s="50" t="n"/>
      <c r="B56" s="51" t="n"/>
      <c r="C56" s="52" t="n"/>
      <c r="D56" s="53" t="n"/>
      <c r="E56" s="51" t="n"/>
      <c r="F56" s="41">
        <f>IF(A56="","",C56*Inputs!$B$12)</f>
        <v/>
      </c>
      <c r="G56" s="54">
        <f>IF(A56="","",EOMONTH(A56,0))</f>
        <v/>
      </c>
      <c r="H56" s="51" t="n"/>
    </row>
    <row r="57">
      <c r="A57" s="55" t="n"/>
      <c r="B57" s="49" t="n"/>
      <c r="C57" s="56" t="n"/>
      <c r="D57" s="57" t="n"/>
      <c r="E57" s="49" t="n"/>
      <c r="F57" s="41">
        <f>IF(A57="","",C57*Inputs!$B$12)</f>
        <v/>
      </c>
      <c r="G57" s="48">
        <f>IF(A57="","",EOMONTH(A57,0))</f>
        <v/>
      </c>
      <c r="H57" s="49" t="n"/>
    </row>
    <row r="58">
      <c r="A58" s="50" t="n"/>
      <c r="B58" s="51" t="n"/>
      <c r="C58" s="52" t="n"/>
      <c r="D58" s="53" t="n"/>
      <c r="E58" s="51" t="n"/>
      <c r="F58" s="41">
        <f>IF(A58="","",C58*Inputs!$B$12)</f>
        <v/>
      </c>
      <c r="G58" s="54">
        <f>IF(A58="","",EOMONTH(A58,0))</f>
        <v/>
      </c>
      <c r="H58" s="51" t="n"/>
    </row>
    <row r="59">
      <c r="A59" s="55" t="n"/>
      <c r="B59" s="49" t="n"/>
      <c r="C59" s="56" t="n"/>
      <c r="D59" s="57" t="n"/>
      <c r="E59" s="49" t="n"/>
      <c r="F59" s="41">
        <f>IF(A59="","",C59*Inputs!$B$12)</f>
        <v/>
      </c>
      <c r="G59" s="48">
        <f>IF(A59="","",EOMONTH(A59,0))</f>
        <v/>
      </c>
      <c r="H59" s="49" t="n"/>
    </row>
    <row r="60">
      <c r="A60" s="50" t="n"/>
      <c r="B60" s="51" t="n"/>
      <c r="C60" s="52" t="n"/>
      <c r="D60" s="53" t="n"/>
      <c r="E60" s="51" t="n"/>
      <c r="F60" s="41">
        <f>IF(A60="","",C60*Inputs!$B$12)</f>
        <v/>
      </c>
      <c r="G60" s="54">
        <f>IF(A60="","",EOMONTH(A60,0))</f>
        <v/>
      </c>
      <c r="H60" s="51" t="n"/>
    </row>
    <row r="61">
      <c r="A61" s="55" t="n"/>
      <c r="B61" s="49" t="n"/>
      <c r="C61" s="56" t="n"/>
      <c r="D61" s="57" t="n"/>
      <c r="E61" s="49" t="n"/>
      <c r="F61" s="41">
        <f>IF(A61="","",C61*Inputs!$B$12)</f>
        <v/>
      </c>
      <c r="G61" s="48">
        <f>IF(A61="","",EOMONTH(A61,0))</f>
        <v/>
      </c>
      <c r="H61" s="49" t="n"/>
    </row>
    <row r="62">
      <c r="A62" s="50" t="n"/>
      <c r="B62" s="51" t="n"/>
      <c r="C62" s="52" t="n"/>
      <c r="D62" s="53" t="n"/>
      <c r="E62" s="51" t="n"/>
      <c r="F62" s="41">
        <f>IF(A62="","",C62*Inputs!$B$12)</f>
        <v/>
      </c>
      <c r="G62" s="54">
        <f>IF(A62="","",EOMONTH(A62,0))</f>
        <v/>
      </c>
      <c r="H62" s="51" t="n"/>
    </row>
    <row r="63">
      <c r="A63" s="55" t="n"/>
      <c r="B63" s="49" t="n"/>
      <c r="C63" s="56" t="n"/>
      <c r="D63" s="57" t="n"/>
      <c r="E63" s="49" t="n"/>
      <c r="F63" s="41">
        <f>IF(A63="","",C63*Inputs!$B$12)</f>
        <v/>
      </c>
      <c r="G63" s="48">
        <f>IF(A63="","",EOMONTH(A63,0))</f>
        <v/>
      </c>
      <c r="H63" s="49" t="n"/>
    </row>
    <row r="64">
      <c r="A64" s="50" t="n"/>
      <c r="B64" s="51" t="n"/>
      <c r="C64" s="52" t="n"/>
      <c r="D64" s="53" t="n"/>
      <c r="E64" s="51" t="n"/>
      <c r="F64" s="41">
        <f>IF(A64="","",C64*Inputs!$B$12)</f>
        <v/>
      </c>
      <c r="G64" s="54">
        <f>IF(A64="","",EOMONTH(A64,0))</f>
        <v/>
      </c>
      <c r="H64" s="51" t="n"/>
    </row>
    <row r="65">
      <c r="A65" s="55" t="n"/>
      <c r="B65" s="49" t="n"/>
      <c r="C65" s="56" t="n"/>
      <c r="D65" s="57" t="n"/>
      <c r="E65" s="49" t="n"/>
      <c r="F65" s="41">
        <f>IF(A65="","",C65*Inputs!$B$12)</f>
        <v/>
      </c>
      <c r="G65" s="48">
        <f>IF(A65="","",EOMONTH(A65,0))</f>
        <v/>
      </c>
      <c r="H65" s="49" t="n"/>
    </row>
    <row r="66">
      <c r="A66" s="50" t="n"/>
      <c r="B66" s="51" t="n"/>
      <c r="C66" s="52" t="n"/>
      <c r="D66" s="53" t="n"/>
      <c r="E66" s="51" t="n"/>
      <c r="F66" s="41">
        <f>IF(A66="","",C66*Inputs!$B$12)</f>
        <v/>
      </c>
      <c r="G66" s="54">
        <f>IF(A66="","",EOMONTH(A66,0))</f>
        <v/>
      </c>
      <c r="H66" s="51" t="n"/>
    </row>
    <row r="67">
      <c r="A67" s="55" t="n"/>
      <c r="B67" s="49" t="n"/>
      <c r="C67" s="56" t="n"/>
      <c r="D67" s="57" t="n"/>
      <c r="E67" s="49" t="n"/>
      <c r="F67" s="41">
        <f>IF(A67="","",C67*Inputs!$B$12)</f>
        <v/>
      </c>
      <c r="G67" s="48">
        <f>IF(A67="","",EOMONTH(A67,0))</f>
        <v/>
      </c>
      <c r="H67" s="49" t="n"/>
    </row>
    <row r="68">
      <c r="A68" s="50" t="n"/>
      <c r="B68" s="51" t="n"/>
      <c r="C68" s="52" t="n"/>
      <c r="D68" s="53" t="n"/>
      <c r="E68" s="51" t="n"/>
      <c r="F68" s="41">
        <f>IF(A68="","",C68*Inputs!$B$12)</f>
        <v/>
      </c>
      <c r="G68" s="54">
        <f>IF(A68="","",EOMONTH(A68,0))</f>
        <v/>
      </c>
      <c r="H68" s="51" t="n"/>
    </row>
    <row r="69">
      <c r="A69" s="55" t="n"/>
      <c r="B69" s="49" t="n"/>
      <c r="C69" s="56" t="n"/>
      <c r="D69" s="57" t="n"/>
      <c r="E69" s="49" t="n"/>
      <c r="F69" s="41">
        <f>IF(A69="","",C69*Inputs!$B$12)</f>
        <v/>
      </c>
      <c r="G69" s="48">
        <f>IF(A69="","",EOMONTH(A69,0))</f>
        <v/>
      </c>
      <c r="H69" s="49" t="n"/>
    </row>
    <row r="70">
      <c r="A70" s="50" t="n"/>
      <c r="B70" s="51" t="n"/>
      <c r="C70" s="52" t="n"/>
      <c r="D70" s="53" t="n"/>
      <c r="E70" s="51" t="n"/>
      <c r="F70" s="41">
        <f>IF(A70="","",C70*Inputs!$B$12)</f>
        <v/>
      </c>
      <c r="G70" s="54">
        <f>IF(A70="","",EOMONTH(A70,0))</f>
        <v/>
      </c>
      <c r="H70" s="51" t="n"/>
    </row>
    <row r="71">
      <c r="A71" s="55" t="n"/>
      <c r="B71" s="49" t="n"/>
      <c r="C71" s="56" t="n"/>
      <c r="D71" s="57" t="n"/>
      <c r="E71" s="49" t="n"/>
      <c r="F71" s="41">
        <f>IF(A71="","",C71*Inputs!$B$12)</f>
        <v/>
      </c>
      <c r="G71" s="48">
        <f>IF(A71="","",EOMONTH(A71,0))</f>
        <v/>
      </c>
      <c r="H71" s="49" t="n"/>
    </row>
    <row r="72">
      <c r="A72" s="50" t="n"/>
      <c r="B72" s="51" t="n"/>
      <c r="C72" s="52" t="n"/>
      <c r="D72" s="53" t="n"/>
      <c r="E72" s="51" t="n"/>
      <c r="F72" s="41">
        <f>IF(A72="","",C72*Inputs!$B$12)</f>
        <v/>
      </c>
      <c r="G72" s="54">
        <f>IF(A72="","",EOMONTH(A72,0))</f>
        <v/>
      </c>
      <c r="H72" s="51" t="n"/>
    </row>
    <row r="73">
      <c r="A73" s="55" t="n"/>
      <c r="B73" s="49" t="n"/>
      <c r="C73" s="56" t="n"/>
      <c r="D73" s="57" t="n"/>
      <c r="E73" s="49" t="n"/>
      <c r="F73" s="41">
        <f>IF(A73="","",C73*Inputs!$B$12)</f>
        <v/>
      </c>
      <c r="G73" s="48">
        <f>IF(A73="","",EOMONTH(A73,0))</f>
        <v/>
      </c>
      <c r="H73" s="49" t="n"/>
    </row>
    <row r="74">
      <c r="A74" s="50" t="n"/>
      <c r="B74" s="51" t="n"/>
      <c r="C74" s="52" t="n"/>
      <c r="D74" s="53" t="n"/>
      <c r="E74" s="51" t="n"/>
      <c r="F74" s="41">
        <f>IF(A74="","",C74*Inputs!$B$12)</f>
        <v/>
      </c>
      <c r="G74" s="54">
        <f>IF(A74="","",EOMONTH(A74,0))</f>
        <v/>
      </c>
      <c r="H74" s="51" t="n"/>
    </row>
    <row r="75">
      <c r="A75" s="55" t="n"/>
      <c r="B75" s="49" t="n"/>
      <c r="C75" s="56" t="n"/>
      <c r="D75" s="57" t="n"/>
      <c r="E75" s="49" t="n"/>
      <c r="F75" s="41">
        <f>IF(A75="","",C75*Inputs!$B$12)</f>
        <v/>
      </c>
      <c r="G75" s="48">
        <f>IF(A75="","",EOMONTH(A75,0))</f>
        <v/>
      </c>
      <c r="H75" s="49" t="n"/>
    </row>
    <row r="76">
      <c r="A76" s="50" t="n"/>
      <c r="B76" s="51" t="n"/>
      <c r="C76" s="52" t="n"/>
      <c r="D76" s="53" t="n"/>
      <c r="E76" s="51" t="n"/>
      <c r="F76" s="41">
        <f>IF(A76="","",C76*Inputs!$B$12)</f>
        <v/>
      </c>
      <c r="G76" s="54">
        <f>IF(A76="","",EOMONTH(A76,0))</f>
        <v/>
      </c>
      <c r="H76" s="51" t="n"/>
    </row>
    <row r="77">
      <c r="A77" s="55" t="n"/>
      <c r="B77" s="49" t="n"/>
      <c r="C77" s="56" t="n"/>
      <c r="D77" s="57" t="n"/>
      <c r="E77" s="49" t="n"/>
      <c r="F77" s="41">
        <f>IF(A77="","",C77*Inputs!$B$12)</f>
        <v/>
      </c>
      <c r="G77" s="48">
        <f>IF(A77="","",EOMONTH(A77,0))</f>
        <v/>
      </c>
      <c r="H77" s="49" t="n"/>
    </row>
    <row r="78">
      <c r="A78" s="50" t="n"/>
      <c r="B78" s="51" t="n"/>
      <c r="C78" s="52" t="n"/>
      <c r="D78" s="53" t="n"/>
      <c r="E78" s="51" t="n"/>
      <c r="F78" s="41">
        <f>IF(A78="","",C78*Inputs!$B$12)</f>
        <v/>
      </c>
      <c r="G78" s="54">
        <f>IF(A78="","",EOMONTH(A78,0))</f>
        <v/>
      </c>
      <c r="H78" s="51" t="n"/>
    </row>
    <row r="79">
      <c r="A79" s="55" t="n"/>
      <c r="B79" s="49" t="n"/>
      <c r="C79" s="56" t="n"/>
      <c r="D79" s="57" t="n"/>
      <c r="E79" s="49" t="n"/>
      <c r="F79" s="41">
        <f>IF(A79="","",C79*Inputs!$B$12)</f>
        <v/>
      </c>
      <c r="G79" s="48">
        <f>IF(A79="","",EOMONTH(A79,0))</f>
        <v/>
      </c>
      <c r="H79" s="49" t="n"/>
    </row>
    <row r="80">
      <c r="A80" s="50" t="n"/>
      <c r="B80" s="51" t="n"/>
      <c r="C80" s="52" t="n"/>
      <c r="D80" s="53" t="n"/>
      <c r="E80" s="51" t="n"/>
      <c r="F80" s="41">
        <f>IF(A80="","",C80*Inputs!$B$12)</f>
        <v/>
      </c>
      <c r="G80" s="54">
        <f>IF(A80="","",EOMONTH(A80,0))</f>
        <v/>
      </c>
      <c r="H80" s="51" t="n"/>
    </row>
    <row r="81">
      <c r="A81" s="55" t="n"/>
      <c r="B81" s="49" t="n"/>
      <c r="C81" s="56" t="n"/>
      <c r="D81" s="57" t="n"/>
      <c r="E81" s="49" t="n"/>
      <c r="F81" s="41">
        <f>IF(A81="","",C81*Inputs!$B$12)</f>
        <v/>
      </c>
      <c r="G81" s="48">
        <f>IF(A81="","",EOMONTH(A81,0))</f>
        <v/>
      </c>
      <c r="H81" s="49" t="n"/>
    </row>
    <row r="82">
      <c r="A82" s="50" t="n"/>
      <c r="B82" s="51" t="n"/>
      <c r="C82" s="52" t="n"/>
      <c r="D82" s="53" t="n"/>
      <c r="E82" s="51" t="n"/>
      <c r="F82" s="41">
        <f>IF(A82="","",C82*Inputs!$B$12)</f>
        <v/>
      </c>
      <c r="G82" s="54">
        <f>IF(A82="","",EOMONTH(A82,0))</f>
        <v/>
      </c>
      <c r="H82" s="51" t="n"/>
    </row>
    <row r="83">
      <c r="A83" s="55" t="n"/>
      <c r="B83" s="49" t="n"/>
      <c r="C83" s="56" t="n"/>
      <c r="D83" s="57" t="n"/>
      <c r="E83" s="49" t="n"/>
      <c r="F83" s="41">
        <f>IF(A83="","",C83*Inputs!$B$12)</f>
        <v/>
      </c>
      <c r="G83" s="48">
        <f>IF(A83="","",EOMONTH(A83,0))</f>
        <v/>
      </c>
      <c r="H83" s="49" t="n"/>
    </row>
    <row r="84">
      <c r="A84" s="50" t="n"/>
      <c r="B84" s="51" t="n"/>
      <c r="C84" s="52" t="n"/>
      <c r="D84" s="53" t="n"/>
      <c r="E84" s="51" t="n"/>
      <c r="F84" s="41">
        <f>IF(A84="","",C84*Inputs!$B$12)</f>
        <v/>
      </c>
      <c r="G84" s="54">
        <f>IF(A84="","",EOMONTH(A84,0))</f>
        <v/>
      </c>
      <c r="H84" s="51" t="n"/>
    </row>
    <row r="85">
      <c r="A85" s="55" t="n"/>
      <c r="B85" s="49" t="n"/>
      <c r="C85" s="56" t="n"/>
      <c r="D85" s="57" t="n"/>
      <c r="E85" s="49" t="n"/>
      <c r="F85" s="41">
        <f>IF(A85="","",C85*Inputs!$B$12)</f>
        <v/>
      </c>
      <c r="G85" s="48">
        <f>IF(A85="","",EOMONTH(A85,0))</f>
        <v/>
      </c>
      <c r="H85" s="49" t="n"/>
    </row>
    <row r="86">
      <c r="A86" s="50" t="n"/>
      <c r="B86" s="51" t="n"/>
      <c r="C86" s="52" t="n"/>
      <c r="D86" s="53" t="n"/>
      <c r="E86" s="51" t="n"/>
      <c r="F86" s="41">
        <f>IF(A86="","",C86*Inputs!$B$12)</f>
        <v/>
      </c>
      <c r="G86" s="54">
        <f>IF(A86="","",EOMONTH(A86,0))</f>
        <v/>
      </c>
      <c r="H86" s="51" t="n"/>
    </row>
    <row r="87">
      <c r="A87" s="55" t="n"/>
      <c r="B87" s="49" t="n"/>
      <c r="C87" s="56" t="n"/>
      <c r="D87" s="57" t="n"/>
      <c r="E87" s="49" t="n"/>
      <c r="F87" s="41">
        <f>IF(A87="","",C87*Inputs!$B$12)</f>
        <v/>
      </c>
      <c r="G87" s="48">
        <f>IF(A87="","",EOMONTH(A87,0))</f>
        <v/>
      </c>
      <c r="H87" s="49" t="n"/>
    </row>
    <row r="88">
      <c r="A88" s="50" t="n"/>
      <c r="B88" s="51" t="n"/>
      <c r="C88" s="52" t="n"/>
      <c r="D88" s="53" t="n"/>
      <c r="E88" s="51" t="n"/>
      <c r="F88" s="41">
        <f>IF(A88="","",C88*Inputs!$B$12)</f>
        <v/>
      </c>
      <c r="G88" s="54">
        <f>IF(A88="","",EOMONTH(A88,0))</f>
        <v/>
      </c>
      <c r="H88" s="51" t="n"/>
    </row>
    <row r="89">
      <c r="A89" s="55" t="n"/>
      <c r="B89" s="49" t="n"/>
      <c r="C89" s="56" t="n"/>
      <c r="D89" s="57" t="n"/>
      <c r="E89" s="49" t="n"/>
      <c r="F89" s="41">
        <f>IF(A89="","",C89*Inputs!$B$12)</f>
        <v/>
      </c>
      <c r="G89" s="48">
        <f>IF(A89="","",EOMONTH(A89,0))</f>
        <v/>
      </c>
      <c r="H89" s="49" t="n"/>
    </row>
    <row r="90">
      <c r="A90" s="50" t="n"/>
      <c r="B90" s="51" t="n"/>
      <c r="C90" s="52" t="n"/>
      <c r="D90" s="53" t="n"/>
      <c r="E90" s="51" t="n"/>
      <c r="F90" s="41">
        <f>IF(A90="","",C90*Inputs!$B$12)</f>
        <v/>
      </c>
      <c r="G90" s="54">
        <f>IF(A90="","",EOMONTH(A90,0))</f>
        <v/>
      </c>
      <c r="H90" s="51" t="n"/>
    </row>
    <row r="91">
      <c r="A91" s="55" t="n"/>
      <c r="B91" s="49" t="n"/>
      <c r="C91" s="56" t="n"/>
      <c r="D91" s="57" t="n"/>
      <c r="E91" s="49" t="n"/>
      <c r="F91" s="41">
        <f>IF(A91="","",C91*Inputs!$B$12)</f>
        <v/>
      </c>
      <c r="G91" s="48">
        <f>IF(A91="","",EOMONTH(A91,0))</f>
        <v/>
      </c>
      <c r="H91" s="49" t="n"/>
    </row>
    <row r="92">
      <c r="A92" s="50" t="n"/>
      <c r="B92" s="51" t="n"/>
      <c r="C92" s="52" t="n"/>
      <c r="D92" s="53" t="n"/>
      <c r="E92" s="51" t="n"/>
      <c r="F92" s="41">
        <f>IF(A92="","",C92*Inputs!$B$12)</f>
        <v/>
      </c>
      <c r="G92" s="54">
        <f>IF(A92="","",EOMONTH(A92,0))</f>
        <v/>
      </c>
      <c r="H92" s="51" t="n"/>
    </row>
    <row r="93">
      <c r="A93" s="55" t="n"/>
      <c r="B93" s="49" t="n"/>
      <c r="C93" s="56" t="n"/>
      <c r="D93" s="57" t="n"/>
      <c r="E93" s="49" t="n"/>
      <c r="F93" s="41">
        <f>IF(A93="","",C93*Inputs!$B$12)</f>
        <v/>
      </c>
      <c r="G93" s="48">
        <f>IF(A93="","",EOMONTH(A93,0))</f>
        <v/>
      </c>
      <c r="H93" s="49" t="n"/>
    </row>
    <row r="94">
      <c r="A94" s="50" t="n"/>
      <c r="B94" s="51" t="n"/>
      <c r="C94" s="52" t="n"/>
      <c r="D94" s="53" t="n"/>
      <c r="E94" s="51" t="n"/>
      <c r="F94" s="41">
        <f>IF(A94="","",C94*Inputs!$B$12)</f>
        <v/>
      </c>
      <c r="G94" s="54">
        <f>IF(A94="","",EOMONTH(A94,0))</f>
        <v/>
      </c>
      <c r="H94" s="51" t="n"/>
    </row>
    <row r="95">
      <c r="A95" s="55" t="n"/>
      <c r="B95" s="49" t="n"/>
      <c r="C95" s="56" t="n"/>
      <c r="D95" s="57" t="n"/>
      <c r="E95" s="49" t="n"/>
      <c r="F95" s="41">
        <f>IF(A95="","",C95*Inputs!$B$12)</f>
        <v/>
      </c>
      <c r="G95" s="48">
        <f>IF(A95="","",EOMONTH(A95,0))</f>
        <v/>
      </c>
      <c r="H95" s="49" t="n"/>
    </row>
    <row r="96">
      <c r="A96" s="50" t="n"/>
      <c r="B96" s="51" t="n"/>
      <c r="C96" s="52" t="n"/>
      <c r="D96" s="53" t="n"/>
      <c r="E96" s="51" t="n"/>
      <c r="F96" s="41">
        <f>IF(A96="","",C96*Inputs!$B$12)</f>
        <v/>
      </c>
      <c r="G96" s="54">
        <f>IF(A96="","",EOMONTH(A96,0))</f>
        <v/>
      </c>
      <c r="H96" s="51" t="n"/>
    </row>
    <row r="97">
      <c r="A97" s="55" t="n"/>
      <c r="B97" s="49" t="n"/>
      <c r="C97" s="56" t="n"/>
      <c r="D97" s="57" t="n"/>
      <c r="E97" s="49" t="n"/>
      <c r="F97" s="41">
        <f>IF(A97="","",C97*Inputs!$B$12)</f>
        <v/>
      </c>
      <c r="G97" s="48">
        <f>IF(A97="","",EOMONTH(A97,0))</f>
        <v/>
      </c>
      <c r="H97" s="49" t="n"/>
    </row>
    <row r="98">
      <c r="A98" s="50" t="n"/>
      <c r="B98" s="51" t="n"/>
      <c r="C98" s="52" t="n"/>
      <c r="D98" s="53" t="n"/>
      <c r="E98" s="51" t="n"/>
      <c r="F98" s="41">
        <f>IF(A98="","",C98*Inputs!$B$12)</f>
        <v/>
      </c>
      <c r="G98" s="54">
        <f>IF(A98="","",EOMONTH(A98,0))</f>
        <v/>
      </c>
      <c r="H98" s="51" t="n"/>
    </row>
    <row r="99">
      <c r="A99" s="55" t="n"/>
      <c r="B99" s="49" t="n"/>
      <c r="C99" s="56" t="n"/>
      <c r="D99" s="57" t="n"/>
      <c r="E99" s="49" t="n"/>
      <c r="F99" s="41">
        <f>IF(A99="","",C99*Inputs!$B$12)</f>
        <v/>
      </c>
      <c r="G99" s="48">
        <f>IF(A99="","",EOMONTH(A99,0))</f>
        <v/>
      </c>
      <c r="H99" s="49" t="n"/>
    </row>
    <row r="100">
      <c r="A100" s="50" t="n"/>
      <c r="B100" s="51" t="n"/>
      <c r="C100" s="52" t="n"/>
      <c r="D100" s="53" t="n"/>
      <c r="E100" s="51" t="n"/>
      <c r="F100" s="41">
        <f>IF(A100="","",C100*Inputs!$B$12)</f>
        <v/>
      </c>
      <c r="G100" s="54">
        <f>IF(A100="","",EOMONTH(A100,0))</f>
        <v/>
      </c>
      <c r="H100" s="51" t="n"/>
    </row>
    <row r="101">
      <c r="A101" s="55" t="n"/>
      <c r="B101" s="49" t="n"/>
      <c r="C101" s="56" t="n"/>
      <c r="D101" s="57" t="n"/>
      <c r="E101" s="49" t="n"/>
      <c r="F101" s="41">
        <f>IF(A101="","",C101*Inputs!$B$12)</f>
        <v/>
      </c>
      <c r="G101" s="48">
        <f>IF(A101="","",EOMONTH(A101,0))</f>
        <v/>
      </c>
      <c r="H101" s="49" t="n"/>
    </row>
    <row r="102">
      <c r="A102" s="50" t="n"/>
      <c r="B102" s="51" t="n"/>
      <c r="C102" s="52" t="n"/>
      <c r="D102" s="53" t="n"/>
      <c r="E102" s="51" t="n"/>
      <c r="F102" s="41">
        <f>IF(A102="","",C102*Inputs!$B$12)</f>
        <v/>
      </c>
      <c r="G102" s="54">
        <f>IF(A102="","",EOMONTH(A102,0))</f>
        <v/>
      </c>
      <c r="H102" s="51" t="n"/>
    </row>
    <row r="103">
      <c r="A103" s="55" t="n"/>
      <c r="B103" s="49" t="n"/>
      <c r="C103" s="56" t="n"/>
      <c r="D103" s="57" t="n"/>
      <c r="E103" s="49" t="n"/>
      <c r="F103" s="41">
        <f>IF(A103="","",C103*Inputs!$B$12)</f>
        <v/>
      </c>
      <c r="G103" s="48">
        <f>IF(A103="","",EOMONTH(A103,0))</f>
        <v/>
      </c>
      <c r="H103" s="49" t="n"/>
    </row>
    <row r="104">
      <c r="A104" s="50" t="n"/>
      <c r="B104" s="51" t="n"/>
      <c r="C104" s="52" t="n"/>
      <c r="D104" s="53" t="n"/>
      <c r="E104" s="51" t="n"/>
      <c r="F104" s="41">
        <f>IF(A104="","",C104*Inputs!$B$12)</f>
        <v/>
      </c>
      <c r="G104" s="54">
        <f>IF(A104="","",EOMONTH(A104,0))</f>
        <v/>
      </c>
      <c r="H104" s="51" t="n"/>
    </row>
    <row r="105">
      <c r="A105" s="55" t="n"/>
      <c r="B105" s="49" t="n"/>
      <c r="C105" s="56" t="n"/>
      <c r="D105" s="57" t="n"/>
      <c r="E105" s="49" t="n"/>
      <c r="F105" s="41">
        <f>IF(A105="","",C105*Inputs!$B$12)</f>
        <v/>
      </c>
      <c r="G105" s="48">
        <f>IF(A105="","",EOMONTH(A105,0))</f>
        <v/>
      </c>
      <c r="H105" s="49" t="n"/>
    </row>
    <row r="106">
      <c r="A106" s="50" t="n"/>
      <c r="B106" s="51" t="n"/>
      <c r="C106" s="52" t="n"/>
      <c r="D106" s="53" t="n"/>
      <c r="E106" s="51" t="n"/>
      <c r="F106" s="41">
        <f>IF(A106="","",C106*Inputs!$B$12)</f>
        <v/>
      </c>
      <c r="G106" s="54">
        <f>IF(A106="","",EOMONTH(A106,0))</f>
        <v/>
      </c>
      <c r="H106" s="51" t="n"/>
    </row>
  </sheetData>
  <mergeCells count="3">
    <mergeCell ref="A2:H2"/>
    <mergeCell ref="A5:H5"/>
    <mergeCell ref="A1:H1"/>
  </mergeCells>
  <dataValidations count="1">
    <dataValidation sqref="E7:E106" showDropDown="0" showInputMessage="0" showErrorMessage="0" allowBlank="1" type="list">
      <formula1>"Funded,Locked,Pre-App,Lead,Lost"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F2B46"/>
    <outlinePr summaryBelow="1" summaryRight="1"/>
    <pageSetUpPr/>
  </sheetPr>
  <dimension ref="A1:H2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</cols>
  <sheetData>
    <row r="1" ht="24" customHeight="1">
      <c r="A1" s="1" t="inlineStr">
        <is>
          <t>SCENARIOS — what happens when you start closing loans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Same deals, three different comp structures. Until you know which one you're on, look at all three.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15" t="inlineStr">
        <is>
          <t>Average loan size</t>
        </is>
      </c>
      <c r="B4" s="58" t="n">
        <v>300000</v>
      </c>
      <c r="C4" s="42" t="inlineStr">
        <is>
          <t>&lt;- change this</t>
        </is>
      </c>
    </row>
    <row r="5">
      <c r="A5" s="15" t="inlineStr">
        <is>
          <t>Advance balance owed now</t>
        </is>
      </c>
      <c r="B5" s="59">
        <f>IF(Inputs!$B$11="Yes",MAX(0,Inputs!$B$10-'Deal Log'!F4),0)</f>
        <v/>
      </c>
      <c r="C5" s="42">
        <f> draws taken so far, less commission already earned. $0 if the draw isn't recoverable.</f>
        <v/>
      </c>
    </row>
    <row r="6">
      <c r="A6" s="15" t="inlineStr">
        <is>
          <t>Your monthly costs</t>
        </is>
      </c>
      <c r="B6" s="60">
        <f>Budget!B17</f>
        <v/>
      </c>
    </row>
    <row r="8" ht="28" customHeight="1">
      <c r="A8" s="23" t="inlineStr">
        <is>
          <t>Loans per month</t>
        </is>
      </c>
      <c r="B8" s="23" t="inlineStr">
        <is>
          <t>Loan volume</t>
        </is>
      </c>
      <c r="C8" s="23" t="inlineStr">
        <is>
          <t>Your commission</t>
        </is>
      </c>
      <c r="D8" s="23" t="inlineStr">
        <is>
          <t>TAKE-HOME
Recoverable</t>
        </is>
      </c>
      <c r="E8" s="23" t="inlineStr">
        <is>
          <t>TAKE-HOME
Non-rec (greater of)</t>
        </is>
      </c>
      <c r="F8" s="23" t="inlineStr">
        <is>
          <t>TAKE-HOME
Non-rec (stacked)</t>
        </is>
      </c>
      <c r="G8" s="23" t="inlineStr">
        <is>
          <t>Left over
(your structure)</t>
        </is>
      </c>
      <c r="H8" s="23" t="inlineStr">
        <is>
          <t>Months to clear
the advance</t>
        </is>
      </c>
    </row>
    <row r="9">
      <c r="A9" s="61" t="n">
        <v>0</v>
      </c>
      <c r="B9" s="62">
        <f>A9*$B$4</f>
        <v/>
      </c>
      <c r="C9" s="63">
        <f>B9*Inputs!$B$12</f>
        <v/>
      </c>
      <c r="D9" s="26">
        <f>Inputs!$B$7+C9*(1-Inputs!$B$43)</f>
        <v/>
      </c>
      <c r="E9" s="26">
        <f>MAX(Inputs!$B$7,C9)</f>
        <v/>
      </c>
      <c r="F9" s="26">
        <f>Inputs!$B$7+C9</f>
        <v/>
      </c>
      <c r="G9" s="34">
        <f>IF(Inputs!$B$11="Yes",D9,IF(Inputs!$B$44="Stacked",F9,E9))-$B$6</f>
        <v/>
      </c>
      <c r="H9" s="64">
        <f>IF(OR(Inputs!$B$11&lt;&gt;"Yes",C9*Inputs!$B$43&lt;=0),"n/a",ROUNDUP($B$5/(C9*Inputs!$B$43),0))</f>
        <v/>
      </c>
    </row>
    <row r="10">
      <c r="A10" s="65" t="n">
        <v>1</v>
      </c>
      <c r="B10" s="66">
        <f>A10*$B$4</f>
        <v/>
      </c>
      <c r="C10" s="67">
        <f>B10*Inputs!$B$12</f>
        <v/>
      </c>
      <c r="D10" s="30">
        <f>Inputs!$B$7+C10*(1-Inputs!$B$43)</f>
        <v/>
      </c>
      <c r="E10" s="30">
        <f>MAX(Inputs!$B$7,C10)</f>
        <v/>
      </c>
      <c r="F10" s="30">
        <f>Inputs!$B$7+C10</f>
        <v/>
      </c>
      <c r="G10" s="34">
        <f>IF(Inputs!$B$11="Yes",D10,IF(Inputs!$B$44="Stacked",F10,E10))-$B$6</f>
        <v/>
      </c>
      <c r="H10" s="68">
        <f>IF(OR(Inputs!$B$11&lt;&gt;"Yes",C10*Inputs!$B$43&lt;=0),"n/a",ROUNDUP($B$5/(C10*Inputs!$B$43),0))</f>
        <v/>
      </c>
    </row>
    <row r="11">
      <c r="A11" s="69" t="n">
        <v>2</v>
      </c>
      <c r="B11" s="62">
        <f>A11*$B$4</f>
        <v/>
      </c>
      <c r="C11" s="63">
        <f>B11*Inputs!$B$12</f>
        <v/>
      </c>
      <c r="D11" s="26">
        <f>Inputs!$B$7+C11*(1-Inputs!$B$43)</f>
        <v/>
      </c>
      <c r="E11" s="26">
        <f>MAX(Inputs!$B$7,C11)</f>
        <v/>
      </c>
      <c r="F11" s="26">
        <f>Inputs!$B$7+C11</f>
        <v/>
      </c>
      <c r="G11" s="41">
        <f>IF(Inputs!$B$11="Yes",D11,IF(Inputs!$B$44="Stacked",F11,E11))-$B$6</f>
        <v/>
      </c>
      <c r="H11" s="64">
        <f>IF(OR(Inputs!$B$11&lt;&gt;"Yes",C11*Inputs!$B$43&lt;=0),"n/a",ROUNDUP($B$5/(C11*Inputs!$B$43),0))</f>
        <v/>
      </c>
    </row>
    <row r="12">
      <c r="A12" s="65" t="n">
        <v>3</v>
      </c>
      <c r="B12" s="66">
        <f>A12*$B$4</f>
        <v/>
      </c>
      <c r="C12" s="67">
        <f>B12*Inputs!$B$12</f>
        <v/>
      </c>
      <c r="D12" s="30">
        <f>Inputs!$B$7+C12*(1-Inputs!$B$43)</f>
        <v/>
      </c>
      <c r="E12" s="30">
        <f>MAX(Inputs!$B$7,C12)</f>
        <v/>
      </c>
      <c r="F12" s="30">
        <f>Inputs!$B$7+C12</f>
        <v/>
      </c>
      <c r="G12" s="41">
        <f>IF(Inputs!$B$11="Yes",D12,IF(Inputs!$B$44="Stacked",F12,E12))-$B$6</f>
        <v/>
      </c>
      <c r="H12" s="68">
        <f>IF(OR(Inputs!$B$11&lt;&gt;"Yes",C12*Inputs!$B$43&lt;=0),"n/a",ROUNDUP($B$5/(C12*Inputs!$B$43),0))</f>
        <v/>
      </c>
    </row>
    <row r="13">
      <c r="A13" s="61" t="n">
        <v>4</v>
      </c>
      <c r="B13" s="62">
        <f>A13*$B$4</f>
        <v/>
      </c>
      <c r="C13" s="63">
        <f>B13*Inputs!$B$12</f>
        <v/>
      </c>
      <c r="D13" s="26">
        <f>Inputs!$B$7+C13*(1-Inputs!$B$43)</f>
        <v/>
      </c>
      <c r="E13" s="26">
        <f>MAX(Inputs!$B$7,C13)</f>
        <v/>
      </c>
      <c r="F13" s="26">
        <f>Inputs!$B$7+C13</f>
        <v/>
      </c>
      <c r="G13" s="41">
        <f>IF(Inputs!$B$11="Yes",D13,IF(Inputs!$B$44="Stacked",F13,E13))-$B$6</f>
        <v/>
      </c>
      <c r="H13" s="64">
        <f>IF(OR(Inputs!$B$11&lt;&gt;"Yes",C13*Inputs!$B$43&lt;=0),"n/a",ROUNDUP($B$5/(C13*Inputs!$B$43),0))</f>
        <v/>
      </c>
    </row>
    <row r="14">
      <c r="A14" s="65" t="n">
        <v>5</v>
      </c>
      <c r="B14" s="66">
        <f>A14*$B$4</f>
        <v/>
      </c>
      <c r="C14" s="67">
        <f>B14*Inputs!$B$12</f>
        <v/>
      </c>
      <c r="D14" s="30">
        <f>Inputs!$B$7+C14*(1-Inputs!$B$43)</f>
        <v/>
      </c>
      <c r="E14" s="30">
        <f>MAX(Inputs!$B$7,C14)</f>
        <v/>
      </c>
      <c r="F14" s="30">
        <f>Inputs!$B$7+C14</f>
        <v/>
      </c>
      <c r="G14" s="41">
        <f>IF(Inputs!$B$11="Yes",D14,IF(Inputs!$B$44="Stacked",F14,E14))-$B$6</f>
        <v/>
      </c>
      <c r="H14" s="68">
        <f>IF(OR(Inputs!$B$11&lt;&gt;"Yes",C14*Inputs!$B$43&lt;=0),"n/a",ROUNDUP($B$5/(C14*Inputs!$B$43),0))</f>
        <v/>
      </c>
    </row>
    <row r="15">
      <c r="A15" s="61" t="n">
        <v>6</v>
      </c>
      <c r="B15" s="62">
        <f>A15*$B$4</f>
        <v/>
      </c>
      <c r="C15" s="63">
        <f>B15*Inputs!$B$12</f>
        <v/>
      </c>
      <c r="D15" s="26">
        <f>Inputs!$B$7+C15*(1-Inputs!$B$43)</f>
        <v/>
      </c>
      <c r="E15" s="26">
        <f>MAX(Inputs!$B$7,C15)</f>
        <v/>
      </c>
      <c r="F15" s="26">
        <f>Inputs!$B$7+C15</f>
        <v/>
      </c>
      <c r="G15" s="41">
        <f>IF(Inputs!$B$11="Yes",D15,IF(Inputs!$B$44="Stacked",F15,E15))-$B$6</f>
        <v/>
      </c>
      <c r="H15" s="64">
        <f>IF(OR(Inputs!$B$11&lt;&gt;"Yes",C15*Inputs!$B$43&lt;=0),"n/a",ROUNDUP($B$5/(C15*Inputs!$B$43),0))</f>
        <v/>
      </c>
    </row>
    <row r="17">
      <c r="A17" s="15" t="inlineStr">
        <is>
          <t>Read it like this:</t>
        </is>
      </c>
    </row>
    <row r="18" ht="26" customHeight="1">
      <c r="A18" s="13" t="inlineStr">
        <is>
          <t>Column D (recoverable): the recapture dial on Inputs decides this. At 100%, every commission dollar goes to the advance and you take home exactly the draw no matter how much you close — until the balance hits zero.</t>
        </is>
      </c>
    </row>
    <row r="19" ht="26" customHeight="1">
      <c r="A19" s="13" t="inlineStr">
        <is>
          <t>Column E (greater of): the draw is a floor, not a bonus. One $300k loan pays $2,250, which is LESS than your monthly draw — so a single closing in a month changes nothing. It takes about 1.1 loans a month before commission beats the draw at all.</t>
        </is>
      </c>
    </row>
    <row r="20" ht="26" customHeight="1">
      <c r="A20" s="13" t="inlineStr">
        <is>
          <t>Column F (stacked): draw is base pay, commission on top. Best case. If your agreement reads this way, get it in writing.</t>
        </is>
      </c>
    </row>
    <row r="21" ht="26" customHeight="1">
      <c r="A21" s="13" t="inlineStr">
        <is>
          <t>Column H: how many months of that pace to clear what you owe. 'n/a' means either the draw isn't recoverable or you're not closing anything.</t>
        </is>
      </c>
    </row>
  </sheetData>
  <mergeCells count="7">
    <mergeCell ref="A18:H18"/>
    <mergeCell ref="A21:H21"/>
    <mergeCell ref="A20:H20"/>
    <mergeCell ref="C5:H5"/>
    <mergeCell ref="A2:H2"/>
    <mergeCell ref="A19:H1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2CC"/>
    <outlinePr summaryBelow="1" summaryRight="1"/>
    <pageSetUpPr/>
  </sheetPr>
  <dimension ref="A1:G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0" customWidth="1" min="4" max="4"/>
    <col width="14" customWidth="1" min="5" max="5"/>
    <col width="14" customWidth="1" min="6" max="6"/>
    <col width="48" customWidth="1" min="7" max="7"/>
  </cols>
  <sheetData>
    <row r="1" ht="24" customHeight="1">
      <c r="A1" s="1" t="inlineStr">
        <is>
          <t>GOALS — what you're saving for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Set the target and the date. The sheet tells you what it costs per month.</t>
        </is>
      </c>
      <c r="B2" s="2" t="n"/>
      <c r="C2" s="2" t="n"/>
      <c r="D2" s="2" t="n"/>
      <c r="E2" s="2" t="n"/>
      <c r="F2" s="2" t="n"/>
      <c r="G2" s="2" t="n"/>
    </row>
    <row r="4">
      <c r="A4" s="15" t="inlineStr">
        <is>
          <t>Today</t>
        </is>
      </c>
      <c r="B4" s="44" t="n">
        <v>46275</v>
      </c>
    </row>
    <row r="5" ht="28" customHeight="1">
      <c r="A5" s="23" t="inlineStr">
        <is>
          <t>Goal</t>
        </is>
      </c>
      <c r="B5" s="23" t="inlineStr">
        <is>
          <t>Target $</t>
        </is>
      </c>
      <c r="C5" s="23" t="inlineStr">
        <is>
          <t>By when</t>
        </is>
      </c>
      <c r="D5" s="23" t="inlineStr">
        <is>
          <t>Months
left</t>
        </is>
      </c>
      <c r="E5" s="23" t="inlineStr">
        <is>
          <t>Have now</t>
        </is>
      </c>
      <c r="F5" s="23" t="inlineStr">
        <is>
          <t>Need per
month</t>
        </is>
      </c>
      <c r="G5" s="23" t="inlineStr">
        <is>
          <t>Note</t>
        </is>
      </c>
    </row>
    <row r="6" ht="32" customHeight="1">
      <c r="A6" s="6" t="inlineStr">
        <is>
          <t>Emergency fund</t>
        </is>
      </c>
      <c r="B6" s="25">
        <f>Budget!B17*6</f>
        <v/>
      </c>
      <c r="C6" s="70" t="n">
        <v>46631</v>
      </c>
      <c r="D6" s="71">
        <f>MAX(1,ROUND((C6-$B$4)/30.44,0))</f>
        <v/>
      </c>
      <c r="E6" s="25">
        <f>Inputs!$B$32</f>
        <v/>
      </c>
      <c r="F6" s="32">
        <f>MAX(0,B6-E6)/D6</f>
        <v/>
      </c>
      <c r="G6" s="27" t="inlineStr">
        <is>
          <t>6 months of costs. Fund this FIRST — commission income is lumpy and if the draw is recoverable you have less cushion than you think.</t>
        </is>
      </c>
    </row>
    <row r="7" ht="32" customHeight="1">
      <c r="A7" s="39" t="inlineStr">
        <is>
          <t>Ring + proposal</t>
        </is>
      </c>
      <c r="B7" s="72" t="n">
        <v>12000</v>
      </c>
      <c r="C7" s="73" t="n">
        <v>46997</v>
      </c>
      <c r="D7" s="74">
        <f>MAX(1,ROUND((C7-$B$4)/30.44,0))</f>
        <v/>
      </c>
      <c r="E7" s="72" t="n">
        <v>0</v>
      </c>
      <c r="F7" s="32">
        <f>MAX(0,B7-E7)/D7</f>
        <v/>
      </c>
      <c r="G7" s="31" t="inlineStr">
        <is>
          <t>Placeholder — put your real number in. Keep it in cash, not invested; never invest money you need inside 3 years.</t>
        </is>
      </c>
    </row>
    <row r="8" ht="32" customHeight="1">
      <c r="A8" s="6" t="inlineStr">
        <is>
          <t>Roth IRA (this year)</t>
        </is>
      </c>
      <c r="B8" s="75" t="n">
        <v>7000</v>
      </c>
      <c r="C8" s="70" t="n">
        <v>46492</v>
      </c>
      <c r="D8" s="71">
        <f>MAX(1,ROUND((C8-$B$4)/30.44,0))</f>
        <v/>
      </c>
      <c r="E8" s="75" t="n">
        <v>0</v>
      </c>
      <c r="F8" s="32">
        <f>MAX(0,B8-E8)/D8</f>
        <v/>
      </c>
      <c r="G8" s="27" t="inlineStr">
        <is>
          <t>Verify the 2026 limit. You're 25 with $0 invested — $7,000/yr at 8% until 65 is roughly $1.8M. Waiting one year costs about $145,000.</t>
        </is>
      </c>
    </row>
    <row r="9" ht="32" customHeight="1">
      <c r="A9" s="39" t="inlineStr">
        <is>
          <t>House down payment</t>
        </is>
      </c>
      <c r="B9" s="72" t="n">
        <v>32000</v>
      </c>
      <c r="C9" s="73" t="n">
        <v>47178</v>
      </c>
      <c r="D9" s="74">
        <f>MAX(1,ROUND((C9-$B$4)/30.44,0))</f>
        <v/>
      </c>
      <c r="E9" s="72" t="n">
        <v>0</v>
      </c>
      <c r="F9" s="32">
        <f>MAX(0,B9-E9)/D9</f>
        <v/>
      </c>
      <c r="G9" s="31" t="inlineStr">
        <is>
          <t>8% of $400k (5% down + 3% costs). FHA at 3.5% down cuts this a lot.</t>
        </is>
      </c>
    </row>
    <row r="10" ht="32" customHeight="1">
      <c r="A10" s="6" t="inlineStr">
        <is>
          <t>Travel</t>
        </is>
      </c>
      <c r="B10" s="75" t="n">
        <v>3000</v>
      </c>
      <c r="C10" s="70" t="n">
        <v>46631</v>
      </c>
      <c r="D10" s="71">
        <f>MAX(1,ROUND((C10-$B$4)/30.44,0))</f>
        <v/>
      </c>
      <c r="E10" s="75" t="n">
        <v>0</v>
      </c>
      <c r="F10" s="32">
        <f>MAX(0,B10-E10)/D10</f>
        <v/>
      </c>
      <c r="G10" s="27" t="inlineStr">
        <is>
          <t>Shares the special-savings account with the ring.</t>
        </is>
      </c>
    </row>
    <row r="11">
      <c r="A11" s="6" t="inlineStr">
        <is>
          <t>TOTAL NEEDED PER MONTH</t>
        </is>
      </c>
      <c r="F11" s="34">
        <f>SUM(F6:F10)</f>
        <v/>
      </c>
    </row>
    <row r="12">
      <c r="A12" s="6" t="inlineStr">
        <is>
          <t>You have left over each month</t>
        </is>
      </c>
      <c r="F12" s="32">
        <f>Budget!B20</f>
        <v/>
      </c>
    </row>
    <row r="13" ht="32" customHeight="1">
      <c r="A13" s="6" t="inlineStr">
        <is>
          <t>GAP</t>
        </is>
      </c>
      <c r="F13" s="37">
        <f>F12-F11</f>
        <v/>
      </c>
      <c r="G13" s="27" t="inlineStr">
        <is>
          <t>If this is negative, these goals don't all fit on the draw alone. That's not a budgeting failure — it's the sheet telling you how many loans you need to close. Check 'Scenarios'.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7B4F"/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6" customWidth="1" min="4" max="4"/>
    <col width="58" customWidth="1" min="5" max="5"/>
  </cols>
  <sheetData>
    <row r="1" ht="24" customHeight="1">
      <c r="A1" s="1" t="inlineStr">
        <is>
          <t>MONEY SPLIT — a commission just landed. Where does it go?</t>
        </is>
      </c>
      <c r="B1" s="2" t="n"/>
      <c r="C1" s="2" t="n"/>
      <c r="D1" s="2" t="n"/>
      <c r="E1" s="2" t="n"/>
    </row>
    <row r="2">
      <c r="A2" s="3" t="inlineStr">
        <is>
          <t>Type the commission amount in the blue box. Follow the list top to bottom.</t>
        </is>
      </c>
      <c r="B2" s="2" t="n"/>
      <c r="C2" s="2" t="n"/>
      <c r="D2" s="2" t="n"/>
      <c r="E2" s="2" t="n"/>
    </row>
    <row r="4">
      <c r="A4" s="4" t="inlineStr">
        <is>
          <t>COMMISSION RECEIVED</t>
        </is>
      </c>
      <c r="B4" s="11" t="n">
        <v>2250</v>
      </c>
      <c r="C4" s="42" t="inlineStr">
        <is>
          <t>&lt;- type it here</t>
        </is>
      </c>
      <c r="E4" s="42" t="inlineStr">
        <is>
          <t>A $300,000 loan at 75 bps.</t>
        </is>
      </c>
    </row>
    <row r="6" ht="28" customHeight="1">
      <c r="A6" s="23" t="inlineStr">
        <is>
          <t>Step</t>
        </is>
      </c>
      <c r="B6" s="23" t="inlineStr">
        <is>
          <t>Amount</t>
        </is>
      </c>
      <c r="C6" s="23" t="inlineStr">
        <is>
          <t>Running left</t>
        </is>
      </c>
      <c r="D6" s="23" t="inlineStr"/>
      <c r="E6" s="23" t="inlineStr">
        <is>
          <t>Why</t>
        </is>
      </c>
    </row>
    <row r="7" ht="30" customHeight="1">
      <c r="A7" s="6" t="inlineStr">
        <is>
          <t>1. Taxes — move it the same day</t>
        </is>
      </c>
      <c r="B7" s="32">
        <f>$B$4*Inputs!$B$40</f>
        <v/>
      </c>
      <c r="C7" s="26">
        <f>$B$4-B7</f>
        <v/>
      </c>
      <c r="E7" s="27" t="inlineStr">
        <is>
          <t>If you're 1099 nothing is withheld. This money was never yours. Separate account, same day, before you look at the balance.</t>
        </is>
      </c>
    </row>
    <row r="8" ht="30" customHeight="1">
      <c r="A8" s="39" t="inlineStr">
        <is>
          <t>2. Draw repayment (if recoverable)</t>
        </is>
      </c>
      <c r="B8" s="32">
        <f>IF(Inputs!$B$11="Yes",MIN(C7,MIN($B$4*Inputs!$B$43,Scenarios!$B$5)),0)</f>
        <v/>
      </c>
      <c r="C8" s="30">
        <f>C7-B8</f>
        <v/>
      </c>
      <c r="E8" s="31" t="inlineStr">
        <is>
          <t>The owner may take this before you ever see it. Shown here so the deposit isn't a surprise.</t>
        </is>
      </c>
    </row>
    <row r="9" ht="30" customHeight="1">
      <c r="A9" s="6" t="inlineStr">
        <is>
          <t>3. Top checking up to $2,000</t>
        </is>
      </c>
      <c r="B9" s="32">
        <f>MIN(C8,MAX(0,2000-Inputs!$B$31))</f>
        <v/>
      </c>
      <c r="C9" s="26">
        <f>C8-B9</f>
        <v/>
      </c>
      <c r="E9" s="27" t="inlineStr">
        <is>
          <t>You're at $395.40 with $865.84 due by 10/14. Fix this every single time before anything else.</t>
        </is>
      </c>
    </row>
    <row r="10" ht="30" customHeight="1">
      <c r="A10" s="39" t="inlineStr">
        <is>
          <t>4. Emergency fund until it's full</t>
        </is>
      </c>
      <c r="B10" s="32">
        <f>MIN(C9,MAX(0,Goals!B6-Goals!E6))</f>
        <v/>
      </c>
      <c r="C10" s="30">
        <f>C9-B10</f>
        <v/>
      </c>
      <c r="E10" s="31" t="inlineStr">
        <is>
          <t>6 months of costs. Nothing below this line gets funded until this is done.</t>
        </is>
      </c>
    </row>
    <row r="11" ht="30" customHeight="1">
      <c r="A11" s="6" t="inlineStr">
        <is>
          <t>5. Roth IRA</t>
        </is>
      </c>
      <c r="B11" s="32">
        <f>C10*0.30</f>
        <v/>
      </c>
      <c r="C11" s="26">
        <f>C10-B11</f>
        <v/>
      </c>
      <c r="E11" s="27" t="inlineStr">
        <is>
          <t>You're 25 with $0 invested. This is the highest-value habit on the page.</t>
        </is>
      </c>
    </row>
    <row r="12" ht="30" customHeight="1">
      <c r="A12" s="39" t="inlineStr">
        <is>
          <t>6. Ring / special savings</t>
        </is>
      </c>
      <c r="B12" s="32">
        <f>C11*0.40</f>
        <v/>
      </c>
      <c r="C12" s="30">
        <f>C11-B12</f>
        <v/>
      </c>
      <c r="E12" s="31" t="inlineStr">
        <is>
          <t>Dated goal. Cash only.</t>
        </is>
      </c>
    </row>
    <row r="13" ht="30" customHeight="1">
      <c r="A13" s="6" t="inlineStr">
        <is>
          <t>7. House fund</t>
        </is>
      </c>
      <c r="B13" s="32">
        <f>C12*0.20</f>
        <v/>
      </c>
      <c r="C13" s="26">
        <f>C12-B13</f>
        <v/>
      </c>
      <c r="E13" s="27" t="inlineStr">
        <is>
          <t>Separate account so you can see both clocks.</t>
        </is>
      </c>
    </row>
    <row r="14" ht="30" customHeight="1">
      <c r="A14" s="39" t="inlineStr">
        <is>
          <t>8. Guilt-free spending</t>
        </is>
      </c>
      <c r="B14" s="32">
        <f>C13*1.00</f>
        <v/>
      </c>
      <c r="C14" s="30">
        <f>C13-B14</f>
        <v/>
      </c>
      <c r="E14" s="31" t="inlineStr">
        <is>
          <t>Non-negotiable. A budget with no fun in it gets abandoned in about six weeks.</t>
        </is>
      </c>
    </row>
    <row r="15" ht="26" customHeight="1">
      <c r="A15" s="13" t="inlineStr">
        <is>
          <t>Steps 5-8 split whatever is left after the emergency fund is full: 30% Roth, 40% ring, 20% house, 10% fun. Change those percentages right in the formulas if your priorities shift.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2026-09-10T14:18:11Z</dcterms:created>
  <dcterms:modified xsi:type="dcterms:W3CDTF">2026-09-10T14:18:11Z</dcterms:modified>
</cp:coreProperties>
</file>