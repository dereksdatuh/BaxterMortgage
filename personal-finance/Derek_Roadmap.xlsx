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Roadmap" sheetId="2" state="visible" r:id="rId2"/>
    <sheet name="Dashboard" sheetId="3" state="visible" r:id="rId3"/>
    <sheet name="Inputs" sheetId="4" state="visible" r:id="rId4"/>
    <sheet name="Deal Log" sheetId="5" state="visible" r:id="rId5"/>
    <sheet name="Draw Payback" sheetId="6" state="visible" r:id="rId6"/>
    <sheet name="Budget" sheetId="7" state="visible" r:id="rId7"/>
    <sheet name="Cash Flow" sheetId="8" state="visible" r:id="rId8"/>
    <sheet name="Accounts" sheetId="9" state="visible" r:id="rId9"/>
    <sheet name="Money Split" sheetId="10" state="visible" r:id="rId10"/>
    <sheet name="Goals" sheetId="11" state="visible" r:id="rId11"/>
    <sheet name="Credit &amp; Home" sheetId="12" state="visible" r:id="rId12"/>
    <sheet name="Savings &amp; Retirement" sheetId="13" state="visible" r:id="rId13"/>
    <sheet name="Car Loa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;($#,##0.00);&quot;-&quot;"/>
    <numFmt numFmtId="165" formatCode="0.0%"/>
    <numFmt numFmtId="166" formatCode="$#,##0;($#,##0);&quot;-&quot;"/>
    <numFmt numFmtId="167" formatCode="#,##0.0"/>
    <numFmt numFmtId="168" formatCode="yyyy-mm-dd"/>
    <numFmt numFmtId="169" formatCode="mm/dd/yyyy"/>
    <numFmt numFmtId="170" formatCode="mmm yyyy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6E4EF"/>
      <sz val="10"/>
    </font>
    <font>
      <name val="Arial"/>
      <b val="1"/>
      <color rgb="00FFFFFF"/>
      <sz val="10"/>
    </font>
    <font>
      <name val="Arial"/>
      <sz val="11"/>
    </font>
    <font>
      <name val="Arial"/>
      <b val="1"/>
      <color rgb="000000FF"/>
      <sz val="11"/>
    </font>
    <font>
      <name val="Arial"/>
      <i val="1"/>
      <color rgb="00595959"/>
      <sz val="9"/>
    </font>
    <font>
      <name val="Arial"/>
      <b val="1"/>
      <sz val="11"/>
    </font>
    <font>
      <name val="Arial"/>
      <b val="1"/>
      <color rgb="000F2B46"/>
      <sz val="14"/>
    </font>
    <font>
      <name val="Arial"/>
      <i val="1"/>
      <color rgb="00404040"/>
      <sz val="10"/>
    </font>
    <font>
      <name val="Arial"/>
      <i val="1"/>
      <color rgb="00808080"/>
      <sz val="10"/>
    </font>
    <font>
      <name val="Arial"/>
      <color rgb="00008000"/>
      <sz val="11"/>
    </font>
    <font>
      <name val="Courier New"/>
      <b val="1"/>
      <color rgb="001E7B4F"/>
      <sz val="10"/>
    </font>
    <font>
      <name val="Arial"/>
      <b val="1"/>
      <color rgb="00006100"/>
      <sz val="10"/>
    </font>
    <font>
      <name val="Arial"/>
      <color rgb="009C0006"/>
      <sz val="10"/>
    </font>
    <font>
      <name val="Arial"/>
      <b val="1"/>
      <color rgb="00404040"/>
      <sz val="9"/>
    </font>
  </fonts>
  <fills count="11">
    <fill>
      <patternFill/>
    </fill>
    <fill>
      <patternFill patternType="gray125"/>
    </fill>
    <fill>
      <patternFill patternType="solid">
        <fgColor rgb="000F2B46"/>
      </patternFill>
    </fill>
    <fill>
      <patternFill patternType="solid">
        <fgColor rgb="001E7B4F"/>
      </patternFill>
    </fill>
    <fill>
      <patternFill patternType="solid">
        <fgColor rgb="00FFFF00"/>
      </patternFill>
    </fill>
    <fill>
      <patternFill patternType="solid">
        <fgColor rgb="00FFF2CC"/>
      </patternFill>
    </fill>
    <fill>
      <patternFill patternType="solid">
        <fgColor rgb="00E3F4EA"/>
      </patternFill>
    </fill>
    <fill>
      <patternFill patternType="solid">
        <fgColor rgb="00FCE4E4"/>
      </patternFill>
    </fill>
    <fill>
      <patternFill patternType="solid">
        <fgColor rgb="00EDEDED"/>
      </patternFill>
    </fill>
    <fill>
      <patternFill patternType="solid">
        <fgColor rgb="00F2F5F7"/>
      </patternFill>
    </fill>
    <fill>
      <patternFill patternType="solid">
        <fgColor rgb="00DCE3E8"/>
      </patternFill>
    </fill>
  </fills>
  <borders count="7">
    <border>
      <left/>
      <right/>
      <top/>
      <bottom/>
      <diagonal/>
    </border>
    <border>
      <left style="thin">
        <color rgb="00B7C2CC"/>
      </left>
      <right style="thin">
        <color rgb="00B7C2CC"/>
      </right>
      <top style="thin">
        <color rgb="00B7C2CC"/>
      </top>
      <bottom style="thin">
        <color rgb="00B7C2CC"/>
      </bottom>
    </border>
    <border>
      <top style="thin">
        <color rgb="000F2B46"/>
      </top>
      <bottom style="double">
        <color rgb="000F2B46"/>
      </bottom>
    </border>
    <border>
      <left/>
      <right/>
      <top style="thin">
        <color rgb="00B7C2CC"/>
      </top>
      <bottom/>
      <diagonal/>
    </border>
    <border>
      <left/>
      <right style="thin">
        <color rgb="00B7C2CC"/>
      </right>
      <top style="thin">
        <color rgb="00B7C2CC"/>
      </top>
      <bottom/>
      <diagonal/>
    </border>
    <border>
      <left/>
      <right/>
      <top style="thin">
        <color rgb="00B7C2CC"/>
      </top>
      <bottom style="thin">
        <color rgb="00B7C2CC"/>
      </bottom>
      <diagonal/>
    </border>
    <border>
      <left/>
      <right style="thin">
        <color rgb="00B7C2CC"/>
      </right>
      <top style="thin">
        <color rgb="00B7C2CC"/>
      </top>
      <bottom style="thin">
        <color rgb="00B7C2CC"/>
      </bottom>
      <diagonal/>
    </border>
  </borders>
  <cellStyleXfs count="1">
    <xf numFmtId="0" fontId="0" fillId="0" borderId="0"/>
  </cellStyleXfs>
  <cellXfs count="11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2" borderId="0" applyAlignment="1" pivotButton="0" quotePrefix="0" xfId="0">
      <alignment vertical="center" wrapText="1" indent="1"/>
    </xf>
    <xf numFmtId="0" fontId="3" fillId="3" borderId="0" pivotButton="0" quotePrefix="0" xfId="0"/>
    <xf numFmtId="0" fontId="0" fillId="3" borderId="0" pivotButton="0" quotePrefix="0" xfId="0"/>
    <xf numFmtId="0" fontId="7" fillId="7" borderId="1" pivotButton="0" quotePrefix="0" xfId="0"/>
    <xf numFmtId="0" fontId="4" fillId="7" borderId="1" applyAlignment="1" pivotButton="0" quotePrefix="0" xfId="0">
      <alignment vertical="center" wrapText="1"/>
    </xf>
    <xf numFmtId="0" fontId="7" fillId="0" borderId="1" pivotButton="0" quotePrefix="0" xfId="0"/>
    <xf numFmtId="0" fontId="4" fillId="0" borderId="1" applyAlignment="1" pivotButton="0" quotePrefix="0" xfId="0">
      <alignment vertical="center" wrapText="1"/>
    </xf>
    <xf numFmtId="0" fontId="7" fillId="4" borderId="1" pivotButton="0" quotePrefix="0" xfId="0"/>
    <xf numFmtId="0" fontId="4" fillId="4" borderId="1" applyAlignment="1" pivotButton="0" quotePrefix="0" xfId="0">
      <alignment vertical="center" wrapText="1"/>
    </xf>
    <xf numFmtId="0" fontId="7" fillId="0" borderId="0" pivotButton="0" quotePrefix="0" xfId="0"/>
    <xf numFmtId="0" fontId="8" fillId="5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3" borderId="1" applyAlignment="1" pivotButton="0" quotePrefix="0" xfId="0">
      <alignment horizontal="center" vertical="center" wrapText="1"/>
    </xf>
    <xf numFmtId="167" fontId="4" fillId="0" borderId="1" pivotButton="0" quotePrefix="0" xfId="0"/>
    <xf numFmtId="165" fontId="7" fillId="6" borderId="1" applyAlignment="1" pivotButton="0" quotePrefix="0" xfId="0">
      <alignment horizontal="center" vertical="center"/>
    </xf>
    <xf numFmtId="0" fontId="12" fillId="0" borderId="1" pivotButton="0" quotePrefix="0" xfId="0"/>
    <xf numFmtId="0" fontId="6" fillId="0" borderId="1" applyAlignment="1" pivotButton="0" quotePrefix="0" xfId="0">
      <alignment vertical="center" wrapText="1"/>
    </xf>
    <xf numFmtId="0" fontId="7" fillId="9" borderId="1" pivotButton="0" quotePrefix="0" xfId="0"/>
    <xf numFmtId="166" fontId="4" fillId="9" borderId="1" pivotButton="0" quotePrefix="0" xfId="0"/>
    <xf numFmtId="0" fontId="12" fillId="9" borderId="1" pivotButton="0" quotePrefix="0" xfId="0"/>
    <xf numFmtId="0" fontId="6" fillId="9" borderId="1" applyAlignment="1" pivotButton="0" quotePrefix="0" xfId="0">
      <alignment vertical="center" wrapText="1"/>
    </xf>
    <xf numFmtId="166" fontId="4" fillId="0" borderId="1" pivotButton="0" quotePrefix="0" xfId="0"/>
    <xf numFmtId="167" fontId="8" fillId="5" borderId="1" applyAlignment="1" pivotButton="0" quotePrefix="0" xfId="0">
      <alignment horizontal="center" vertical="center"/>
    </xf>
    <xf numFmtId="169" fontId="8" fillId="5" borderId="1" applyAlignment="1" pivotButton="0" quotePrefix="0" xfId="0">
      <alignment horizontal="center" vertical="center"/>
    </xf>
    <xf numFmtId="0" fontId="15" fillId="10" borderId="1" pivotButton="0" quotePrefix="0" xfId="0"/>
    <xf numFmtId="164" fontId="8" fillId="7" borderId="1" applyAlignment="1" pivotButton="0" quotePrefix="0" xfId="0">
      <alignment horizontal="center" vertical="center"/>
    </xf>
    <xf numFmtId="167" fontId="8" fillId="7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6" fontId="8" fillId="6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4" fillId="0" borderId="0" pivotButton="0" quotePrefix="0" xfId="0"/>
    <xf numFmtId="164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164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0" fontId="5" fillId="5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7" fontId="5" fillId="5" borderId="1" applyAlignment="1" pivotButton="0" quotePrefix="0" xfId="0">
      <alignment horizontal="center" vertical="center"/>
    </xf>
    <xf numFmtId="167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169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6" fontId="7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9" fillId="5" borderId="0" pivotButton="0" quotePrefix="0" xfId="0"/>
    <xf numFmtId="169" fontId="10" fillId="8" borderId="1" applyAlignment="1" pivotButton="0" quotePrefix="0" xfId="0">
      <alignment horizontal="center" vertical="center"/>
    </xf>
    <xf numFmtId="0" fontId="10" fillId="8" borderId="1" pivotButton="0" quotePrefix="0" xfId="0"/>
    <xf numFmtId="166" fontId="10" fillId="8" borderId="1" pivotButton="0" quotePrefix="0" xfId="0"/>
    <xf numFmtId="10" fontId="10" fillId="8" borderId="1" applyAlignment="1" pivotButton="0" quotePrefix="0" xfId="0">
      <alignment horizontal="center" vertical="center"/>
    </xf>
    <xf numFmtId="164" fontId="10" fillId="8" borderId="1" pivotButton="0" quotePrefix="0" xfId="0"/>
    <xf numFmtId="0" fontId="10" fillId="8" borderId="1" applyAlignment="1" pivotButton="0" quotePrefix="0" xfId="0">
      <alignment horizontal="center" vertical="center"/>
    </xf>
    <xf numFmtId="170" fontId="10" fillId="8" borderId="1" applyAlignment="1" pivotButton="0" quotePrefix="0" xfId="0">
      <alignment horizontal="center" vertical="center"/>
    </xf>
    <xf numFmtId="169" fontId="5" fillId="0" borderId="1" pivotButton="0" quotePrefix="0" xfId="0"/>
    <xf numFmtId="0" fontId="5" fillId="0" borderId="1" pivotButton="0" quotePrefix="0" xfId="0"/>
    <xf numFmtId="166" fontId="5" fillId="0" borderId="1" pivotButton="0" quotePrefix="0" xfId="0"/>
    <xf numFmtId="10" fontId="5" fillId="0" borderId="1" pivotButton="0" quotePrefix="0" xfId="0"/>
    <xf numFmtId="164" fontId="7" fillId="6" borderId="1" pivotButton="0" quotePrefix="0" xfId="0"/>
    <xf numFmtId="164" fontId="11" fillId="0" borderId="1" pivotButton="0" quotePrefix="0" xfId="0"/>
    <xf numFmtId="170" fontId="4" fillId="0" borderId="1" applyAlignment="1" pivotButton="0" quotePrefix="0" xfId="0">
      <alignment horizontal="center" vertical="center"/>
    </xf>
    <xf numFmtId="169" fontId="5" fillId="9" borderId="1" pivotButton="0" quotePrefix="0" xfId="0"/>
    <xf numFmtId="0" fontId="5" fillId="9" borderId="1" pivotButton="0" quotePrefix="0" xfId="0"/>
    <xf numFmtId="166" fontId="5" fillId="9" borderId="1" pivotButton="0" quotePrefix="0" xfId="0"/>
    <xf numFmtId="10" fontId="5" fillId="9" borderId="1" pivotButton="0" quotePrefix="0" xfId="0"/>
    <xf numFmtId="164" fontId="11" fillId="9" borderId="1" pivotButton="0" quotePrefix="0" xfId="0"/>
    <xf numFmtId="170" fontId="4" fillId="9" borderId="1" applyAlignment="1" pivotButton="0" quotePrefix="0" xfId="0">
      <alignment horizontal="center" vertical="center"/>
    </xf>
    <xf numFmtId="170" fontId="8" fillId="6" borderId="1" applyAlignment="1" pivotButton="0" quotePrefix="0" xfId="0">
      <alignment horizontal="center" vertical="center"/>
    </xf>
    <xf numFmtId="164" fontId="4" fillId="0" borderId="1" pivotButton="0" quotePrefix="0" xfId="0"/>
    <xf numFmtId="164" fontId="7" fillId="0" borderId="1" pivotButton="0" quotePrefix="0" xfId="0"/>
    <xf numFmtId="0" fontId="6" fillId="0" borderId="1" pivotButton="0" quotePrefix="0" xfId="0"/>
    <xf numFmtId="164" fontId="4" fillId="9" borderId="1" pivotButton="0" quotePrefix="0" xfId="0"/>
    <xf numFmtId="164" fontId="7" fillId="7" borderId="1" pivotButton="0" quotePrefix="0" xfId="0"/>
    <xf numFmtId="0" fontId="6" fillId="9" borderId="1" pivotButton="0" quotePrefix="0" xfId="0"/>
    <xf numFmtId="0" fontId="7" fillId="0" borderId="2" pivotButton="0" quotePrefix="0" xfId="0"/>
    <xf numFmtId="164" fontId="7" fillId="0" borderId="2" pivotButton="0" quotePrefix="0" xfId="0"/>
    <xf numFmtId="0" fontId="4" fillId="0" borderId="1" pivotButton="0" quotePrefix="0" xfId="0"/>
    <xf numFmtId="0" fontId="4" fillId="9" borderId="1" pivotButton="0" quotePrefix="0" xfId="0"/>
    <xf numFmtId="164" fontId="7" fillId="5" borderId="1" pivotButton="0" quotePrefix="0" xfId="0"/>
    <xf numFmtId="164" fontId="7" fillId="7" borderId="2" pivotButton="0" quotePrefix="0" xfId="0"/>
    <xf numFmtId="164" fontId="11" fillId="6" borderId="1" pivotButton="0" quotePrefix="0" xfId="0"/>
    <xf numFmtId="164" fontId="4" fillId="6" borderId="1" pivotButton="0" quotePrefix="0" xfId="0"/>
    <xf numFmtId="164" fontId="7" fillId="4" borderId="2" pivotButton="0" quotePrefix="0" xfId="0"/>
    <xf numFmtId="0" fontId="6" fillId="0" borderId="2" applyAlignment="1" pivotButton="0" quotePrefix="0" xfId="0">
      <alignment vertical="center" wrapText="1"/>
    </xf>
    <xf numFmtId="170" fontId="11" fillId="0" borderId="1" applyAlignment="1" pivotButton="0" quotePrefix="0" xfId="0">
      <alignment horizontal="center" vertical="center"/>
    </xf>
    <xf numFmtId="170" fontId="11" fillId="9" borderId="1" applyAlignment="1" pivotButton="0" quotePrefix="0" xfId="0">
      <alignment horizontal="center" vertical="center"/>
    </xf>
    <xf numFmtId="164" fontId="7" fillId="9" borderId="1" pivotButton="0" quotePrefix="0" xfId="0"/>
    <xf numFmtId="0" fontId="7" fillId="7" borderId="0" pivotButton="0" quotePrefix="0" xfId="0"/>
    <xf numFmtId="0" fontId="7" fillId="6" borderId="0" pivotButton="0" quotePrefix="0" xfId="0"/>
    <xf numFmtId="169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9" fontId="4" fillId="9" borderId="1" applyAlignment="1" pivotButton="0" quotePrefix="0" xfId="0">
      <alignment horizontal="center" vertical="center"/>
    </xf>
    <xf numFmtId="3" fontId="4" fillId="9" borderId="1" applyAlignment="1" pivotButton="0" quotePrefix="0" xfId="0">
      <alignment horizontal="center" vertical="center"/>
    </xf>
    <xf numFmtId="0" fontId="7" fillId="5" borderId="1" pivotButton="0" quotePrefix="0" xfId="0"/>
    <xf numFmtId="0" fontId="4" fillId="9" borderId="1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164" fontId="11" fillId="5" borderId="1" applyAlignment="1" pivotButton="0" quotePrefix="0" xfId="0">
      <alignment horizontal="center" vertical="center"/>
    </xf>
    <xf numFmtId="166" fontId="7" fillId="6" borderId="1" pivotButton="0" quotePrefix="0" xfId="0"/>
    <xf numFmtId="10" fontId="11" fillId="0" borderId="1" applyAlignment="1" pivotButton="0" quotePrefix="0" xfId="0">
      <alignment horizontal="center" vertical="center"/>
    </xf>
    <xf numFmtId="10" fontId="11" fillId="4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164" fontId="7" fillId="4" borderId="1" pivotButton="0" quotePrefix="0" xfId="0"/>
    <xf numFmtId="3" fontId="7" fillId="0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166" fontId="7" fillId="0" borderId="1" pivotButton="0" quotePrefix="0" xfId="0"/>
    <xf numFmtId="166" fontId="7" fillId="9" borderId="1" pivotButton="0" quotePrefix="0" xfId="0"/>
    <xf numFmtId="166" fontId="7" fillId="7" borderId="1" pivotButton="0" quotePrefix="0" xfId="0"/>
    <xf numFmtId="0" fontId="7" fillId="5" borderId="0" pivotButton="0" quotePrefix="0" xfId="0"/>
    <xf numFmtId="0" fontId="13" fillId="0" borderId="1" pivotButton="0" quotePrefix="0" xfId="0"/>
    <xf numFmtId="0" fontId="13" fillId="9" borderId="1" pivotButton="0" quotePrefix="0" xfId="0"/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Advance balance - months to zero</a:t>
            </a:r>
          </a:p>
        </rich>
      </tx>
    </title>
    <plotArea>
      <lineChart>
        <grouping val="standard"/>
        <ser>
          <idx val="0"/>
          <order val="0"/>
          <tx>
            <strRef>
              <f>'Draw Payback'!F8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'Draw Payback'!$A$9:$A$32</f>
            </numRef>
          </cat>
          <val>
            <numRef>
              <f>'Draw Payback'!$F$9:$F$32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Cash to you vs. what you spend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'Cash Flow'!B8</f>
            </strRef>
          </tx>
          <spPr>
            <a:ln>
              <a:prstDash val="solid"/>
            </a:ln>
          </spPr>
          <cat>
            <numRef>
              <f>'Cash Flow'!$A$9:$A$32</f>
            </numRef>
          </cat>
          <val>
            <numRef>
              <f>'Cash Flow'!$B$9:$B$32</f>
            </numRef>
          </val>
        </ser>
        <ser>
          <idx val="1"/>
          <order val="1"/>
          <tx>
            <strRef>
              <f>'Cash Flow'!E8</f>
            </strRef>
          </tx>
          <spPr>
            <a:ln>
              <a:prstDash val="solid"/>
            </a:ln>
          </spPr>
          <cat>
            <numRef>
              <f>'Cash Flow'!$A$9:$A$32</f>
            </numRef>
          </cat>
          <val>
            <numRef>
              <f>'Cash Flow'!$E$9:$E$32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notes</author>
  </authors>
  <commentList>
    <comment ref="D7" authorId="0" shapeId="0">
      <text>
        <t>The company's check on the deal - what Baxter collects. Log it if you know it: it shows the owner what a rate cut from 275 to 150 bps costs the shop. It does NOT change your 75 bps.</t>
      </text>
    </comment>
    <comment ref="G7" authorId="0" shapeId="0">
      <text>
        <t>Confirmed with the owner: 100% of your commission is applied to the outstanding draw. Your example - owe 10,000, commission 2,000, now owe 8,000 - is exactly this column.</t>
      </text>
    </comment>
  </commentList>
</comments>
</file>

<file path=xl/comments/comment2.xml><?xml version="1.0" encoding="utf-8"?>
<comments xmlns="http://schemas.openxmlformats.org/spreadsheetml/2006/main">
  <authors>
    <author>notes</author>
  </authors>
  <commentList>
    <comment ref="H8" authorId="0" shapeId="0">
      <text>
        <t>Your certificate pulls $1,250 out of savings every 3 months. It is savings moving, not an expense, so it is not in TOTAL OUT - but it does drain the account you would otherwise reach for.</t>
      </text>
    </comment>
  </commentList>
</comments>
</file>

<file path=xl/comments/comment3.xml><?xml version="1.0" encoding="utf-8"?>
<comments xmlns="http://schemas.openxmlformats.org/spreadsheetml/2006/main">
  <authors>
    <author>notes</author>
  </authors>
  <commentList>
    <comment ref="D8" authorId="0" shapeId="0">
      <text>
        <t>While the emergency fund is short, everything goes here. Once it is full, the split is 30% stays in savings, 25% ring, 25% Roth, 20% guilt-free (the last one is spent, not tracked).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17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17</row>
      <rowOff>0</rowOff>
    </from>
    <ext cx="61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s:worksheet xmlns:s="http://schemas.openxmlformats.org/spreadsheetml/2006/main">
  <s:sheetPr>
    <s:tabColor rgb="000F2B46"/>
    <s:outlinePr summaryBelow="1" summaryRight="1"/>
    <s:pageSetUpPr/>
  </s:sheetPr>
  <s:dimension ref="A1:B26"/>
  <s:sheetViews>
    <s:sheetView showGridLines="0" workbookViewId="0">
      <s:selection activeCell="A1" sqref="A1"/>
    </s:sheetView>
  </s:sheetViews>
  <s:sheetFormatPr baseColWidth="8" defaultRowHeight="15"/>
  <s:cols>
    <s:col width="24" customWidth="1" min="1" max="1"/>
    <s:col width="92" customWidth="1" min="2" max="2"/>
  </s:cols>
  <s:sheetData>
    <s:row r="1" ht="26" customHeight="1">
      <s:c r="A1" s="1" t="inlineStr">
        <s:is>
          <s:t>START HERE</s:t>
        </s:is>
      </s:c>
      <s:c r="B1" s="2" t="n"/>
    </s:row>
    <s:row r="2" ht="16" customHeight="1">
      <s:c r="A2" s="3" t="inlineStr">
        <s:is>
          <s:t>Derek Smith - Baxter Mortgage. Built September 2026.</s:t>
        </s:is>
      </s:c>
      <s:c r="B2" s="2" t="n"/>
    </s:row>
    <s:row r="4" ht="19" customHeight="1">
      <s:c r="A4" s="4" t="inlineStr">
        <s:is>
          <s:t xml:space="preserve">  HOW THIS WORKS NOW THAT WE KNOW THE RULES</s:t>
        </s:is>
      </s:c>
      <s:c r="B4" s="5" t="n"/>
    </s:row>
    <s:row r="5" ht="52" customHeight="1">
      <s:c r="A5" s="6" t="inlineStr">
        <s:is>
          <s:t>The one rule that shapes everything</s:t>
        </s:is>
      </s:c>
      <s:c r="B5" s="7" t="inlineStr">
        <s:is>
          <s:t>100% of your commission goes to the draw. So until the advance is gone, your take-home is the net draw and nothing else. Closing three loans in a month and closing none feel identical in your bank account. That is not a reason to slow down - it is the reason to speed up, because the only way out is through.</s:t>
        </s:is>
      </s:c>
    </s:row>
    <s:row r="6" ht="28" customHeight="1">
      <s:c r="A6" s="6" t="inlineStr">
        <s:is>
          <s:t>Gross vs net</s:t>
        </s:is>
      </s:c>
      <s:c r="B6" s="7" t="inlineStr">
        <s:is>
          <s:t>The advance grows by the GROSS draw ($1,500 a check), not the $1,231.58 that reaches you. That is why you owe $16,500 after 11 draws, not $13,547. Confirm the $1,500 off a pay stub.</s:t>
        </s:is>
      </s:c>
    </s:row>
    <s:row r="7" ht="19" customHeight="1">
      <s:c r="A7" s="4" t="inlineStr">
        <s:is>
          <s:t xml:space="preserve">  THE SHEETS, IN THE ORDER YOU'LL USE THEM</s:t>
        </s:is>
      </s:c>
      <s:c r="B7" s="5" t="n"/>
    </s:row>
    <s:row r="8" ht="28" customHeight="1">
      <s:c r="A8" s="8" t="inlineStr">
        <s:is>
          <s:t>Roadmap</s:t>
        </s:is>
      </s:c>
      <s:c r="B8" s="9" t="inlineStr">
        <s:is>
          <s:t>Five phases and where you are in each. Start here every week.</s:t>
        </s:is>
      </s:c>
    </s:row>
    <s:row r="9" ht="28" customHeight="1">
      <s:c r="A9" s="8" t="inlineStr">
        <s:is>
          <s:t>Deal Log</s:t>
        </s:is>
      </s:c>
      <s:c r="B9" s="9" t="inlineStr">
        <s:is>
          <s:t>The only sheet you must keep up with. One row per deal.</s:t>
        </s:is>
      </s:c>
    </s:row>
    <s:row r="10" ht="28" customHeight="1">
      <s:c r="A10" s="8" t="inlineStr">
        <s:is>
          <s:t>Draw Payback</s:t>
        </s:is>
      </s:c>
      <s:c r="B10" s="9" t="inlineStr">
        <s:is>
          <s:t>24 months. Shows exactly when the advance clears and your pay jumps.</s:t>
        </s:is>
      </s:c>
    </s:row>
    <s:row r="11" ht="28" customHeight="1">
      <s:c r="A11" s="8" t="inlineStr">
        <s:is>
          <s:t>Dashboard</s:t>
        </s:is>
      </s:c>
      <s:c r="B11" s="9" t="inlineStr">
        <s:is>
          <s:t>The fifteen numbers, plus two charts.</s:t>
        </s:is>
      </s:c>
    </s:row>
    <s:row r="12" ht="28" customHeight="1">
      <s:c r="A12" s="8" t="inlineStr">
        <s:is>
          <s:t>Budget / Cash Flow</s:t>
        </s:is>
      </s:c>
      <s:c r="B12" s="9" t="inlineStr">
        <s:is>
          <s:t>What life costs and what's left.</s:t>
        </s:is>
      </s:c>
    </s:row>
    <s:row r="13" ht="28" customHeight="1">
      <s:c r="A13" s="8" t="inlineStr">
        <s:is>
          <s:t>Money Split</s:t>
        </s:is>
      </s:c>
      <s:c r="B13" s="9" t="inlineStr">
        <s:is>
          <s:t>What to do the day money lands - one plan for now, one for after the advance clears.</s:t>
        </s:is>
      </s:c>
    </s:row>
    <s:row r="14" ht="28" customHeight="1">
      <s:c r="A14" s="8" t="inlineStr">
        <s:is>
          <s:t>Goals / Accounts</s:t>
        </s:is>
      </s:c>
      <s:c r="B14" s="9" t="inlineStr">
        <s:is>
          <s:t>Targets and where the money sits.</s:t>
        </s:is>
      </s:c>
    </s:row>
    <s:row r="15" ht="28" customHeight="1">
      <s:c r="A15" s="8" t="inlineStr">
        <s:is>
          <s:t>Credit &amp; Home</s:t>
        </s:is>
      </s:c>
      <s:c r="B15" s="9" t="inlineStr">
        <s:is>
          <s:t>Your card question answered, and what you'd qualify for.</s:t>
        </s:is>
      </s:c>
    </s:row>
    <s:row r="16" ht="28" customHeight="1">
      <s:c r="A16" s="8" t="inlineStr">
        <s:is>
          <s:t>Savings &amp; Retirement</s:t>
        </s:is>
      </s:c>
      <s:c r="B16" s="9" t="inlineStr">
        <s:is>
          <s:t>Is the certificate worth it, and what a Roth at 25 does.</s:t>
        </s:is>
      </s:c>
    </s:row>
    <s:row r="17" ht="28" customHeight="1">
      <s:c r="A17" s="8" t="inlineStr">
        <s:is>
          <s:t>Car Loan</s:t>
        </s:is>
      </s:c>
      <s:c r="B17" s="9" t="inlineStr">
        <s:is>
          <s:t>Payoff schedule. Put the real APR on Inputs.</s:t>
        </s:is>
      </s:c>
    </s:row>
    <s:row r="18" ht="19" customHeight="1">
      <s:c r="A18" s="4" t="inlineStr">
        <s:is>
          <s:t xml:space="preserve">  COLOUR CODE</s:t>
        </s:is>
      </s:c>
      <s:c r="B18" s="5" t="n"/>
    </s:row>
    <s:row r="19" ht="28" customHeight="1">
      <s:c r="A19" s="8" t="inlineStr">
        <s:is>
          <s:t>Blue</s:t>
        </s:is>
      </s:c>
      <s:c r="B19" s="9" t="inlineStr">
        <s:is>
          <s:t>You type here.</s:t>
        </s:is>
      </s:c>
    </s:row>
    <s:row r="20" ht="28" customHeight="1">
      <s:c r="A20" s="10" t="inlineStr">
        <s:is>
          <s:t>Yellow</s:t>
        </s:is>
      </s:c>
      <s:c r="B20" s="11" t="inlineStr">
        <s:is>
          <s:t>I guessed - please confirm.</s:t>
        </s:is>
      </s:c>
    </s:row>
    <s:row r="21" ht="28" customHeight="1">
      <s:c r="A21" s="8" t="inlineStr">
        <s:is>
          <s:t>Green text</s:t>
        </s:is>
      </s:c>
      <s:c r="B21" s="9" t="inlineStr">
        <s:is>
          <s:t>Pulled from another sheet.</s:t>
        </s:is>
      </s:c>
    </s:row>
    <s:row r="22" ht="28" customHeight="1">
      <s:c r="A22" s="8" t="inlineStr">
        <s:is>
          <s:t>Black</s:t>
        </s:is>
      </s:c>
      <s:c r="B22" s="9" t="inlineStr">
        <s:is>
          <s:t>A formula. Don't type over it.</s:t>
        </s:is>
      </s:c>
    </s:row>
    <s:row r="23" ht="19" customHeight="1">
      <s:c r="A23" s="4" t="inlineStr">
        <s:is>
          <s:t xml:space="preserve">  WHAT I HAD TO GUESS</s:t>
        </s:is>
      </s:c>
      <s:c r="B23" s="5" t="n"/>
    </s:row>
    <s:row r="24" ht="39" customHeight="1">
      <s:c r="A24" s="8" t="inlineStr">
        <s:is>
          <s:t>Confirm these</s:t>
        </s:is>
      </s:c>
      <s:c r="B24" s="9" t="inlineStr">
        <s:is>
          <s:t>Gross draw $1,500 (you said 'I think'), car insurance $165, phone $60, food $400, fun $250, car maintenance $90, savings APY 4.00%, credit limit $5,000, auto APR 7.49%, commission withholding 22%.</s:t>
        </s:is>
      </s:c>
    </s:row>
    <s:row r="25" ht="28" customHeight="1">
      <s:c r="A25" s="10" t="inlineStr">
        <s:is>
          <s:t>The health insurance cliff</s:t>
        </s:is>
      </s:c>
      <s:c r="B25" s="11" t="inlineStr">
        <s:is>
          <s:t>Set to $0 because I assumed you're on a parent's plan. You age off at 26 - about a year away - and that's $350-500/mo landing in an already tight budget. Plan for it now.</s:t>
        </s:is>
      </s:c>
    </s:row>
    <s:row r="26" ht="28" customHeight="1">
      <s:c r="A26" s="6" t="inlineStr">
        <s:is>
          <s:t>Not advice</s:t>
        </s:is>
      </s:c>
      <s:c r="B26" s="7" t="inlineStr">
        <s:is>
          <s:t>A planning model built from your numbers. Not tax, legal or investment advice. Confirm loan-program guidelines before acting on the housing section.</s:t>
        </s:is>
      </s:c>
    </s:row>
  </s:sheetData>
  <s:mergeCells count="6">
    <s:mergeCell ref="A4:B4"/>
    <s:mergeCell ref="A2:B2"/>
    <s:mergeCell ref="A7:B7"/>
    <s:mergeCell ref="A1:B1"/>
    <s:mergeCell ref="A23:B23"/>
    <s:mergeCell ref="A18:B18"/>
  </s:mergeCells>
  <s:pageMargins left="0.75" right="0.75" top="1" bottom="1" header="0.5" footer="0.5"/>
</s:worksheet>
</file>

<file path=xl/worksheets/sheet2.xml><?xml version="1.0" encoding="utf-8"?>
<s:worksheet xmlns:s="http://schemas.openxmlformats.org/spreadsheetml/2006/main">
  <s:sheetPr>
    <s:tabColor rgb="00FFF2CC"/>
    <s:outlinePr summaryBelow="1" summaryRight="1"/>
    <s:pageSetUpPr/>
  </s:sheetPr>
  <s:dimension ref="A1:G18"/>
  <s:sheetViews>
    <s:sheetView showGridLines="0" workbookViewId="0">
      <s:pane ySplit="5" topLeftCell="A6" activePane="bottomLeft" state="frozen"/>
      <s:selection pane="bottomLeft" activeCell="A1" sqref="A1"/>
    </s:sheetView>
  </s:sheetViews>
  <s:sheetFormatPr baseColWidth="8" defaultRowHeight="15"/>
  <s:cols>
    <s:col width="4" customWidth="1" min="1" max="1"/>
    <s:col width="30" customWidth="1" min="2" max="2"/>
    <s:col width="16" customWidth="1" min="3" max="3"/>
    <s:col width="16" customWidth="1" min="4" max="4"/>
    <s:col width="13" customWidth="1" min="5" max="5"/>
    <s:col width="22" customWidth="1" min="6" max="6"/>
    <s:col width="52" customWidth="1" min="7" max="7"/>
  </s:cols>
  <s:sheetData>
    <s:row r="1" ht="26" customHeight="1">
      <s:c r="A1" s="1" t="inlineStr">
        <s:is>
          <s:t>YOUR ROADMAP  —  five phases, in order</s:t>
        </s:is>
      </s:c>
      <s:c r="B1" s="2" t="n"/>
      <s:c r="C1" s="2" t="n"/>
      <s:c r="D1" s="2" t="n"/>
      <s:c r="E1" s="2" t="n"/>
      <s:c r="F1" s="2" t="n"/>
      <s:c r="G1" s="2" t="n"/>
    </s:row>
    <s:row r="2" ht="16" customHeight="1">
      <s:c r="A2" s="3" t="inlineStr">
        <s:is>
          <s:t>Everything here updates as you log deals. Phase 2 is the wall: until the advance is gone, closing more loans does not raise your pay by one dollar.</s:t>
        </s:is>
      </s:c>
      <s:c r="B2" s="2" t="n"/>
      <s:c r="C2" s="2" t="n"/>
      <s:c r="D2" s="2" t="n"/>
      <s:c r="E2" s="2" t="n"/>
      <s:c r="F2" s="2" t="n"/>
      <s:c r="G2" s="2" t="n"/>
    </s:row>
    <s:row r="4">
      <s:c r="A4" s="12" t="inlineStr">
        <s:is>
          <s:t>WHERE YOU ARE TODAY:</s:t>
        </s:is>
      </s:c>
      <s:c r="C4" s="13" t="str">
        <s:f>IF(Inputs!$C$17&gt;0,"PHASE 2 - digging out from under the advance","PHASE 3+ - the advance is clear")</s:f>
        <s:v>PHASE 2 - digging out from under the advance</s:v>
      </s:c>
      <s:c r="D4" s="14" t="n"/>
      <s:c r="E4" s="14" t="n"/>
      <s:c r="F4" s="14" t="n"/>
      <s:c r="G4" s="15" t="n"/>
    </s:row>
    <s:row r="5" ht="30" customHeight="1">
      <s:c r="A5" s="16" t="inlineStr"/>
      <s:c r="B5" s="16" t="inlineStr">
        <s:is>
          <s:t>Phase</s:t>
        </s:is>
      </s:c>
      <s:c r="C5" s="16" t="inlineStr">
        <s:is>
          <s:t>Target</s:t>
        </s:is>
      </s:c>
      <s:c r="D5" s="16" t="inlineStr">
        <s:is>
          <s:t>Where you are</s:t>
        </s:is>
      </s:c>
      <s:c r="E5" s="16" t="inlineStr">
        <s:is>
          <s:t>% done</s:t>
        </s:is>
      </s:c>
      <s:c r="F5" s="16" t="inlineStr">
        <s:is>
          <s:t>Progress</s:t>
        </s:is>
      </s:c>
      <s:c r="G5" s="16" t="inlineStr">
        <s:is>
          <s:t>What it takes / why</s:t>
        </s:is>
      </s:c>
    </s:row>
    <s:row r="6" ht="44" customHeight="1">
      <s:c r="B6" s="8" t="inlineStr">
        <s:is>
          <s:t>1. Stop the advance growing</s:t>
        </s:is>
      </s:c>
      <s:c r="C6" s="17">
        <s:f>Inputs!$C$24</s:f>
        <s:v>1.3333333333333333</s:v>
      </s:c>
      <s:c r="D6" s="17">
        <s:f>Inputs!$C$20</s:f>
        <s:v>2.0</s:v>
      </s:c>
      <s:c r="E6" s="18">
        <s:f>IFERROR(MIN(1,Inputs!$C$20/Inputs!$C$24),0)</s:f>
        <s:v>1.0</s:v>
      </s:c>
      <s:c r="F6" s="19" t="str">
        <s:f>REPT("|",ROUND(E6*20,0))&amp;REPT(".",20-ROUND(E6*20,0))</s:f>
        <s:v>||||||||||||||||||||</s:v>
      </s:c>
      <s:c r="G6" s="20" t="inlineStr">
        <s:is>
          <s:t>At 1 loan/month the advance still GROWS by $750. You need 1.33 loans a month at $300k just to hold even. This is the first real milestone and it is lower than it feels.</s:t>
        </s:is>
      </s:c>
    </s:row>
    <s:row r="7" ht="44" customHeight="1">
      <s:c r="B7" s="21" t="inlineStr">
        <s:is>
          <s:t>2. Clear the advance</s:t>
        </s:is>
      </s:c>
      <s:c r="C7" s="22">
        <s:f>Inputs!$C$15</s:f>
        <s:v>16500.0</s:v>
      </s:c>
      <s:c r="D7" s="22">
        <s:f>Inputs!$C$16</s:f>
        <s:v>0.0</s:v>
      </s:c>
      <s:c r="E7" s="18">
        <s:f>IFERROR(MIN(1,Inputs!$C$16/Inputs!$C$15),0)</s:f>
        <s:v>0.0</s:v>
      </s:c>
      <s:c r="F7" s="23" t="str">
        <s:f>REPT("|",ROUND(E7*20,0))&amp;REPT(".",20-ROUND(E7*20,0))</s:f>
        <s:v>....................</s:v>
      </s:c>
      <s:c r="G7" s="24" t="inlineStr">
        <s:is>
          <s:t>100% of commission goes here. Until it hits zero your take-home is the net draw and nothing more. The Draw Payback tab dates this precisely.</s:t>
        </s:is>
      </s:c>
    </s:row>
    <s:row r="8" ht="44" customHeight="1">
      <s:c r="B8" s="8" t="inlineStr">
        <s:is>
          <s:t>3. Cushion + emergency fund</s:t>
        </s:is>
      </s:c>
      <s:c r="C8" s="25">
        <s:f>Inputs!$C$45+Inputs!$C$60*Budget!B17</s:f>
        <s:v>19036.756842105264</s:v>
      </s:c>
      <s:c r="D8" s="25">
        <s:f>Inputs!$C$44+Inputs!$C$46</s:f>
        <s:v>8794.3</s:v>
      </s:c>
      <s:c r="E8" s="18">
        <s:f>IFERROR(MIN(1,(Inputs!$C$44+Inputs!$C$46)/(Inputs!$C$45+Inputs!$C$60*Budget!B17)),0)</s:f>
        <s:v>0.4619641923748732</s:v>
      </s:c>
      <s:c r="F8" s="19" t="str">
        <s:f>REPT("|",ROUND(E8*20,0))&amp;REPT(".",20-ROUND(E8*20,0))</s:f>
        <s:v>|||||||||...........</s:v>
      </s:c>
      <s:c r="G8" s="20" t="inlineStr">
        <s:is>
          <s:t>$2,000 in checking plus 6 months of costs in savings. You are further along here than you think - the HYSA already does most of the work.</s:t>
        </s:is>
      </s:c>
    </s:row>
    <s:row r="9" ht="44" customHeight="1">
      <s:c r="B9" s="21" t="inlineStr">
        <s:is>
          <s:t>4. Roth IRA + ring</s:t>
        </s:is>
      </s:c>
      <s:c r="C9" s="22">
        <s:f>7000+Inputs!$C$61</s:f>
        <s:v>19000.0</s:v>
      </s:c>
      <s:c r="D9" s="22">
        <s:f>Inputs!$C$53+Inputs!$C$52</s:f>
        <s:v>0.0</s:v>
      </s:c>
      <s:c r="E9" s="18">
        <s:f>IFERROR(MIN(1,(Inputs!$C$53+Inputs!$C$52)/(7000+Inputs!$C$61)),0)</s:f>
        <s:v>0.0</s:v>
      </s:c>
      <s:c r="F9" s="23" t="str">
        <s:f>REPT("|",ROUND(E9*20,0))&amp;REPT(".",20-ROUND(E9*20,0))</s:f>
        <s:v>....................</s:v>
      </s:c>
      <s:c r="G9" s="24" t="inlineStr">
        <s:is>
          <s:t>Neither account exists yet. Roth first - you are 25 and every year of delay is the most expensive one you will ever skip.</s:t>
        </s:is>
      </s:c>
    </s:row>
    <s:row r="10" ht="44" customHeight="1">
      <s:c r="B10" s="8" t="inlineStr">
        <s:is>
          <s:t>5. House</s:t>
        </s:is>
      </s:c>
      <s:c r="C10" s="25">
        <s:f>Inputs!$C$63*Inputs!$C$64+Inputs!$C$63*0.03</s:f>
        <s:v>32000.0</s:v>
      </s:c>
      <s:c r="D10" s="25">
        <s:f>0</s:f>
        <s:v>0.0</s:v>
      </s:c>
      <s:c r="E10" s="18">
        <s:f>0</s:f>
        <s:v>0.0</s:v>
      </s:c>
      <s:c r="F10" s="19" t="str">
        <s:f>REPT("|",ROUND(E10*20,0))&amp;REPT(".",20-ROUND(E10*20,0))</s:f>
        <s:v>....................</s:v>
      </s:c>
      <s:c r="G10" s="20" t="inlineStr">
        <s:is>
          <s:t>Down payment plus ~3% closing. But the real gate is income history, not cash - see 'Credit &amp; Home'.</s:t>
        </s:is>
      </s:c>
    </s:row>
    <s:row r="12" ht="19" customHeight="1">
      <s:c r="A12" s="4" t="inlineStr">
        <s:is>
          <s:t xml:space="preserve">  THE TIMELINE (recalculates every time you log a deal)</s:t>
        </s:is>
      </s:c>
      <s:c r="B12" s="5" t="n"/>
      <s:c r="C12" s="5" t="n"/>
      <s:c r="D12" s="5" t="n"/>
      <s:c r="E12" s="5" t="n"/>
      <s:c r="F12" s="5" t="n"/>
      <s:c r="G12" s="5" t="n"/>
    </s:row>
    <s:row r="13">
      <s:c r="B13" s="8" t="inlineStr">
        <s:is>
          <s:t>Advance clears</s:t>
        </s:is>
      </s:c>
      <s:c r="C13" s="13" t="str">
        <s:f>'Draw Payback'!D4</s:f>
        <s:v>11 months</s:v>
      </s:c>
      <s:c r="D13" s="15" t="n"/>
      <s:c r="G13" s="20" t="inlineStr">
        <s:is>
          <s:t>Then, and only then, commission starts reaching your bank.</s:t>
        </s:is>
      </s:c>
    </s:row>
    <s:row r="14">
      <s:c r="B14" s="21" t="inlineStr">
        <s:is>
          <s:t>First commission above the draw</s:t>
        </s:is>
      </s:c>
      <s:c r="C14" s="13">
        <s:f>'Draw Payback'!H4</s:f>
        <s:v>46599.0</s:v>
      </s:c>
      <s:c r="D14" s="15" t="n"/>
      <s:c r="G14" s="24" t="inlineStr">
        <s:is>
          <s:t>Your first genuinely bigger paycheck.</s:t>
        </s:is>
      </s:c>
    </s:row>
    <s:row r="15">
      <s:c r="B15" s="8" t="inlineStr">
        <s:is>
          <s:t>Loans/month you need to stop digging</s:t>
        </s:is>
      </s:c>
      <s:c r="C15" s="26">
        <s:f>Inputs!$C$24</s:f>
        <s:v>1.3333333333333333</s:v>
      </s:c>
      <s:c r="D15" s="15" t="n"/>
      <s:c r="G15" s="20" t="inlineStr">
        <s:is>
          <s:t>The nearest-term target. Everything else waits on it.</s:t>
        </s:is>
      </s:c>
    </s:row>
    <s:row r="16">
      <s:c r="B16" s="21" t="inlineStr">
        <s:is>
          <s:t>Loans/month you are planning</s:t>
        </s:is>
      </s:c>
      <s:c r="C16" s="26">
        <s:f>Inputs!$C$20</s:f>
        <s:v>2.0</s:v>
      </s:c>
      <s:c r="D16" s="15" t="n"/>
      <s:c r="G16" s="24" t="inlineStr">
        <s:is>
          <s:t>Change this on Inputs and every date here moves.</s:t>
        </s:is>
      </s:c>
    </s:row>
    <s:row r="17">
      <s:c r="B17" s="8" t="inlineStr">
        <s:is>
          <s:t>Proposal target</s:t>
        </s:is>
      </s:c>
      <s:c r="C17" s="27">
        <s:f>Inputs!$C$62</s:f>
        <s:v>46997.0</s:v>
      </s:c>
      <s:c r="D17" s="15" t="n"/>
      <s:c r="G17" s="20" t="inlineStr">
        <s:is>
          <s:t>Roughly 2 years out.</s:t>
        </s:is>
      </s:c>
    </s:row>
    <s:row r="18">
      <s:c r="B18" s="21" t="inlineStr">
        <s:is>
          <s:t>Home purchase target</s:t>
        </s:is>
      </s:c>
      <s:c r="C18" s="27">
        <s:f>Inputs!$C$65</s:f>
        <s:v>47178.0</s:v>
      </s:c>
      <s:c r="D18" s="15" t="n"/>
      <s:c r="G18" s="24" t="inlineStr">
        <s:is>
          <s:t>Gated by a 2-year commission income history, not by savings.</s:t>
        </s:is>
      </s:c>
    </s:row>
  </s:sheetData>
  <s:mergeCells count="10">
    <s:mergeCell ref="C4:G4"/>
    <s:mergeCell ref="A1:G1"/>
    <s:mergeCell ref="C16:D16"/>
    <s:mergeCell ref="C15:D15"/>
    <s:mergeCell ref="A12:G12"/>
    <s:mergeCell ref="C14:D14"/>
    <s:mergeCell ref="A2:G2"/>
    <s:mergeCell ref="C13:D13"/>
    <s:mergeCell ref="C18:D18"/>
    <s:mergeCell ref="C17:D17"/>
  </s:mergeCells>
  <s:pageMargins left="0.75" right="0.75" top="1" bottom="1" header="0.5" footer="0.5"/>
</s:worksheet>
</file>

<file path=xl/worksheets/sheet3.xml><?xml version="1.0" encoding="utf-8"?>
<s:worksheet xmlns:r="http://schemas.openxmlformats.org/officeDocument/2006/relationships" xmlns:s="http://schemas.openxmlformats.org/spreadsheetml/2006/main">
  <s:sheetPr>
    <s:tabColor rgb="000F2B46"/>
    <s:outlinePr summaryBelow="1" summaryRight="1"/>
    <s:pageSetUpPr/>
  </s:sheetPr>
  <s:dimension ref="A1:I16"/>
  <s:sheetViews>
    <s:sheetView showGridLines="0" workbookViewId="0">
      <s:selection activeCell="A1" sqref="A1"/>
    </s:sheetView>
  </s:sheetViews>
  <s:sheetFormatPr baseColWidth="8" defaultRowHeight="15"/>
  <s:cols>
    <s:col width="3" customWidth="1" min="1" max="1"/>
    <s:col width="30" customWidth="1" min="2" max="2"/>
    <s:col width="17" customWidth="1" min="3" max="3"/>
    <s:col width="3" customWidth="1" min="4" max="4"/>
    <s:col width="30" customWidth="1" min="5" max="5"/>
    <s:col width="17" customWidth="1" min="6" max="6"/>
    <s:col width="3" customWidth="1" min="7" max="7"/>
    <s:col width="30" customWidth="1" min="8" max="8"/>
    <s:col width="17" customWidth="1" min="9" max="9"/>
  </s:cols>
  <s:sheetData>
    <s:row r="1" ht="26" customHeight="1">
      <s:c r="A1" s="1" t="inlineStr">
        <s:is>
          <s:t>DASHBOARD  —  Derek Smith  |  Baxter Mortgage  |  NMLS 2810853</s:t>
        </s:is>
      </s:c>
      <s:c r="B1" s="2" t="n"/>
      <s:c r="C1" s="2" t="n"/>
      <s:c r="D1" s="2" t="n"/>
      <s:c r="E1" s="2" t="n"/>
      <s:c r="F1" s="2" t="n"/>
      <s:c r="G1" s="2" t="n"/>
      <s:c r="H1" s="2" t="n"/>
      <s:c r="I1" s="2" t="n"/>
    </s:row>
    <s:row r="2" ht="16" customHeight="1">
      <s:c r="A2" s="3" t="str">
        <s:f>"Model date "&amp;TEXT(Inputs!$C$59,"mmm d, yyyy")&amp;"   |   Draw is RECOVERABLE, commission 100% recaptured   |   W-2, taxes withheld   |   Planning "&amp;TEXT(Inputs!$C$20,"0.0")&amp;" loans/month"</s:f>
        <s:v>Model date Sep 1, 2026   |   Draw is RECOVERABLE, commission 100% recaptured   |   W-2, taxes withheld   |   Planning 2.0 loans/month</s:v>
      </s:c>
      <s:c r="B2" s="2" t="n"/>
      <s:c r="C2" s="2" t="n"/>
      <s:c r="D2" s="2" t="n"/>
      <s:c r="E2" s="2" t="n"/>
      <s:c r="F2" s="2" t="n"/>
      <s:c r="G2" s="2" t="n"/>
      <s:c r="H2" s="2" t="n"/>
      <s:c r="I2" s="2" t="n"/>
    </s:row>
    <s:row r="4">
      <s:c r="B4" s="12" t="inlineStr">
        <s:is>
          <s:t>THE NUMBERS THAT MATTER</s:t>
        </s:is>
      </s:c>
    </s:row>
    <s:row r="5">
      <s:c r="B5" s="28" t="inlineStr">
        <s:is>
          <s:t>You owe on the draw</s:t>
        </s:is>
      </s:c>
      <s:c r="C5" s="29">
        <s:f>Inputs!$C$17</s:f>
        <s:v>16500.0</s:v>
      </s:c>
      <s:c r="E5" s="28" t="inlineStr">
        <s:is>
          <s:t>Loans/mo to stop digging</s:t>
        </s:is>
      </s:c>
      <s:c r="F5" s="30">
        <s:f>Inputs!$C$24</s:f>
        <s:v>1.3333333333333333</s:v>
      </s:c>
      <s:c r="H5" s="28" t="inlineStr">
        <s:is>
          <s:t>Total saved today</s:t>
        </s:is>
      </s:c>
      <s:c r="I5" s="31">
        <s:f>Inputs!$C$44+Inputs!$C$46+Inputs!$C$48</s:f>
        <s:v>15317.009999999998</s:v>
      </s:c>
    </s:row>
    <s:row r="6">
      <s:c r="B6" s="28" t="inlineStr">
        <s:is>
          <s:t>Commission credited so far</s:t>
        </s:is>
      </s:c>
      <s:c r="C6" s="31">
        <s:f>'Deal Log'!F4</s:f>
        <s:v>0.0</s:v>
      </s:c>
      <s:c r="E6" s="28" t="inlineStr">
        <s:is>
          <s:t>Loans/mo you're planning</s:t>
        </s:is>
      </s:c>
      <s:c r="F6" s="26">
        <s:f>Inputs!$C$20</s:f>
        <s:v>2.0</s:v>
      </s:c>
      <s:c r="H6" s="28" t="inlineStr">
        <s:is>
          <s:t>Emergency fund target</s:t>
        </s:is>
      </s:c>
      <s:c r="I6" s="32">
        <s:f>Inputs!$C$60*Budget!B17</s:f>
        <s:v>17036.756842105264</s:v>
      </s:c>
    </s:row>
    <s:row r="7">
      <s:c r="B7" s="28" t="inlineStr">
        <s:is>
          <s:t>Advance clears in</s:t>
        </s:is>
      </s:c>
      <s:c r="C7" s="13" t="str">
        <s:f>'Draw Payback'!D4</s:f>
        <s:v>11 months</s:v>
      </s:c>
      <s:c r="E7" s="28" t="inlineStr">
        <s:is>
          <s:t>Advance moves per month</s:t>
        </s:is>
      </s:c>
      <s:c r="F7" s="32">
        <s:f>Inputs!$C$22</s:f>
        <s:v>1500.0</s:v>
      </s:c>
      <s:c r="H7" s="28" t="inlineStr">
        <s:is>
          <s:t>Auto loan balance</s:t>
        </s:is>
      </s:c>
      <s:c r="I7" s="29">
        <s:f>Inputs!$C$56</s:f>
        <s:v>25092.02</s:v>
      </s:c>
    </s:row>
    <s:row r="8">
      <s:c r="B8" s="28" t="inlineStr">
        <s:is>
          <s:t>Your take-home / month</s:t>
        </s:is>
      </s:c>
      <s:c r="C8" s="32">
        <s:f>Inputs!$C$10</s:f>
        <s:v>2463.16</s:v>
      </s:c>
      <s:c r="E8" s="28" t="inlineStr">
        <s:is>
          <s:t>Monthly costs</s:t>
        </s:is>
      </s:c>
      <s:c r="F8" s="32">
        <s:f>Budget!B17</s:f>
        <s:v>2839.4594736842105</s:v>
      </s:c>
      <s:c r="H8" s="28" t="inlineStr">
        <s:is>
          <s:t>Roth at 65 if you start now</s:t>
        </s:is>
      </s:c>
      <s:c r="I8" s="33">
        <s:f>'Savings &amp; Retirement'!C14</s:f>
        <s:v>1813395.6309699914</s:v>
      </s:c>
    </s:row>
    <s:row r="9">
      <s:c r="B9" s="28" t="inlineStr">
        <s:is>
          <s:t>Cash in checking</s:t>
        </s:is>
      </s:c>
      <s:c r="C9" s="29">
        <s:f>Inputs!$C$44</s:f>
        <s:v>395.4</s:v>
      </s:c>
      <s:c r="E9" s="28" t="inlineStr">
        <s:is>
          <s:t>Left over each month</s:t>
        </s:is>
      </s:c>
      <s:c r="F9" s="29">
        <s:f>Budget!B20</s:f>
        <s:v>-376.2994736842106</s:v>
      </s:c>
      <s:c r="H9" s="28" t="inlineStr">
        <s:is>
          <s:t>Months of runway</s:t>
        </s:is>
      </s:c>
      <s:c r="I9" s="26">
        <s:f>IFERROR((Inputs!$C$44+Inputs!$C$46)/Budget!B17,0)</s:f>
        <s:v>3.0971739802961014</s:v>
      </s:c>
    </s:row>
    <s:row r="11">
      <s:c r="B11" s="12" t="inlineStr">
        <s:is>
          <s:t>DO THESE FIVE THINGS</s:t>
        </s:is>
      </s:c>
    </s:row>
    <s:row r="12">
      <s:c r="B12" s="34" t="inlineStr">
        <s:is>
          <s:t>1.  Confirm the gross draw is $1,500 off a pay stub. Every number here scales off it.</s:t>
        </s:is>
      </s:c>
    </s:row>
    <s:row r="13">
      <s:c r="B13" s="34" t="inlineStr">
        <s:is>
          <s:t>2.  Get checking to $2,000. You have $395.40 and $865.84 is due by 10/14.</s:t>
        </s:is>
      </s:c>
    </s:row>
    <s:row r="14">
      <s:c r="B14" s="34" t="inlineStr">
        <s:is>
          <s:t>3.  Close 1.33 loans a month minimum - below that the advance grows even while you're producing.</s:t>
        </s:is>
      </s:c>
    </s:row>
    <s:row r="15">
      <s:c r="B15" s="34" t="inlineStr">
        <s:is>
          <s:t>4.  Open the Roth IRA and the ring savings account. Both are $0 because neither exists.</s:t>
        </s:is>
      </s:c>
    </s:row>
    <s:row r="16">
      <s:c r="B16" s="34" t="inlineStr">
        <s:is>
          <s:t>5.  Check your savings rate against the certificate's 3.687%. If savings wins, stop the auto-roll.</s:t>
        </s:is>
      </s:c>
    </s:row>
  </s:sheetData>
  <s:mergeCells count="9">
    <s:mergeCell ref="B12:I12"/>
    <s:mergeCell ref="B13:I13"/>
    <s:mergeCell ref="A2:I2"/>
    <s:mergeCell ref="B15:I15"/>
    <s:mergeCell ref="B11:I11"/>
    <s:mergeCell ref="B16:I16"/>
    <s:mergeCell ref="A1:I1"/>
    <s:mergeCell ref="B14:I14"/>
    <s:mergeCell ref="B4:I4"/>
  </s:mergeCells>
  <s:pageMargins left="0.75" right="0.75" top="1" bottom="1" header="0.5" footer="0.5"/>
  <s:drawing r:id="rId1"/>
</s:worksheet>
</file>

<file path=xl/worksheets/sheet4.xml><?xml version="1.0" encoding="utf-8"?>
<s:worksheet xmlns:s="http://schemas.openxmlformats.org/spreadsheetml/2006/main">
  <s:sheetPr>
    <s:tabColor rgb="000F2B46"/>
    <s:outlinePr summaryBelow="1" summaryRight="1"/>
    <s:pageSetUpPr/>
  </s:sheetPr>
  <s:dimension ref="A1:E65"/>
  <s:sheetViews>
    <s:sheetView showGridLines="0" workbookViewId="0">
      <s:pane ySplit="3" topLeftCell="A4" activePane="bottomLeft" state="frozen"/>
      <s:selection pane="bottomLeft" activeCell="A1" sqref="A1"/>
    </s:sheetView>
  </s:sheetViews>
  <s:sheetFormatPr baseColWidth="8" defaultRowHeight="15"/>
  <s:cols>
    <s:col width="3" customWidth="1" min="1" max="1"/>
    <s:col width="38" customWidth="1" min="2" max="2"/>
    <s:col width="15" customWidth="1" min="3" max="3"/>
    <s:col width="11" customWidth="1" min="4" max="4"/>
    <s:col width="66" customWidth="1" min="5" max="5"/>
  </s:cols>
  <s:sheetData>
    <s:row r="1" ht="26" customHeight="1">
      <s:c r="A1" s="1" t="inlineStr">
        <s:is>
          <s:t>CONTROL PANEL</s:t>
        </s:is>
      </s:c>
      <s:c r="B1" s="2" t="n"/>
      <s:c r="C1" s="2" t="n"/>
      <s:c r="D1" s="2" t="n"/>
      <s:c r="E1" s="2" t="n"/>
    </s:row>
    <s:row r="2" ht="16" customHeight="1">
      <s:c r="A2" s="3" t="inlineStr">
        <s:is>
          <s:t>Change BLUE cells. YELLOW means I had to guess - please confirm. Everything else calculates itself.</s:t>
        </s:is>
      </s:c>
      <s:c r="B2" s="2" t="n"/>
      <s:c r="C2" s="2" t="n"/>
      <s:c r="D2" s="2" t="n"/>
      <s:c r="E2" s="2" t="n"/>
    </s:row>
    <s:row r="4" ht="19" customHeight="1">
      <s:c r="A4" s="4" t="inlineStr">
        <s:is>
          <s:t xml:space="preserve">  1.  YOUR DRAW  —  gross is what hits the balance, net is what hits your bank</s:t>
        </s:is>
      </s:c>
      <s:c r="B4" s="5" t="n"/>
      <s:c r="C4" s="5" t="n"/>
      <s:c r="D4" s="5" t="n"/>
      <s:c r="E4" s="5" t="n"/>
    </s:row>
    <s:row r="5" ht="28" customHeight="1">
      <s:c r="B5" s="35" t="inlineStr">
        <s:is>
          <s:t>Draw per paycheck - GROSS</s:t>
        </s:is>
      </s:c>
      <s:c r="C5" s="36" t="n">
        <s:v>1500</s:v>
      </s:c>
      <s:c r="D5" s="37" t="inlineStr">
        <s:is>
          <s:t>$</s:t>
        </s:is>
      </s:c>
      <s:c r="E5" s="38" t="inlineStr">
        <s:is>
          <s:t>You said 'I think it's 1500'. CONFIRM off a pay stub - this is the number the advance grows by, so it drives everything.</s:t>
        </s:is>
      </s:c>
    </s:row>
    <s:row r="6">
      <s:c r="B6" s="35" t="inlineStr">
        <s:is>
          <s:t>Draw per paycheck - NET to you</s:t>
        </s:is>
      </s:c>
      <s:c r="C6" s="39" t="n">
        <s:v>1231.58</s:v>
      </s:c>
      <s:c r="D6" s="37" t="inlineStr">
        <s:is>
          <s:t>$</s:t>
        </s:is>
      </s:c>
      <s:c r="E6" s="38" t="inlineStr">
        <s:is>
          <s:t>What actually lands in your account.</s:t>
        </s:is>
      </s:c>
    </s:row>
    <s:row r="7" ht="28" customHeight="1">
      <s:c r="B7" s="12" t="inlineStr">
        <s:is>
          <s:t xml:space="preserve">  = withholding rate</s:t>
        </s:is>
      </s:c>
      <s:c r="C7" s="18">
        <s:f>1-C6/C5</s:f>
        <s:v>0.1789466666666667</s:v>
      </s:c>
      <s:c r="D7" s="37" t="inlineStr"/>
      <s:c r="E7" s="38" t="inlineStr">
        <s:is>
          <s:t>Taxes are being withheld, so you are W-2. That is settled - no quarterly estimates to worry about.</s:t>
        </s:is>
      </s:c>
    </s:row>
    <s:row r="8" ht="28" customHeight="1">
      <s:c r="B8" s="35" t="inlineStr">
        <s:is>
          <s:t>Paychecks per year</s:t>
        </s:is>
      </s:c>
      <s:c r="C8" s="40" t="n">
        <s:v>24</s:v>
      </s:c>
      <s:c r="D8" s="37" t="inlineStr">
        <s:is>
          <s:t>/yr</s:t>
        </s:is>
      </s:c>
      <s:c r="E8" s="38" t="inlineStr">
        <s:is>
          <s:t>24, not 26. Your dates (3/31, 4/15, 4/30, 5/15, 5/29, 6/15, 6/30, 7/16, 7/30, 8/14, 8/28) are the 15th and month-end.</s:t>
        </s:is>
      </s:c>
    </s:row>
    <s:row r="9">
      <s:c r="B9" s="12" t="inlineStr">
        <s:is>
          <s:t>MONTHLY draw - gross</s:t>
        </s:is>
      </s:c>
      <s:c r="C9" s="41">
        <s:f>C5*C8/12</s:f>
        <s:v>3000.0</s:v>
      </s:c>
      <s:c r="D9" s="37" t="inlineStr">
        <s:is>
          <s:t>$/mo</s:t>
        </s:is>
      </s:c>
      <s:c r="E9" s="38" t="inlineStr">
        <s:is>
          <s:t>The advance grows by this every month.</s:t>
        </s:is>
      </s:c>
    </s:row>
    <s:row r="10">
      <s:c r="B10" s="12" t="inlineStr">
        <s:is>
          <s:t>MONTHLY draw - NET to you</s:t>
        </s:is>
      </s:c>
      <s:c r="C10" s="41">
        <s:f>C6*C8/12</s:f>
        <s:v>2463.16</s:v>
      </s:c>
      <s:c r="D10" s="37" t="inlineStr">
        <s:is>
          <s:t>$/mo</s:t>
        </s:is>
      </s:c>
      <s:c r="E10" s="38" t="inlineStr">
        <s:is>
          <s:t>This is your entire income until the advance is cleared, no matter how much you close.</s:t>
        </s:is>
      </s:c>
    </s:row>
    <s:row r="11">
      <s:c r="B11" s="35" t="inlineStr">
        <s:is>
          <s:t>Draws received so far</s:t>
        </s:is>
      </s:c>
      <s:c r="C11" s="40" t="n">
        <s:v>11</s:v>
      </s:c>
      <s:c r="D11" s="37" t="inlineStr">
        <s:is>
          <s:t>checks</s:t>
        </s:is>
      </s:c>
      <s:c r="E11" s="38" t="inlineStr"/>
    </s:row>
    <s:row r="12">
      <s:c r="B12" s="35" t="inlineStr">
        <s:is>
          <s:t>Your commission</s:t>
        </s:is>
      </s:c>
      <s:c r="C12" s="42" t="n">
        <s:v>0.0075</s:v>
      </s:c>
      <s:c r="D12" s="37" t="inlineStr">
        <s:is>
          <s:t>of loan</s:t>
        </s:is>
      </s:c>
      <s:c r="E12" s="38" t="inlineStr">
        <s:is>
          <s:t>75 bps. Unchanged whether the company charges 275, 200 or 150.</s:t>
        </s:is>
      </s:c>
    </s:row>
    <s:row r="13" ht="28" customHeight="1">
      <s:c r="B13" s="35" t="inlineStr">
        <s:is>
          <s:t>Withholding on commission payouts</s:t>
        </s:is>
      </s:c>
      <s:c r="C13" s="43" t="n">
        <s:v>0.22</s:v>
      </s:c>
      <s:c r="D13" s="37" t="inlineStr"/>
      <s:c r="E13" s="38" t="inlineStr">
        <s:is>
          <s:t>Commission is usually withheld at the 22% federal supplemental rate plus state. Only matters once the advance clears.</s:t>
        </s:is>
      </s:c>
    </s:row>
    <s:row r="14" ht="19" customHeight="1">
      <s:c r="A14" s="4" t="inlineStr">
        <s:is>
          <s:t xml:space="preserve">  2.  THE ADVANCE  —  confirmed: 100% of your commission goes to the draw</s:t>
        </s:is>
      </s:c>
      <s:c r="B14" s="5" t="n"/>
      <s:c r="C14" s="5" t="n"/>
      <s:c r="D14" s="5" t="n"/>
      <s:c r="E14" s="5" t="n"/>
    </s:row>
    <s:row r="15" ht="28" customHeight="1">
      <s:c r="B15" s="12" t="inlineStr">
        <s:is>
          <s:t>Advance from draws taken</s:t>
        </s:is>
      </s:c>
      <s:c r="C15" s="44">
        <s:f>C5*C11</s:f>
        <s:v>16500.0</s:v>
      </s:c>
      <s:c r="D15" s="37" t="inlineStr">
        <s:is>
          <s:t>$</s:t>
        </s:is>
      </s:c>
      <s:c r="E15" s="38" t="inlineStr">
        <s:is>
          <s:t>11 x $1,500 GROSS. Note this is $2,952.62 higher than a net-based figure - the company advanced the gross.</s:t>
        </s:is>
      </s:c>
    </s:row>
    <s:row r="16">
      <s:c r="B16" s="12" t="inlineStr">
        <s:is>
          <s:t>Commission credited so far</s:t>
        </s:is>
      </s:c>
      <s:c r="C16" s="41">
        <s:f>'Deal Log'!$F$4</s:f>
        <s:v>0.0</s:v>
      </s:c>
      <s:c r="D16" s="37" t="inlineStr">
        <s:is>
          <s:t>$</s:t>
        </s:is>
      </s:c>
      <s:c r="E16" s="38" t="inlineStr">
        <s:is>
          <s:t>Sums every Funded row on your Deal Log.</s:t>
        </s:is>
      </s:c>
    </s:row>
    <s:row r="17">
      <s:c r="B17" s="12" t="inlineStr">
        <s:is>
          <s:t>YOU CURRENTLY OWE</s:t>
        </s:is>
      </s:c>
      <s:c r="C17" s="44">
        <s:f>MAX(0,C15-C16)</s:f>
        <s:v>16500.0</s:v>
      </s:c>
      <s:c r="D17" s="37" t="inlineStr">
        <s:is>
          <s:t>$</s:t>
        </s:is>
      </s:c>
      <s:c r="E17" s="38" t="inlineStr">
        <s:is>
          <s:t>Log deals and watch this fall.</s:t>
        </s:is>
      </s:c>
    </s:row>
    <s:row r="18" ht="19" customHeight="1">
      <s:c r="A18" s="4" t="inlineStr">
        <s:is>
          <s:t xml:space="preserve">  3.  DEAL ASSUMPTIONS  (used to forecast months you have not logged yet)</s:t>
        </s:is>
      </s:c>
      <s:c r="B18" s="5" t="n"/>
      <s:c r="C18" s="5" t="n"/>
      <s:c r="D18" s="5" t="n"/>
      <s:c r="E18" s="5" t="n"/>
    </s:row>
    <s:row r="19">
      <s:c r="B19" s="35" t="inlineStr">
        <s:is>
          <s:t>Average loan size</s:t>
        </s:is>
      </s:c>
      <s:c r="C19" s="45" t="n">
        <s:v>300000</s:v>
      </s:c>
      <s:c r="D19" s="37" t="inlineStr">
        <s:is>
          <s:t>$</s:t>
        </s:is>
      </s:c>
      <s:c r="E19" s="38" t="inlineStr">
        <s:is>
          <s:t>Set from your real pipeline.</s:t>
        </s:is>
      </s:c>
    </s:row>
    <s:row r="20">
      <s:c r="B20" s="35" t="inlineStr">
        <s:is>
          <s:t>Loans per month you PLAN to close</s:t>
        </s:is>
      </s:c>
      <s:c r="C20" s="46" t="n">
        <s:v>2</s:v>
      </s:c>
      <s:c r="D20" s="37" t="inlineStr">
        <s:is>
          <s:t>loans</s:t>
        </s:is>
      </s:c>
      <s:c r="E20" s="38" t="inlineStr">
        <s:is>
          <s:t>Change this and the whole roadmap re-times.</s:t>
        </s:is>
      </s:c>
    </s:row>
    <s:row r="21">
      <s:c r="B21" s="12" t="inlineStr">
        <s:is>
          <s:t xml:space="preserve">  = commission per month</s:t>
        </s:is>
      </s:c>
      <s:c r="C21" s="41">
        <s:f>C20*C19*C12</s:f>
        <s:v>4500.0</s:v>
      </s:c>
      <s:c r="D21" s="37" t="inlineStr">
        <s:is>
          <s:t>$/mo</s:t>
        </s:is>
      </s:c>
      <s:c r="E21" s="38" t="inlineStr"/>
    </s:row>
    <s:row r="22">
      <s:c r="B22" s="12" t="inlineStr">
        <s:is>
          <s:t xml:space="preserve">  = pays down the advance by</s:t>
        </s:is>
      </s:c>
      <s:c r="C22" s="41">
        <s:f>C21-C9</s:f>
        <s:v>1500.0</s:v>
      </s:c>
      <s:c r="D22" s="37" t="inlineStr">
        <s:is>
          <s:t>$/mo</s:t>
        </s:is>
      </s:c>
      <s:c r="E22" s="38" t="inlineStr">
        <s:is>
          <s:t>Commission minus the new draw. If this is negative you are going backwards.</s:t>
        </s:is>
      </s:c>
    </s:row>
    <s:row r="23">
      <s:c r="B23" s="12" t="inlineStr">
        <s:is>
          <s:t>BREAK-EVEN: commission needed just to STOP the balance growing</s:t>
        </s:is>
      </s:c>
      <s:c r="C23" s="44">
        <s:f>C9</s:f>
        <s:v>3000.0</s:v>
      </s:c>
      <s:c r="D23" s="37" t="inlineStr">
        <s:is>
          <s:t>$/mo</s:t>
        </s:is>
      </s:c>
      <s:c r="E23" s="38" t="inlineStr">
        <s:is>
          <s:t>Below this the advance gets BIGGER every month even though you are closing loans.</s:t>
        </s:is>
      </s:c>
    </s:row>
    <s:row r="24" ht="28" customHeight="1">
      <s:c r="B24" s="12" t="inlineStr">
        <s:is>
          <s:t xml:space="preserve">  = loans per month to stop digging</s:t>
        </s:is>
      </s:c>
      <s:c r="C24" s="47">
        <s:f>C23/C12/C19</s:f>
        <s:v>1.3333333333333333</s:v>
      </s:c>
      <s:c r="D24" s="37" t="inlineStr">
        <s:is>
          <s:t>loans</s:t>
        </s:is>
      </s:c>
      <s:c r="E24" s="38" t="inlineStr">
        <s:is>
          <s:t>THE number that matters most right now. At 1 loan/month the advance still grows by $750 every month.</s:t>
        </s:is>
      </s:c>
    </s:row>
    <s:row r="25">
      <s:c r="B25" s="12" t="inlineStr">
        <s:is>
          <s:t>Months to clear the advance at your planned pace</s:t>
        </s:is>
      </s:c>
      <s:c r="C25" s="48">
        <s:f>IF(C22&lt;=0,"never at this pace",ROUNDUP(C17/C22,0))</s:f>
        <s:v>11.0</s:v>
      </s:c>
      <s:c r="D25" s="37" t="inlineStr">
        <s:is>
          <s:t>months</s:t>
        </s:is>
      </s:c>
      <s:c r="E25" s="38" t="inlineStr">
        <s:is>
          <s:t>Updates automatically as you log deals.</s:t>
        </s:is>
      </s:c>
    </s:row>
    <s:row r="26" ht="19" customHeight="1">
      <s:c r="A26" s="4" t="inlineStr">
        <s:is>
          <s:t xml:space="preserve">  4.  WHAT YOU SPEND</s:t>
        </s:is>
      </s:c>
      <s:c r="B26" s="5" t="n"/>
      <s:c r="C26" s="5" t="n"/>
      <s:c r="D26" s="5" t="n"/>
      <s:c r="E26" s="5" t="n"/>
    </s:row>
    <s:row r="27">
      <s:c r="B27" s="35" t="inlineStr">
        <s:is>
          <s:t>Car payment</s:t>
        </s:is>
      </s:c>
      <s:c r="C27" s="39" t="n">
        <s:v>475.69</s:v>
      </s:c>
      <s:c r="D27" s="37" t="inlineStr">
        <s:is>
          <s:t>$/mo</s:t>
        </s:is>
      </s:c>
      <s:c r="E27" s="38" t="inlineStr"/>
    </s:row>
    <s:row r="28">
      <s:c r="B28" s="35" t="inlineStr">
        <s:is>
          <s:t>Car insurance</s:t>
        </s:is>
      </s:c>
      <s:c r="C28" s="36" t="n">
        <s:v>165</s:v>
      </s:c>
      <s:c r="D28" s="37" t="inlineStr">
        <s:is>
          <s:t>$/mo</s:t>
        </s:is>
      </s:c>
      <s:c r="E28" s="38" t="inlineStr">
        <s:is>
          <s:t>NOT LISTED but your lender requires it.</s:t>
        </s:is>
      </s:c>
    </s:row>
    <s:row r="29">
      <s:c r="B29" s="35" t="inlineStr">
        <s:is>
          <s:t>Gym (x2 per month)</s:t>
        </s:is>
      </s:c>
      <s:c r="C29" s="39" t="n">
        <s:v>31.99</s:v>
      </s:c>
      <s:c r="D29" s="37" t="inlineStr">
        <s:is>
          <s:t>$/charge</s:t>
        </s:is>
      </s:c>
      <s:c r="E29" s="38" t="inlineStr"/>
    </s:row>
    <s:row r="30">
      <s:c r="B30" s="35" t="inlineStr">
        <s:is>
          <s:t>Amazon Prime</s:t>
        </s:is>
      </s:c>
      <s:c r="C30" s="39" t="n">
        <s:v>15</s:v>
      </s:c>
      <s:c r="D30" s="37" t="inlineStr">
        <s:is>
          <s:t>$/mo</s:t>
        </s:is>
      </s:c>
      <s:c r="E30" s="38" t="inlineStr">
        <s:is>
          <s:t>Annual plan is ~$11.58/mo.</s:t>
        </s:is>
      </s:c>
    </s:row>
    <s:row r="31">
      <s:c r="B31" s="35" t="inlineStr">
        <s:is>
          <s:t>Phone</s:t>
        </s:is>
      </s:c>
      <s:c r="C31" s="36" t="n">
        <s:v>60</s:v>
      </s:c>
      <s:c r="D31" s="37" t="inlineStr">
        <s:is>
          <s:t>$/mo</s:t>
        </s:is>
      </s:c>
      <s:c r="E31" s="38" t="inlineStr">
        <s:is>
          <s:t>NOT LISTED. Zero it if you're on a family plan.</s:t>
        </s:is>
      </s:c>
    </s:row>
    <s:row r="32">
      <s:c r="B32" s="35" t="inlineStr">
        <s:is>
          <s:t>Miles driven</s:t>
        </s:is>
      </s:c>
      <s:c r="C32" s="40" t="n">
        <s:v>1000</s:v>
      </s:c>
      <s:c r="D32" s="37" t="inlineStr">
        <s:is>
          <s:t>mi/mo</s:t>
        </s:is>
      </s:c>
      <s:c r="E32" s="38" t="inlineStr"/>
    </s:row>
    <s:row r="33">
      <s:c r="B33" s="35" t="inlineStr">
        <s:is>
          <s:t>Gas price</s:t>
        </s:is>
      </s:c>
      <s:c r="C33" s="39" t="n">
        <s:v>4.1</s:v>
      </s:c>
      <s:c r="D33" s="37" t="inlineStr">
        <s:is>
          <s:t>$/gal</s:t>
        </s:is>
      </s:c>
      <s:c r="E33" s="38" t="inlineStr"/>
    </s:row>
    <s:row r="34">
      <s:c r="B34" s="35" t="inlineStr">
        <s:is>
          <s:t>MPG</s:t>
        </s:is>
      </s:c>
      <s:c r="C34" s="46" t="n">
        <s:v>19</s:v>
      </s:c>
      <s:c r="D34" s="37" t="inlineStr">
        <s:is>
          <s:t>mpg</s:t>
        </s:is>
      </s:c>
      <s:c r="E34" s="38" t="inlineStr"/>
    </s:row>
    <s:row r="35">
      <s:c r="B35" s="12" t="inlineStr">
        <s:is>
          <s:t xml:space="preserve">  = Fuel</s:t>
        </s:is>
      </s:c>
      <s:c r="C35" s="41">
        <s:f>C32/C34*C33</s:f>
        <s:v>215.7894736842105</s:v>
      </s:c>
      <s:c r="D35" s="37" t="inlineStr">
        <s:is>
          <s:t>$/mo</s:t>
        </s:is>
      </s:c>
      <s:c r="E35" s="38" t="inlineStr"/>
    </s:row>
    <s:row r="36">
      <s:c r="B36" s="35" t="inlineStr">
        <s:is>
          <s:t>Aroma Joe's per visit</s:t>
        </s:is>
      </s:c>
      <s:c r="C36" s="39" t="n">
        <s:v>6</s:v>
      </s:c>
      <s:c r="D36" s="37" t="inlineStr">
        <s:is>
          <s:t>$</s:t>
        </s:is>
      </s:c>
      <s:c r="E36" s="38" t="inlineStr"/>
    </s:row>
    <s:row r="37">
      <s:c r="B37" s="35" t="inlineStr">
        <s:is>
          <s:t xml:space="preserve">  visits per week</s:t>
        </s:is>
      </s:c>
      <s:c r="C37" s="40" t="n">
        <s:v>4</s:v>
      </s:c>
      <s:c r="D37" s="37" t="inlineStr">
        <s:is>
          <s:t>/wk</s:t>
        </s:is>
      </s:c>
      <s:c r="E37" s="38" t="inlineStr">
        <s:is>
          <s:t>4/wk = $1,248/yr.</s:t>
        </s:is>
      </s:c>
    </s:row>
    <s:row r="38">
      <s:c r="B38" s="12" t="inlineStr">
        <s:is>
          <s:t xml:space="preserve">  = Coffee</s:t>
        </s:is>
      </s:c>
      <s:c r="C38" s="41">
        <s:f>C36*C37*52/12</s:f>
        <s:v>104.0</s:v>
      </s:c>
      <s:c r="D38" s="37" t="inlineStr">
        <s:is>
          <s:t>$/mo</s:t>
        </s:is>
      </s:c>
      <s:c r="E38" s="38" t="inlineStr"/>
    </s:row>
    <s:row r="39">
      <s:c r="B39" s="35" t="inlineStr">
        <s:is>
          <s:t>Food / eating out</s:t>
        </s:is>
      </s:c>
      <s:c r="C39" s="36" t="n">
        <s:v>400</s:v>
      </s:c>
      <s:c r="D39" s="37" t="inlineStr">
        <s:is>
          <s:t>$/mo</s:t>
        </s:is>
      </s:c>
      <s:c r="E39" s="38" t="inlineStr">
        <s:is>
          <s:t>NOT LISTED - you live at home so this may be lower.</s:t>
        </s:is>
      </s:c>
    </s:row>
    <s:row r="40">
      <s:c r="B40" s="35" t="inlineStr">
        <s:is>
          <s:t>Personal / fun</s:t>
        </s:is>
      </s:c>
      <s:c r="C40" s="36" t="n">
        <s:v>250</s:v>
      </s:c>
      <s:c r="D40" s="37" t="inlineStr">
        <s:is>
          <s:t>$/mo</s:t>
        </s:is>
      </s:c>
      <s:c r="E40" s="38" t="inlineStr">
        <s:is>
          <s:t>NOT LISTED.</s:t>
        </s:is>
      </s:c>
    </s:row>
    <s:row r="41">
      <s:c r="B41" s="35" t="inlineStr">
        <s:is>
          <s:t>Car maintenance set-aside</s:t>
        </s:is>
      </s:c>
      <s:c r="C41" s="36" t="n">
        <s:v>90</s:v>
      </s:c>
      <s:c r="D41" s="37" t="inlineStr">
        <s:is>
          <s:t>$/mo</s:t>
        </s:is>
      </s:c>
      <s:c r="E41" s="38" t="inlineStr">
        <s:is>
          <s:t>NOT LISTED. 12k Maine miles = tires and brakes.</s:t>
        </s:is>
      </s:c>
    </s:row>
    <s:row r="42">
      <s:c r="B42" s="35" t="inlineStr">
        <s:is>
          <s:t>Marketing</s:t>
        </s:is>
      </s:c>
      <s:c r="C42" s="36" t="n">
        <s:v>1000</s:v>
      </s:c>
      <s:c r="D42" s="37" t="inlineStr">
        <s:is>
          <s:t>$/mo</s:t>
        </s:is>
      </s:c>
      <s:c r="E42" s="38" t="inlineStr">
        <s:is>
          <s:t>Zero it if the company pays. If the company advances it and you repay it, add it to section 2.</s:t>
        </s:is>
      </s:c>
    </s:row>
    <s:row r="43" ht="19" customHeight="1">
      <s:c r="A43" s="4" t="inlineStr">
        <s:is>
          <s:t xml:space="preserve">  5.  ACCOUNTS &amp; DEBT</s:t>
        </s:is>
      </s:c>
      <s:c r="B43" s="5" t="n"/>
      <s:c r="C43" s="5" t="n"/>
      <s:c r="D43" s="5" t="n"/>
      <s:c r="E43" s="5" t="n"/>
    </s:row>
    <s:row r="44">
      <s:c r="B44" s="35" t="inlineStr">
        <s:is>
          <s:t>Checking</s:t>
        </s:is>
      </s:c>
      <s:c r="C44" s="39" t="n">
        <s:v>395.4</s:v>
      </s:c>
      <s:c r="D44" s="37" t="inlineStr">
        <s:is>
          <s:t>$</s:t>
        </s:is>
      </s:c>
      <s:c r="E44" s="38" t="inlineStr"/>
    </s:row>
    <s:row r="45">
      <s:c r="B45" s="35" t="inlineStr">
        <s:is>
          <s:t xml:space="preserve">  cushion to keep in checking</s:t>
        </s:is>
      </s:c>
      <s:c r="C45" s="39" t="n">
        <s:v>2000</s:v>
      </s:c>
      <s:c r="D45" s="37" t="inlineStr">
        <s:is>
          <s:t>$</s:t>
        </s:is>
      </s:c>
      <s:c r="E45" s="38" t="inlineStr">
        <s:is>
          <s:t>One month of bills. You are well under it.</s:t>
        </s:is>
      </s:c>
    </s:row>
    <s:row r="46">
      <s:c r="B46" s="35" t="inlineStr">
        <s:is>
          <s:t>High-yield savings</s:t>
        </s:is>
      </s:c>
      <s:c r="C46" s="39" t="n">
        <s:v>8398.9</s:v>
      </s:c>
      <s:c r="D46" s="37" t="inlineStr">
        <s:is>
          <s:t>$</s:t>
        </s:is>
      </s:c>
      <s:c r="E46" s="38" t="inlineStr"/>
    </s:row>
    <s:row r="47">
      <s:c r="B47" s="35" t="inlineStr">
        <s:is>
          <s:t xml:space="preserve">  savings rate (APY)</s:t>
        </s:is>
      </s:c>
      <s:c r="C47" s="49" t="n">
        <s:v>0.04</s:v>
      </s:c>
      <s:c r="D47" s="37" t="inlineStr"/>
      <s:c r="E47" s="38" t="inlineStr">
        <s:is>
          <s:t>CONFIRM. If above 3.687% your certificate is the worse account.</s:t>
        </s:is>
      </s:c>
    </s:row>
    <s:row r="48">
      <s:c r="B48" s="35" t="inlineStr">
        <s:is>
          <s:t>Shared certificate</s:t>
        </s:is>
      </s:c>
      <s:c r="C48" s="39" t="n">
        <s:v>6522.71</s:v>
      </s:c>
      <s:c r="D48" s="37" t="inlineStr">
        <s:is>
          <s:t>$</s:t>
        </s:is>
      </s:c>
      <s:c r="E48" s="38" t="inlineStr"/>
    </s:row>
    <s:row r="49">
      <s:c r="B49" s="35" t="inlineStr">
        <s:is>
          <s:t xml:space="preserve">  certificate rate</s:t>
        </s:is>
      </s:c>
      <s:c r="C49" s="42" t="n">
        <s:v>0.03687</s:v>
      </s:c>
      <s:c r="D49" s="37" t="inlineStr"/>
      <s:c r="E49" s="38" t="inlineStr"/>
    </s:row>
    <s:row r="50">
      <s:c r="B50" s="35" t="inlineStr">
        <s:is>
          <s:t xml:space="preserve">  next roll date</s:t>
        </s:is>
      </s:c>
      <s:c r="C50" s="50" t="n">
        <s:v>46323</s:v>
      </s:c>
      <s:c r="D50" s="37" t="inlineStr"/>
      <s:c r="E50" s="38" t="inlineStr"/>
    </s:row>
    <s:row r="51" ht="28" customHeight="1">
      <s:c r="B51" s="35" t="inlineStr">
        <s:is>
          <s:t xml:space="preserve">  auto-transfer each roll</s:t>
        </s:is>
      </s:c>
      <s:c r="C51" s="39" t="n">
        <s:v>1250</s:v>
      </s:c>
      <s:c r="D51" s="37" t="inlineStr">
        <s:is>
          <s:t>$/3mo</s:t>
        </s:is>
      </s:c>
      <s:c r="E51" s="38" t="inlineStr">
        <s:is>
          <s:t>About $416.67/mo leaving your savings automatically. Real money out of the account you'd otherwise reach for.</s:t>
        </s:is>
      </s:c>
    </s:row>
    <s:row r="52">
      <s:c r="B52" s="35" t="inlineStr">
        <s:is>
          <s:t>Ring / travel savings</s:t>
        </s:is>
      </s:c>
      <s:c r="C52" s="39" t="n">
        <s:v>0</s:v>
      </s:c>
      <s:c r="D52" s="37" t="inlineStr">
        <s:is>
          <s:t>$</s:t>
        </s:is>
      </s:c>
      <s:c r="E52" s="38" t="inlineStr">
        <s:is>
          <s:t>Account doesn't exist yet.</s:t>
        </s:is>
      </s:c>
    </s:row>
    <s:row r="53">
      <s:c r="B53" s="35" t="inlineStr">
        <s:is>
          <s:t>Roth IRA</s:t>
        </s:is>
      </s:c>
      <s:c r="C53" s="39" t="n">
        <s:v>0</s:v>
      </s:c>
      <s:c r="D53" s="37" t="inlineStr">
        <s:is>
          <s:t>$</s:t>
        </s:is>
      </s:c>
      <s:c r="E53" s="38" t="inlineStr">
        <s:is>
          <s:t>Doesn't exist yet. Biggest long-term gap in your setup.</s:t>
        </s:is>
      </s:c>
    </s:row>
    <s:row r="54">
      <s:c r="B54" s="35" t="inlineStr">
        <s:is>
          <s:t>Credit card balance</s:t>
        </s:is>
      </s:c>
      <s:c r="C54" s="39" t="n">
        <s:v>390.15</s:v>
      </s:c>
      <s:c r="D54" s="37" t="inlineStr">
        <s:is>
          <s:t>$</s:t>
        </s:is>
      </s:c>
      <s:c r="E54" s="38" t="inlineStr"/>
    </s:row>
    <s:row r="55">
      <s:c r="B55" s="35" t="inlineStr">
        <s:is>
          <s:t xml:space="preserve">  credit limit</s:t>
        </s:is>
      </s:c>
      <s:c r="C55" s="36" t="n">
        <s:v>5000</s:v>
      </s:c>
      <s:c r="D55" s="37" t="inlineStr">
        <s:is>
          <s:t>$</s:t>
        </s:is>
      </s:c>
      <s:c r="E55" s="38" t="inlineStr">
        <s:is>
          <s:t>CONFIRM - drives utilization, 30% of your FICO.</s:t>
        </s:is>
      </s:c>
    </s:row>
    <s:row r="56">
      <s:c r="B56" s="35" t="inlineStr">
        <s:is>
          <s:t>Auto loan balance</s:t>
        </s:is>
      </s:c>
      <s:c r="C56" s="39" t="n">
        <s:v>25092.02</s:v>
      </s:c>
      <s:c r="D56" s="37" t="inlineStr">
        <s:is>
          <s:t>$</s:t>
        </s:is>
      </s:c>
      <s:c r="E56" s="38" t="inlineStr"/>
    </s:row>
    <s:row r="57">
      <s:c r="B57" s="35" t="inlineStr">
        <s:is>
          <s:t xml:space="preserve">  auto loan APR</s:t>
        </s:is>
      </s:c>
      <s:c r="C57" s="49" t="n">
        <s:v>0.07489999999999999</s:v>
      </s:c>
      <s:c r="D57" s="37" t="inlineStr"/>
      <s:c r="E57" s="38" t="inlineStr">
        <s:is>
          <s:t>NOT PROVIDED. Pull it off your statement.</s:t>
        </s:is>
      </s:c>
    </s:row>
    <s:row r="58" ht="19" customHeight="1">
      <s:c r="A58" s="4" t="inlineStr">
        <s:is>
          <s:t xml:space="preserve">  6.  GOALS</s:t>
        </s:is>
      </s:c>
      <s:c r="B58" s="5" t="n"/>
      <s:c r="C58" s="5" t="n"/>
      <s:c r="D58" s="5" t="n"/>
      <s:c r="E58" s="5" t="n"/>
    </s:row>
    <s:row r="59">
      <s:c r="B59" s="35" t="inlineStr">
        <s:is>
          <s:t>Today</s:t>
        </s:is>
      </s:c>
      <s:c r="C59" s="50" t="n">
        <s:v>46275</s:v>
      </s:c>
      <s:c r="D59" s="37" t="inlineStr"/>
      <s:c r="E59" s="38" t="inlineStr"/>
    </s:row>
    <s:row r="60" ht="28" customHeight="1">
      <s:c r="B60" s="35" t="inlineStr">
        <s:is>
          <s:t>Emergency fund target</s:t>
        </s:is>
      </s:c>
      <s:c r="C60" s="40" t="n">
        <s:v>6</s:v>
      </s:c>
      <s:c r="D60" s="37" t="inlineStr">
        <s:is>
          <s:t>months</s:t>
        </s:is>
      </s:c>
      <s:c r="E60" s="38" t="inlineStr">
        <s:is>
          <s:t>6 months of costs. Your income is fixed at the draw right now, so cash is your only shock absorber.</s:t>
        </s:is>
      </s:c>
    </s:row>
    <s:row r="61">
      <s:c r="B61" s="35" t="inlineStr">
        <s:is>
          <s:t>Ring + proposal budget</s:t>
        </s:is>
      </s:c>
      <s:c r="C61" s="36" t="n">
        <s:v>12000</s:v>
      </s:c>
      <s:c r="D61" s="37" t="inlineStr">
        <s:is>
          <s:t>$</s:t>
        </s:is>
      </s:c>
      <s:c r="E61" s="38" t="inlineStr">
        <s:is>
          <s:t>Placeholder - set your number.</s:t>
        </s:is>
      </s:c>
    </s:row>
    <s:row r="62">
      <s:c r="B62" s="35" t="inlineStr">
        <s:is>
          <s:t>Target proposal date</s:t>
        </s:is>
      </s:c>
      <s:c r="C62" s="50" t="n">
        <s:v>46997</s:v>
      </s:c>
      <s:c r="D62" s="37" t="inlineStr"/>
      <s:c r="E62" s="38" t="inlineStr"/>
    </s:row>
    <s:row r="63">
      <s:c r="B63" s="35" t="inlineStr">
        <s:is>
          <s:t>Target home price</s:t>
        </s:is>
      </s:c>
      <s:c r="C63" s="45" t="n">
        <s:v>400000</s:v>
      </s:c>
      <s:c r="D63" s="37" t="inlineStr">
        <s:is>
          <s:t>$</s:t>
        </s:is>
      </s:c>
      <s:c r="E63" s="38" t="inlineStr"/>
    </s:row>
    <s:row r="64">
      <s:c r="B64" s="35" t="inlineStr">
        <s:is>
          <s:t xml:space="preserve">  down payment</s:t>
        </s:is>
      </s:c>
      <s:c r="C64" s="51" t="n">
        <s:v>0.05</s:v>
      </s:c>
      <s:c r="D64" s="37" t="inlineStr"/>
      <s:c r="E64" s="38" t="inlineStr"/>
    </s:row>
    <s:row r="65" ht="28" customHeight="1">
      <s:c r="B65" s="35" t="inlineStr">
        <s:is>
          <s:t>Target home purchase date</s:t>
        </s:is>
      </s:c>
      <s:c r="C65" s="50" t="n">
        <s:v>47178</s:v>
      </s:c>
      <s:c r="D65" s="37" t="inlineStr"/>
      <s:c r="E65" s="38" t="inlineStr">
        <s:is>
          <s:t>See 'Credit &amp; Home' - commission income normally needs a 2-year history, which for you starts ~April 2028.</s:t>
        </s:is>
      </s:c>
    </s:row>
  </s:sheetData>
  <s:mergeCells count="8">
    <s:mergeCell ref="A4:E4"/>
    <s:mergeCell ref="A26:E26"/>
    <s:mergeCell ref="A43:E43"/>
    <s:mergeCell ref="A2:E2"/>
    <s:mergeCell ref="A1:E1"/>
    <s:mergeCell ref="A14:E14"/>
    <s:mergeCell ref="A58:E58"/>
    <s:mergeCell ref="A18:E18"/>
  </s:mergeCells>
  <s:pageMargins left="0.75" right="0.75" top="1" bottom="1" header="0.5" footer="0.5"/>
</s:worksheet>
</file>

<file path=xl/worksheets/sheet5.xml><?xml version="1.0" encoding="utf-8"?>
<s:worksheet xmlns:r="http://schemas.openxmlformats.org/officeDocument/2006/relationships" xmlns:s="http://schemas.openxmlformats.org/spreadsheetml/2006/main">
  <s:sheetPr>
    <s:tabColor rgb="001E7B4F"/>
    <s:outlinePr summaryBelow="1" summaryRight="1"/>
    <s:pageSetUpPr/>
  </s:sheetPr>
  <s:dimension ref="A1:K208"/>
  <s:sheetViews>
    <s:sheetView showGridLines="0" workbookViewId="0">
      <s:pane ySplit="7" topLeftCell="A8" activePane="bottomLeft" state="frozen"/>
      <s:selection pane="bottomLeft" activeCell="A1" sqref="A1"/>
    </s:sheetView>
  </s:sheetViews>
  <s:sheetFormatPr baseColWidth="8" defaultRowHeight="15"/>
  <s:cols>
    <s:col width="12" customWidth="1" min="1" max="1"/>
    <s:col width="24" customWidth="1" min="2" max="2"/>
    <s:col width="15" customWidth="1" min="3" max="3"/>
    <s:col width="15" customWidth="1" min="4" max="4"/>
    <s:col width="10" customWidth="1" min="5" max="5"/>
    <s:col width="16" customWidth="1" min="6" max="6"/>
    <s:col width="15" customWidth="1" min="7" max="7"/>
    <s:col width="13" customWidth="1" min="8" max="8"/>
    <s:col width="12" customWidth="1" min="9" max="9"/>
    <s:col width="22" customWidth="1" min="10" max="10"/>
    <s:col width="26" customWidth="1" min="11" max="11"/>
  </s:cols>
  <s:sheetData>
    <s:row r="1" ht="26" customHeight="1">
      <s:c r="A1" s="1" t="inlineStr">
        <s:is>
          <s:t>DEAL LOG  —  the only sheet you have to keep up with</s:t>
        </s:is>
      </s:c>
      <s:c r="B1" s="2" t="n"/>
      <s:c r="C1" s="2" t="n"/>
      <s:c r="D1" s="2" t="n"/>
      <s:c r="E1" s="2" t="n"/>
      <s:c r="F1" s="2" t="n"/>
      <s:c r="G1" s="2" t="n"/>
      <s:c r="H1" s="2" t="n"/>
      <s:c r="I1" s="2" t="n"/>
      <s:c r="J1" s="2" t="n"/>
      <s:c r="K1" s="2" t="n"/>
    </s:row>
    <s:row r="2" ht="16" customHeight="1">
      <s:c r="A2" s="3" t="inlineStr">
        <s:is>
          <s:t>One row per deal. Fill in A-E and H. Your commission and everything downstream updates on its own.</s:t>
        </s:is>
      </s:c>
      <s:c r="B2" s="2" t="n"/>
      <s:c r="C2" s="2" t="n"/>
      <s:c r="D2" s="2" t="n"/>
      <s:c r="E2" s="2" t="n"/>
      <s:c r="F2" s="2" t="n"/>
      <s:c r="G2" s="2" t="n"/>
      <s:c r="H2" s="2" t="n"/>
      <s:c r="I2" s="2" t="n"/>
      <s:c r="J2" s="2" t="n"/>
      <s:c r="K2" s="2" t="n"/>
    </s:row>
    <s:row r="4">
      <s:c r="A4" s="12" t="inlineStr">
        <s:is>
          <s:t>Funded volume</s:t>
        </s:is>
      </s:c>
      <s:c r="C4" s="52">
        <s:f>SUMIFS(C9:C208,$H$9:$H$208,"Funded")</s:f>
        <s:v>0.0</s:v>
      </s:c>
      <s:c r="D4" s="12" t="inlineStr">
        <s:is>
          <s:t>YOUR COMMISSION (credited to the draw)</s:t>
        </s:is>
      </s:c>
      <s:c r="F4" s="31">
        <s:f>SUMIFS(F9:F208,$H$9:$H$208,"Funded")</s:f>
        <s:v>0.0</s:v>
      </s:c>
      <s:c r="G4" s="37" t="str">
        <s:f>COUNTIFS($H$9:$H$208,"Funded")&amp;" funded"</s:f>
        <s:v>0 funded</s:v>
      </s:c>
    </s:row>
    <s:row r="5">
      <s:c r="A5" s="12" t="inlineStr">
        <s:is>
          <s:t>Still owed on the draw</s:t>
        </s:is>
      </s:c>
      <s:c r="C5" s="29">
        <s:f>Inputs!$C$17</s:f>
        <s:v>16500.0</s:v>
      </s:c>
      <s:c r="D5" s="53" t="str">
        <s:f>"Every dollar in the green box goes straight here until it reaches zero."</s:f>
        <s:v>Every dollar in the green box goes straight here until it reaches zero.</s:v>
      </s:c>
    </s:row>
    <s:row r="6">
      <s:c r="A6" s="54" t="inlineStr">
        <s:is>
          <s:t>Row 8 below is a greyed-out EXAMPLE showing the format. It is OUTSIDE every total, so it never affects your numbers - leave it or delete it, either is fine. Start typing on row 9.</s:t>
        </s:is>
      </s:c>
    </s:row>
    <s:row r="7" ht="30" customHeight="1">
      <s:c r="A7" s="16" t="inlineStr">
        <s:is>
          <s:t>Date funded</s:t>
        </s:is>
      </s:c>
      <s:c r="B7" s="16" t="inlineStr">
        <s:is>
          <s:t>Client / deal</s:t>
        </s:is>
      </s:c>
      <s:c r="C7" s="16" t="inlineStr">
        <s:is>
          <s:t>Loan amount</s:t>
        </s:is>
      </s:c>
      <s:c r="D7" s="16" t="inlineStr">
        <s:is>
          <s:t>Broker check
(company)</s:t>
        </s:is>
      </s:c>
      <s:c r="E7" s="16" t="inlineStr">
        <s:is>
          <s:t>Co. bps</s:t>
        </s:is>
      </s:c>
      <s:c r="F7" s="16" t="inlineStr">
        <s:is>
          <s:t>YOUR COMMISSION</s:t>
        </s:is>
      </s:c>
      <s:c r="G7" s="16" t="inlineStr">
        <s:is>
          <s:t>Applied to draw</s:t>
        </s:is>
      </s:c>
      <s:c r="H7" s="16" t="inlineStr">
        <s:is>
          <s:t>Status</s:t>
        </s:is>
      </s:c>
      <s:c r="I7" s="16" t="inlineStr">
        <s:is>
          <s:t>Month</s:t>
        </s:is>
      </s:c>
      <s:c r="J7" s="16" t="inlineStr">
        <s:is>
          <s:t>Referral source</s:t>
        </s:is>
      </s:c>
      <s:c r="K7" s="16" t="inlineStr">
        <s:is>
          <s:t>Notes</s:t>
        </s:is>
      </s:c>
    </s:row>
    <s:row r="8">
      <s:c r="A8" s="55" t="n">
        <s:v>46287</s:v>
      </s:c>
      <s:c r="B8" s="56" t="inlineStr">
        <s:is>
          <s:t>&lt;- EXAMPLE (not counted)</s:t>
        </s:is>
      </s:c>
      <s:c r="C8" s="57" t="n">
        <s:v>300000</s:v>
      </s:c>
      <s:c r="D8" s="57" t="n">
        <s:v>8250</s:v>
      </s:c>
      <s:c r="E8" s="58" t="n">
        <s:v>0.0275</s:v>
      </s:c>
      <s:c r="F8" s="59" t="n">
        <s:v>2250</s:v>
      </s:c>
      <s:c r="G8" s="59" t="n">
        <s:v>2250</s:v>
      </s:c>
      <s:c r="H8" s="60" t="inlineStr">
        <s:is>
          <s:t>Funded</s:t>
        </s:is>
      </s:c>
      <s:c r="I8" s="61" t="n">
        <s:v>46295</s:v>
      </s:c>
      <s:c r="J8" s="56" t="inlineStr">
        <s:is>
          <s:t>Realtor - J. Poulin</s:t>
        </s:is>
      </s:c>
      <s:c r="K8" s="56" t="inlineStr">
        <s:is>
          <s:t>$300k x 0.75% = $2,250 to you</s:t>
        </s:is>
      </s:c>
    </s:row>
    <s:row r="9">
      <s:c r="A9" s="62" t="n"/>
      <s:c r="B9" s="63" t="n"/>
      <s:c r="C9" s="64" t="n"/>
      <s:c r="D9" s="64" t="n"/>
      <s:c r="E9" s="65" t="n"/>
      <s:c r="F9" s="66" t="str">
        <s:f>IF($A9="","",$C9*Inputs!$C$12)</s:f>
        <s:v/>
      </s:c>
      <s:c r="G9" s="67" t="str">
        <s:f>IF($A9="","",IF($H9="Funded",$F9,0))</s:f>
        <s:v/>
      </s:c>
      <s:c r="H9" s="63" t="n"/>
      <s:c r="I9" s="68" t="str">
        <s:f>IF($A9="","",EOMONTH($A9,0))</s:f>
        <s:v/>
      </s:c>
      <s:c r="J9" s="63" t="n"/>
      <s:c r="K9" s="63" t="n"/>
    </s:row>
    <s:row r="10">
      <s:c r="A10" s="69" t="n"/>
      <s:c r="B10" s="70" t="n"/>
      <s:c r="C10" s="71" t="n"/>
      <s:c r="D10" s="71" t="n"/>
      <s:c r="E10" s="72" t="n"/>
      <s:c r="F10" s="66" t="str">
        <s:f>IF($A10="","",$C10*Inputs!$C$12)</s:f>
        <s:v/>
      </s:c>
      <s:c r="G10" s="73" t="str">
        <s:f>IF($A10="","",IF($H10="Funded",$F10,0))</s:f>
        <s:v/>
      </s:c>
      <s:c r="H10" s="70" t="n"/>
      <s:c r="I10" s="74" t="str">
        <s:f>IF($A10="","",EOMONTH($A10,0))</s:f>
        <s:v/>
      </s:c>
      <s:c r="J10" s="70" t="n"/>
      <s:c r="K10" s="70" t="n"/>
    </s:row>
    <s:row r="11">
      <s:c r="A11" s="62" t="n"/>
      <s:c r="B11" s="63" t="n"/>
      <s:c r="C11" s="64" t="n"/>
      <s:c r="D11" s="64" t="n"/>
      <s:c r="E11" s="65" t="n"/>
      <s:c r="F11" s="66" t="str">
        <s:f>IF($A11="","",$C11*Inputs!$C$12)</s:f>
        <s:v/>
      </s:c>
      <s:c r="G11" s="67" t="str">
        <s:f>IF($A11="","",IF($H11="Funded",$F11,0))</s:f>
        <s:v/>
      </s:c>
      <s:c r="H11" s="63" t="n"/>
      <s:c r="I11" s="68" t="str">
        <s:f>IF($A11="","",EOMONTH($A11,0))</s:f>
        <s:v/>
      </s:c>
      <s:c r="J11" s="63" t="n"/>
      <s:c r="K11" s="63" t="n"/>
    </s:row>
    <s:row r="12">
      <s:c r="A12" s="69" t="n"/>
      <s:c r="B12" s="70" t="n"/>
      <s:c r="C12" s="71" t="n"/>
      <s:c r="D12" s="71" t="n"/>
      <s:c r="E12" s="72" t="n"/>
      <s:c r="F12" s="66" t="str">
        <s:f>IF($A12="","",$C12*Inputs!$C$12)</s:f>
        <s:v/>
      </s:c>
      <s:c r="G12" s="73" t="str">
        <s:f>IF($A12="","",IF($H12="Funded",$F12,0))</s:f>
        <s:v/>
      </s:c>
      <s:c r="H12" s="70" t="n"/>
      <s:c r="I12" s="74" t="str">
        <s:f>IF($A12="","",EOMONTH($A12,0))</s:f>
        <s:v/>
      </s:c>
      <s:c r="J12" s="70" t="n"/>
      <s:c r="K12" s="70" t="n"/>
    </s:row>
    <s:row r="13">
      <s:c r="A13" s="62" t="n"/>
      <s:c r="B13" s="63" t="n"/>
      <s:c r="C13" s="64" t="n"/>
      <s:c r="D13" s="64" t="n"/>
      <s:c r="E13" s="65" t="n"/>
      <s:c r="F13" s="66" t="str">
        <s:f>IF($A13="","",$C13*Inputs!$C$12)</s:f>
        <s:v/>
      </s:c>
      <s:c r="G13" s="67" t="str">
        <s:f>IF($A13="","",IF($H13="Funded",$F13,0))</s:f>
        <s:v/>
      </s:c>
      <s:c r="H13" s="63" t="n"/>
      <s:c r="I13" s="68" t="str">
        <s:f>IF($A13="","",EOMONTH($A13,0))</s:f>
        <s:v/>
      </s:c>
      <s:c r="J13" s="63" t="n"/>
      <s:c r="K13" s="63" t="n"/>
    </s:row>
    <s:row r="14">
      <s:c r="A14" s="69" t="n"/>
      <s:c r="B14" s="70" t="n"/>
      <s:c r="C14" s="71" t="n"/>
      <s:c r="D14" s="71" t="n"/>
      <s:c r="E14" s="72" t="n"/>
      <s:c r="F14" s="66" t="str">
        <s:f>IF($A14="","",$C14*Inputs!$C$12)</s:f>
        <s:v/>
      </s:c>
      <s:c r="G14" s="73" t="str">
        <s:f>IF($A14="","",IF($H14="Funded",$F14,0))</s:f>
        <s:v/>
      </s:c>
      <s:c r="H14" s="70" t="n"/>
      <s:c r="I14" s="74" t="str">
        <s:f>IF($A14="","",EOMONTH($A14,0))</s:f>
        <s:v/>
      </s:c>
      <s:c r="J14" s="70" t="n"/>
      <s:c r="K14" s="70" t="n"/>
    </s:row>
    <s:row r="15">
      <s:c r="A15" s="62" t="n"/>
      <s:c r="B15" s="63" t="n"/>
      <s:c r="C15" s="64" t="n"/>
      <s:c r="D15" s="64" t="n"/>
      <s:c r="E15" s="65" t="n"/>
      <s:c r="F15" s="66" t="str">
        <s:f>IF($A15="","",$C15*Inputs!$C$12)</s:f>
        <s:v/>
      </s:c>
      <s:c r="G15" s="67" t="str">
        <s:f>IF($A15="","",IF($H15="Funded",$F15,0))</s:f>
        <s:v/>
      </s:c>
      <s:c r="H15" s="63" t="n"/>
      <s:c r="I15" s="68" t="str">
        <s:f>IF($A15="","",EOMONTH($A15,0))</s:f>
        <s:v/>
      </s:c>
      <s:c r="J15" s="63" t="n"/>
      <s:c r="K15" s="63" t="n"/>
    </s:row>
    <s:row r="16">
      <s:c r="A16" s="69" t="n"/>
      <s:c r="B16" s="70" t="n"/>
      <s:c r="C16" s="71" t="n"/>
      <s:c r="D16" s="71" t="n"/>
      <s:c r="E16" s="72" t="n"/>
      <s:c r="F16" s="66" t="str">
        <s:f>IF($A16="","",$C16*Inputs!$C$12)</s:f>
        <s:v/>
      </s:c>
      <s:c r="G16" s="73" t="str">
        <s:f>IF($A16="","",IF($H16="Funded",$F16,0))</s:f>
        <s:v/>
      </s:c>
      <s:c r="H16" s="70" t="n"/>
      <s:c r="I16" s="74" t="str">
        <s:f>IF($A16="","",EOMONTH($A16,0))</s:f>
        <s:v/>
      </s:c>
      <s:c r="J16" s="70" t="n"/>
      <s:c r="K16" s="70" t="n"/>
    </s:row>
    <s:row r="17">
      <s:c r="A17" s="62" t="n"/>
      <s:c r="B17" s="63" t="n"/>
      <s:c r="C17" s="64" t="n"/>
      <s:c r="D17" s="64" t="n"/>
      <s:c r="E17" s="65" t="n"/>
      <s:c r="F17" s="66" t="str">
        <s:f>IF($A17="","",$C17*Inputs!$C$12)</s:f>
        <s:v/>
      </s:c>
      <s:c r="G17" s="67" t="str">
        <s:f>IF($A17="","",IF($H17="Funded",$F17,0))</s:f>
        <s:v/>
      </s:c>
      <s:c r="H17" s="63" t="n"/>
      <s:c r="I17" s="68" t="str">
        <s:f>IF($A17="","",EOMONTH($A17,0))</s:f>
        <s:v/>
      </s:c>
      <s:c r="J17" s="63" t="n"/>
      <s:c r="K17" s="63" t="n"/>
    </s:row>
    <s:row r="18">
      <s:c r="A18" s="69" t="n"/>
      <s:c r="B18" s="70" t="n"/>
      <s:c r="C18" s="71" t="n"/>
      <s:c r="D18" s="71" t="n"/>
      <s:c r="E18" s="72" t="n"/>
      <s:c r="F18" s="66" t="str">
        <s:f>IF($A18="","",$C18*Inputs!$C$12)</s:f>
        <s:v/>
      </s:c>
      <s:c r="G18" s="73" t="str">
        <s:f>IF($A18="","",IF($H18="Funded",$F18,0))</s:f>
        <s:v/>
      </s:c>
      <s:c r="H18" s="70" t="n"/>
      <s:c r="I18" s="74" t="str">
        <s:f>IF($A18="","",EOMONTH($A18,0))</s:f>
        <s:v/>
      </s:c>
      <s:c r="J18" s="70" t="n"/>
      <s:c r="K18" s="70" t="n"/>
    </s:row>
    <s:row r="19">
      <s:c r="A19" s="62" t="n"/>
      <s:c r="B19" s="63" t="n"/>
      <s:c r="C19" s="64" t="n"/>
      <s:c r="D19" s="64" t="n"/>
      <s:c r="E19" s="65" t="n"/>
      <s:c r="F19" s="66" t="str">
        <s:f>IF($A19="","",$C19*Inputs!$C$12)</s:f>
        <s:v/>
      </s:c>
      <s:c r="G19" s="67" t="str">
        <s:f>IF($A19="","",IF($H19="Funded",$F19,0))</s:f>
        <s:v/>
      </s:c>
      <s:c r="H19" s="63" t="n"/>
      <s:c r="I19" s="68" t="str">
        <s:f>IF($A19="","",EOMONTH($A19,0))</s:f>
        <s:v/>
      </s:c>
      <s:c r="J19" s="63" t="n"/>
      <s:c r="K19" s="63" t="n"/>
    </s:row>
    <s:row r="20">
      <s:c r="A20" s="69" t="n"/>
      <s:c r="B20" s="70" t="n"/>
      <s:c r="C20" s="71" t="n"/>
      <s:c r="D20" s="71" t="n"/>
      <s:c r="E20" s="72" t="n"/>
      <s:c r="F20" s="66" t="str">
        <s:f>IF($A20="","",$C20*Inputs!$C$12)</s:f>
        <s:v/>
      </s:c>
      <s:c r="G20" s="73" t="str">
        <s:f>IF($A20="","",IF($H20="Funded",$F20,0))</s:f>
        <s:v/>
      </s:c>
      <s:c r="H20" s="70" t="n"/>
      <s:c r="I20" s="74" t="str">
        <s:f>IF($A20="","",EOMONTH($A20,0))</s:f>
        <s:v/>
      </s:c>
      <s:c r="J20" s="70" t="n"/>
      <s:c r="K20" s="70" t="n"/>
    </s:row>
    <s:row r="21">
      <s:c r="A21" s="62" t="n"/>
      <s:c r="B21" s="63" t="n"/>
      <s:c r="C21" s="64" t="n"/>
      <s:c r="D21" s="64" t="n"/>
      <s:c r="E21" s="65" t="n"/>
      <s:c r="F21" s="66" t="str">
        <s:f>IF($A21="","",$C21*Inputs!$C$12)</s:f>
        <s:v/>
      </s:c>
      <s:c r="G21" s="67" t="str">
        <s:f>IF($A21="","",IF($H21="Funded",$F21,0))</s:f>
        <s:v/>
      </s:c>
      <s:c r="H21" s="63" t="n"/>
      <s:c r="I21" s="68" t="str">
        <s:f>IF($A21="","",EOMONTH($A21,0))</s:f>
        <s:v/>
      </s:c>
      <s:c r="J21" s="63" t="n"/>
      <s:c r="K21" s="63" t="n"/>
    </s:row>
    <s:row r="22">
      <s:c r="A22" s="69" t="n"/>
      <s:c r="B22" s="70" t="n"/>
      <s:c r="C22" s="71" t="n"/>
      <s:c r="D22" s="71" t="n"/>
      <s:c r="E22" s="72" t="n"/>
      <s:c r="F22" s="66" t="str">
        <s:f>IF($A22="","",$C22*Inputs!$C$12)</s:f>
        <s:v/>
      </s:c>
      <s:c r="G22" s="73" t="str">
        <s:f>IF($A22="","",IF($H22="Funded",$F22,0))</s:f>
        <s:v/>
      </s:c>
      <s:c r="H22" s="70" t="n"/>
      <s:c r="I22" s="74" t="str">
        <s:f>IF($A22="","",EOMONTH($A22,0))</s:f>
        <s:v/>
      </s:c>
      <s:c r="J22" s="70" t="n"/>
      <s:c r="K22" s="70" t="n"/>
    </s:row>
    <s:row r="23">
      <s:c r="A23" s="62" t="n"/>
      <s:c r="B23" s="63" t="n"/>
      <s:c r="C23" s="64" t="n"/>
      <s:c r="D23" s="64" t="n"/>
      <s:c r="E23" s="65" t="n"/>
      <s:c r="F23" s="66" t="str">
        <s:f>IF($A23="","",$C23*Inputs!$C$12)</s:f>
        <s:v/>
      </s:c>
      <s:c r="G23" s="67" t="str">
        <s:f>IF($A23="","",IF($H23="Funded",$F23,0))</s:f>
        <s:v/>
      </s:c>
      <s:c r="H23" s="63" t="n"/>
      <s:c r="I23" s="68" t="str">
        <s:f>IF($A23="","",EOMONTH($A23,0))</s:f>
        <s:v/>
      </s:c>
      <s:c r="J23" s="63" t="n"/>
      <s:c r="K23" s="63" t="n"/>
    </s:row>
    <s:row r="24">
      <s:c r="A24" s="69" t="n"/>
      <s:c r="B24" s="70" t="n"/>
      <s:c r="C24" s="71" t="n"/>
      <s:c r="D24" s="71" t="n"/>
      <s:c r="E24" s="72" t="n"/>
      <s:c r="F24" s="66" t="str">
        <s:f>IF($A24="","",$C24*Inputs!$C$12)</s:f>
        <s:v/>
      </s:c>
      <s:c r="G24" s="73" t="str">
        <s:f>IF($A24="","",IF($H24="Funded",$F24,0))</s:f>
        <s:v/>
      </s:c>
      <s:c r="H24" s="70" t="n"/>
      <s:c r="I24" s="74" t="str">
        <s:f>IF($A24="","",EOMONTH($A24,0))</s:f>
        <s:v/>
      </s:c>
      <s:c r="J24" s="70" t="n"/>
      <s:c r="K24" s="70" t="n"/>
    </s:row>
    <s:row r="25">
      <s:c r="A25" s="62" t="n"/>
      <s:c r="B25" s="63" t="n"/>
      <s:c r="C25" s="64" t="n"/>
      <s:c r="D25" s="64" t="n"/>
      <s:c r="E25" s="65" t="n"/>
      <s:c r="F25" s="66" t="str">
        <s:f>IF($A25="","",$C25*Inputs!$C$12)</s:f>
        <s:v/>
      </s:c>
      <s:c r="G25" s="67" t="str">
        <s:f>IF($A25="","",IF($H25="Funded",$F25,0))</s:f>
        <s:v/>
      </s:c>
      <s:c r="H25" s="63" t="n"/>
      <s:c r="I25" s="68" t="str">
        <s:f>IF($A25="","",EOMONTH($A25,0))</s:f>
        <s:v/>
      </s:c>
      <s:c r="J25" s="63" t="n"/>
      <s:c r="K25" s="63" t="n"/>
    </s:row>
    <s:row r="26">
      <s:c r="A26" s="69" t="n"/>
      <s:c r="B26" s="70" t="n"/>
      <s:c r="C26" s="71" t="n"/>
      <s:c r="D26" s="71" t="n"/>
      <s:c r="E26" s="72" t="n"/>
      <s:c r="F26" s="66" t="str">
        <s:f>IF($A26="","",$C26*Inputs!$C$12)</s:f>
        <s:v/>
      </s:c>
      <s:c r="G26" s="73" t="str">
        <s:f>IF($A26="","",IF($H26="Funded",$F26,0))</s:f>
        <s:v/>
      </s:c>
      <s:c r="H26" s="70" t="n"/>
      <s:c r="I26" s="74" t="str">
        <s:f>IF($A26="","",EOMONTH($A26,0))</s:f>
        <s:v/>
      </s:c>
      <s:c r="J26" s="70" t="n"/>
      <s:c r="K26" s="70" t="n"/>
    </s:row>
    <s:row r="27">
      <s:c r="A27" s="62" t="n"/>
      <s:c r="B27" s="63" t="n"/>
      <s:c r="C27" s="64" t="n"/>
      <s:c r="D27" s="64" t="n"/>
      <s:c r="E27" s="65" t="n"/>
      <s:c r="F27" s="66" t="str">
        <s:f>IF($A27="","",$C27*Inputs!$C$12)</s:f>
        <s:v/>
      </s:c>
      <s:c r="G27" s="67" t="str">
        <s:f>IF($A27="","",IF($H27="Funded",$F27,0))</s:f>
        <s:v/>
      </s:c>
      <s:c r="H27" s="63" t="n"/>
      <s:c r="I27" s="68" t="str">
        <s:f>IF($A27="","",EOMONTH($A27,0))</s:f>
        <s:v/>
      </s:c>
      <s:c r="J27" s="63" t="n"/>
      <s:c r="K27" s="63" t="n"/>
    </s:row>
    <s:row r="28">
      <s:c r="A28" s="69" t="n"/>
      <s:c r="B28" s="70" t="n"/>
      <s:c r="C28" s="71" t="n"/>
      <s:c r="D28" s="71" t="n"/>
      <s:c r="E28" s="72" t="n"/>
      <s:c r="F28" s="66" t="str">
        <s:f>IF($A28="","",$C28*Inputs!$C$12)</s:f>
        <s:v/>
      </s:c>
      <s:c r="G28" s="73" t="str">
        <s:f>IF($A28="","",IF($H28="Funded",$F28,0))</s:f>
        <s:v/>
      </s:c>
      <s:c r="H28" s="70" t="n"/>
      <s:c r="I28" s="74" t="str">
        <s:f>IF($A28="","",EOMONTH($A28,0))</s:f>
        <s:v/>
      </s:c>
      <s:c r="J28" s="70" t="n"/>
      <s:c r="K28" s="70" t="n"/>
    </s:row>
    <s:row r="29">
      <s:c r="A29" s="62" t="n"/>
      <s:c r="B29" s="63" t="n"/>
      <s:c r="C29" s="64" t="n"/>
      <s:c r="D29" s="64" t="n"/>
      <s:c r="E29" s="65" t="n"/>
      <s:c r="F29" s="66" t="str">
        <s:f>IF($A29="","",$C29*Inputs!$C$12)</s:f>
        <s:v/>
      </s:c>
      <s:c r="G29" s="67" t="str">
        <s:f>IF($A29="","",IF($H29="Funded",$F29,0))</s:f>
        <s:v/>
      </s:c>
      <s:c r="H29" s="63" t="n"/>
      <s:c r="I29" s="68" t="str">
        <s:f>IF($A29="","",EOMONTH($A29,0))</s:f>
        <s:v/>
      </s:c>
      <s:c r="J29" s="63" t="n"/>
      <s:c r="K29" s="63" t="n"/>
    </s:row>
    <s:row r="30">
      <s:c r="A30" s="69" t="n"/>
      <s:c r="B30" s="70" t="n"/>
      <s:c r="C30" s="71" t="n"/>
      <s:c r="D30" s="71" t="n"/>
      <s:c r="E30" s="72" t="n"/>
      <s:c r="F30" s="66" t="str">
        <s:f>IF($A30="","",$C30*Inputs!$C$12)</s:f>
        <s:v/>
      </s:c>
      <s:c r="G30" s="73" t="str">
        <s:f>IF($A30="","",IF($H30="Funded",$F30,0))</s:f>
        <s:v/>
      </s:c>
      <s:c r="H30" s="70" t="n"/>
      <s:c r="I30" s="74" t="str">
        <s:f>IF($A30="","",EOMONTH($A30,0))</s:f>
        <s:v/>
      </s:c>
      <s:c r="J30" s="70" t="n"/>
      <s:c r="K30" s="70" t="n"/>
    </s:row>
    <s:row r="31">
      <s:c r="A31" s="62" t="n"/>
      <s:c r="B31" s="63" t="n"/>
      <s:c r="C31" s="64" t="n"/>
      <s:c r="D31" s="64" t="n"/>
      <s:c r="E31" s="65" t="n"/>
      <s:c r="F31" s="66" t="str">
        <s:f>IF($A31="","",$C31*Inputs!$C$12)</s:f>
        <s:v/>
      </s:c>
      <s:c r="G31" s="67" t="str">
        <s:f>IF($A31="","",IF($H31="Funded",$F31,0))</s:f>
        <s:v/>
      </s:c>
      <s:c r="H31" s="63" t="n"/>
      <s:c r="I31" s="68" t="str">
        <s:f>IF($A31="","",EOMONTH($A31,0))</s:f>
        <s:v/>
      </s:c>
      <s:c r="J31" s="63" t="n"/>
      <s:c r="K31" s="63" t="n"/>
    </s:row>
    <s:row r="32">
      <s:c r="A32" s="69" t="n"/>
      <s:c r="B32" s="70" t="n"/>
      <s:c r="C32" s="71" t="n"/>
      <s:c r="D32" s="71" t="n"/>
      <s:c r="E32" s="72" t="n"/>
      <s:c r="F32" s="66" t="str">
        <s:f>IF($A32="","",$C32*Inputs!$C$12)</s:f>
        <s:v/>
      </s:c>
      <s:c r="G32" s="73" t="str">
        <s:f>IF($A32="","",IF($H32="Funded",$F32,0))</s:f>
        <s:v/>
      </s:c>
      <s:c r="H32" s="70" t="n"/>
      <s:c r="I32" s="74" t="str">
        <s:f>IF($A32="","",EOMONTH($A32,0))</s:f>
        <s:v/>
      </s:c>
      <s:c r="J32" s="70" t="n"/>
      <s:c r="K32" s="70" t="n"/>
    </s:row>
    <s:row r="33">
      <s:c r="A33" s="62" t="n"/>
      <s:c r="B33" s="63" t="n"/>
      <s:c r="C33" s="64" t="n"/>
      <s:c r="D33" s="64" t="n"/>
      <s:c r="E33" s="65" t="n"/>
      <s:c r="F33" s="66" t="str">
        <s:f>IF($A33="","",$C33*Inputs!$C$12)</s:f>
        <s:v/>
      </s:c>
      <s:c r="G33" s="67" t="str">
        <s:f>IF($A33="","",IF($H33="Funded",$F33,0))</s:f>
        <s:v/>
      </s:c>
      <s:c r="H33" s="63" t="n"/>
      <s:c r="I33" s="68" t="str">
        <s:f>IF($A33="","",EOMONTH($A33,0))</s:f>
        <s:v/>
      </s:c>
      <s:c r="J33" s="63" t="n"/>
      <s:c r="K33" s="63" t="n"/>
    </s:row>
    <s:row r="34">
      <s:c r="A34" s="69" t="n"/>
      <s:c r="B34" s="70" t="n"/>
      <s:c r="C34" s="71" t="n"/>
      <s:c r="D34" s="71" t="n"/>
      <s:c r="E34" s="72" t="n"/>
      <s:c r="F34" s="66" t="str">
        <s:f>IF($A34="","",$C34*Inputs!$C$12)</s:f>
        <s:v/>
      </s:c>
      <s:c r="G34" s="73" t="str">
        <s:f>IF($A34="","",IF($H34="Funded",$F34,0))</s:f>
        <s:v/>
      </s:c>
      <s:c r="H34" s="70" t="n"/>
      <s:c r="I34" s="74" t="str">
        <s:f>IF($A34="","",EOMONTH($A34,0))</s:f>
        <s:v/>
      </s:c>
      <s:c r="J34" s="70" t="n"/>
      <s:c r="K34" s="70" t="n"/>
    </s:row>
    <s:row r="35">
      <s:c r="A35" s="62" t="n"/>
      <s:c r="B35" s="63" t="n"/>
      <s:c r="C35" s="64" t="n"/>
      <s:c r="D35" s="64" t="n"/>
      <s:c r="E35" s="65" t="n"/>
      <s:c r="F35" s="66" t="str">
        <s:f>IF($A35="","",$C35*Inputs!$C$12)</s:f>
        <s:v/>
      </s:c>
      <s:c r="G35" s="67" t="str">
        <s:f>IF($A35="","",IF($H35="Funded",$F35,0))</s:f>
        <s:v/>
      </s:c>
      <s:c r="H35" s="63" t="n"/>
      <s:c r="I35" s="68" t="str">
        <s:f>IF($A35="","",EOMONTH($A35,0))</s:f>
        <s:v/>
      </s:c>
      <s:c r="J35" s="63" t="n"/>
      <s:c r="K35" s="63" t="n"/>
    </s:row>
    <s:row r="36">
      <s:c r="A36" s="69" t="n"/>
      <s:c r="B36" s="70" t="n"/>
      <s:c r="C36" s="71" t="n"/>
      <s:c r="D36" s="71" t="n"/>
      <s:c r="E36" s="72" t="n"/>
      <s:c r="F36" s="66" t="str">
        <s:f>IF($A36="","",$C36*Inputs!$C$12)</s:f>
        <s:v/>
      </s:c>
      <s:c r="G36" s="73" t="str">
        <s:f>IF($A36="","",IF($H36="Funded",$F36,0))</s:f>
        <s:v/>
      </s:c>
      <s:c r="H36" s="70" t="n"/>
      <s:c r="I36" s="74" t="str">
        <s:f>IF($A36="","",EOMONTH($A36,0))</s:f>
        <s:v/>
      </s:c>
      <s:c r="J36" s="70" t="n"/>
      <s:c r="K36" s="70" t="n"/>
    </s:row>
    <s:row r="37">
      <s:c r="A37" s="62" t="n"/>
      <s:c r="B37" s="63" t="n"/>
      <s:c r="C37" s="64" t="n"/>
      <s:c r="D37" s="64" t="n"/>
      <s:c r="E37" s="65" t="n"/>
      <s:c r="F37" s="66" t="str">
        <s:f>IF($A37="","",$C37*Inputs!$C$12)</s:f>
        <s:v/>
      </s:c>
      <s:c r="G37" s="67" t="str">
        <s:f>IF($A37="","",IF($H37="Funded",$F37,0))</s:f>
        <s:v/>
      </s:c>
      <s:c r="H37" s="63" t="n"/>
      <s:c r="I37" s="68" t="str">
        <s:f>IF($A37="","",EOMONTH($A37,0))</s:f>
        <s:v/>
      </s:c>
      <s:c r="J37" s="63" t="n"/>
      <s:c r="K37" s="63" t="n"/>
    </s:row>
    <s:row r="38">
      <s:c r="A38" s="69" t="n"/>
      <s:c r="B38" s="70" t="n"/>
      <s:c r="C38" s="71" t="n"/>
      <s:c r="D38" s="71" t="n"/>
      <s:c r="E38" s="72" t="n"/>
      <s:c r="F38" s="66" t="str">
        <s:f>IF($A38="","",$C38*Inputs!$C$12)</s:f>
        <s:v/>
      </s:c>
      <s:c r="G38" s="73" t="str">
        <s:f>IF($A38="","",IF($H38="Funded",$F38,0))</s:f>
        <s:v/>
      </s:c>
      <s:c r="H38" s="70" t="n"/>
      <s:c r="I38" s="74" t="str">
        <s:f>IF($A38="","",EOMONTH($A38,0))</s:f>
        <s:v/>
      </s:c>
      <s:c r="J38" s="70" t="n"/>
      <s:c r="K38" s="70" t="n"/>
    </s:row>
    <s:row r="39">
      <s:c r="A39" s="62" t="n"/>
      <s:c r="B39" s="63" t="n"/>
      <s:c r="C39" s="64" t="n"/>
      <s:c r="D39" s="64" t="n"/>
      <s:c r="E39" s="65" t="n"/>
      <s:c r="F39" s="66" t="str">
        <s:f>IF($A39="","",$C39*Inputs!$C$12)</s:f>
        <s:v/>
      </s:c>
      <s:c r="G39" s="67" t="str">
        <s:f>IF($A39="","",IF($H39="Funded",$F39,0))</s:f>
        <s:v/>
      </s:c>
      <s:c r="H39" s="63" t="n"/>
      <s:c r="I39" s="68" t="str">
        <s:f>IF($A39="","",EOMONTH($A39,0))</s:f>
        <s:v/>
      </s:c>
      <s:c r="J39" s="63" t="n"/>
      <s:c r="K39" s="63" t="n"/>
    </s:row>
    <s:row r="40">
      <s:c r="A40" s="69" t="n"/>
      <s:c r="B40" s="70" t="n"/>
      <s:c r="C40" s="71" t="n"/>
      <s:c r="D40" s="71" t="n"/>
      <s:c r="E40" s="72" t="n"/>
      <s:c r="F40" s="66" t="str">
        <s:f>IF($A40="","",$C40*Inputs!$C$12)</s:f>
        <s:v/>
      </s:c>
      <s:c r="G40" s="73" t="str">
        <s:f>IF($A40="","",IF($H40="Funded",$F40,0))</s:f>
        <s:v/>
      </s:c>
      <s:c r="H40" s="70" t="n"/>
      <s:c r="I40" s="74" t="str">
        <s:f>IF($A40="","",EOMONTH($A40,0))</s:f>
        <s:v/>
      </s:c>
      <s:c r="J40" s="70" t="n"/>
      <s:c r="K40" s="70" t="n"/>
    </s:row>
    <s:row r="41">
      <s:c r="A41" s="62" t="n"/>
      <s:c r="B41" s="63" t="n"/>
      <s:c r="C41" s="64" t="n"/>
      <s:c r="D41" s="64" t="n"/>
      <s:c r="E41" s="65" t="n"/>
      <s:c r="F41" s="66" t="str">
        <s:f>IF($A41="","",$C41*Inputs!$C$12)</s:f>
        <s:v/>
      </s:c>
      <s:c r="G41" s="67" t="str">
        <s:f>IF($A41="","",IF($H41="Funded",$F41,0))</s:f>
        <s:v/>
      </s:c>
      <s:c r="H41" s="63" t="n"/>
      <s:c r="I41" s="68" t="str">
        <s:f>IF($A41="","",EOMONTH($A41,0))</s:f>
        <s:v/>
      </s:c>
      <s:c r="J41" s="63" t="n"/>
      <s:c r="K41" s="63" t="n"/>
    </s:row>
    <s:row r="42">
      <s:c r="A42" s="69" t="n"/>
      <s:c r="B42" s="70" t="n"/>
      <s:c r="C42" s="71" t="n"/>
      <s:c r="D42" s="71" t="n"/>
      <s:c r="E42" s="72" t="n"/>
      <s:c r="F42" s="66" t="str">
        <s:f>IF($A42="","",$C42*Inputs!$C$12)</s:f>
        <s:v/>
      </s:c>
      <s:c r="G42" s="73" t="str">
        <s:f>IF($A42="","",IF($H42="Funded",$F42,0))</s:f>
        <s:v/>
      </s:c>
      <s:c r="H42" s="70" t="n"/>
      <s:c r="I42" s="74" t="str">
        <s:f>IF($A42="","",EOMONTH($A42,0))</s:f>
        <s:v/>
      </s:c>
      <s:c r="J42" s="70" t="n"/>
      <s:c r="K42" s="70" t="n"/>
    </s:row>
    <s:row r="43">
      <s:c r="A43" s="62" t="n"/>
      <s:c r="B43" s="63" t="n"/>
      <s:c r="C43" s="64" t="n"/>
      <s:c r="D43" s="64" t="n"/>
      <s:c r="E43" s="65" t="n"/>
      <s:c r="F43" s="66" t="str">
        <s:f>IF($A43="","",$C43*Inputs!$C$12)</s:f>
        <s:v/>
      </s:c>
      <s:c r="G43" s="67" t="str">
        <s:f>IF($A43="","",IF($H43="Funded",$F43,0))</s:f>
        <s:v/>
      </s:c>
      <s:c r="H43" s="63" t="n"/>
      <s:c r="I43" s="68" t="str">
        <s:f>IF($A43="","",EOMONTH($A43,0))</s:f>
        <s:v/>
      </s:c>
      <s:c r="J43" s="63" t="n"/>
      <s:c r="K43" s="63" t="n"/>
    </s:row>
    <s:row r="44">
      <s:c r="A44" s="69" t="n"/>
      <s:c r="B44" s="70" t="n"/>
      <s:c r="C44" s="71" t="n"/>
      <s:c r="D44" s="71" t="n"/>
      <s:c r="E44" s="72" t="n"/>
      <s:c r="F44" s="66" t="str">
        <s:f>IF($A44="","",$C44*Inputs!$C$12)</s:f>
        <s:v/>
      </s:c>
      <s:c r="G44" s="73" t="str">
        <s:f>IF($A44="","",IF($H44="Funded",$F44,0))</s:f>
        <s:v/>
      </s:c>
      <s:c r="H44" s="70" t="n"/>
      <s:c r="I44" s="74" t="str">
        <s:f>IF($A44="","",EOMONTH($A44,0))</s:f>
        <s:v/>
      </s:c>
      <s:c r="J44" s="70" t="n"/>
      <s:c r="K44" s="70" t="n"/>
    </s:row>
    <s:row r="45">
      <s:c r="A45" s="62" t="n"/>
      <s:c r="B45" s="63" t="n"/>
      <s:c r="C45" s="64" t="n"/>
      <s:c r="D45" s="64" t="n"/>
      <s:c r="E45" s="65" t="n"/>
      <s:c r="F45" s="66" t="str">
        <s:f>IF($A45="","",$C45*Inputs!$C$12)</s:f>
        <s:v/>
      </s:c>
      <s:c r="G45" s="67" t="str">
        <s:f>IF($A45="","",IF($H45="Funded",$F45,0))</s:f>
        <s:v/>
      </s:c>
      <s:c r="H45" s="63" t="n"/>
      <s:c r="I45" s="68" t="str">
        <s:f>IF($A45="","",EOMONTH($A45,0))</s:f>
        <s:v/>
      </s:c>
      <s:c r="J45" s="63" t="n"/>
      <s:c r="K45" s="63" t="n"/>
    </s:row>
    <s:row r="46">
      <s:c r="A46" s="69" t="n"/>
      <s:c r="B46" s="70" t="n"/>
      <s:c r="C46" s="71" t="n"/>
      <s:c r="D46" s="71" t="n"/>
      <s:c r="E46" s="72" t="n"/>
      <s:c r="F46" s="66" t="str">
        <s:f>IF($A46="","",$C46*Inputs!$C$12)</s:f>
        <s:v/>
      </s:c>
      <s:c r="G46" s="73" t="str">
        <s:f>IF($A46="","",IF($H46="Funded",$F46,0))</s:f>
        <s:v/>
      </s:c>
      <s:c r="H46" s="70" t="n"/>
      <s:c r="I46" s="74" t="str">
        <s:f>IF($A46="","",EOMONTH($A46,0))</s:f>
        <s:v/>
      </s:c>
      <s:c r="J46" s="70" t="n"/>
      <s:c r="K46" s="70" t="n"/>
    </s:row>
    <s:row r="47">
      <s:c r="A47" s="62" t="n"/>
      <s:c r="B47" s="63" t="n"/>
      <s:c r="C47" s="64" t="n"/>
      <s:c r="D47" s="64" t="n"/>
      <s:c r="E47" s="65" t="n"/>
      <s:c r="F47" s="66" t="str">
        <s:f>IF($A47="","",$C47*Inputs!$C$12)</s:f>
        <s:v/>
      </s:c>
      <s:c r="G47" s="67" t="str">
        <s:f>IF($A47="","",IF($H47="Funded",$F47,0))</s:f>
        <s:v/>
      </s:c>
      <s:c r="H47" s="63" t="n"/>
      <s:c r="I47" s="68" t="str">
        <s:f>IF($A47="","",EOMONTH($A47,0))</s:f>
        <s:v/>
      </s:c>
      <s:c r="J47" s="63" t="n"/>
      <s:c r="K47" s="63" t="n"/>
    </s:row>
    <s:row r="48">
      <s:c r="A48" s="69" t="n"/>
      <s:c r="B48" s="70" t="n"/>
      <s:c r="C48" s="71" t="n"/>
      <s:c r="D48" s="71" t="n"/>
      <s:c r="E48" s="72" t="n"/>
      <s:c r="F48" s="66" t="str">
        <s:f>IF($A48="","",$C48*Inputs!$C$12)</s:f>
        <s:v/>
      </s:c>
      <s:c r="G48" s="73" t="str">
        <s:f>IF($A48="","",IF($H48="Funded",$F48,0))</s:f>
        <s:v/>
      </s:c>
      <s:c r="H48" s="70" t="n"/>
      <s:c r="I48" s="74" t="str">
        <s:f>IF($A48="","",EOMONTH($A48,0))</s:f>
        <s:v/>
      </s:c>
      <s:c r="J48" s="70" t="n"/>
      <s:c r="K48" s="70" t="n"/>
    </s:row>
    <s:row r="49">
      <s:c r="A49" s="62" t="n"/>
      <s:c r="B49" s="63" t="n"/>
      <s:c r="C49" s="64" t="n"/>
      <s:c r="D49" s="64" t="n"/>
      <s:c r="E49" s="65" t="n"/>
      <s:c r="F49" s="66" t="str">
        <s:f>IF($A49="","",$C49*Inputs!$C$12)</s:f>
        <s:v/>
      </s:c>
      <s:c r="G49" s="67" t="str">
        <s:f>IF($A49="","",IF($H49="Funded",$F49,0))</s:f>
        <s:v/>
      </s:c>
      <s:c r="H49" s="63" t="n"/>
      <s:c r="I49" s="68" t="str">
        <s:f>IF($A49="","",EOMONTH($A49,0))</s:f>
        <s:v/>
      </s:c>
      <s:c r="J49" s="63" t="n"/>
      <s:c r="K49" s="63" t="n"/>
    </s:row>
    <s:row r="50">
      <s:c r="A50" s="69" t="n"/>
      <s:c r="B50" s="70" t="n"/>
      <s:c r="C50" s="71" t="n"/>
      <s:c r="D50" s="71" t="n"/>
      <s:c r="E50" s="72" t="n"/>
      <s:c r="F50" s="66" t="str">
        <s:f>IF($A50="","",$C50*Inputs!$C$12)</s:f>
        <s:v/>
      </s:c>
      <s:c r="G50" s="73" t="str">
        <s:f>IF($A50="","",IF($H50="Funded",$F50,0))</s:f>
        <s:v/>
      </s:c>
      <s:c r="H50" s="70" t="n"/>
      <s:c r="I50" s="74" t="str">
        <s:f>IF($A50="","",EOMONTH($A50,0))</s:f>
        <s:v/>
      </s:c>
      <s:c r="J50" s="70" t="n"/>
      <s:c r="K50" s="70" t="n"/>
    </s:row>
    <s:row r="51">
      <s:c r="A51" s="62" t="n"/>
      <s:c r="B51" s="63" t="n"/>
      <s:c r="C51" s="64" t="n"/>
      <s:c r="D51" s="64" t="n"/>
      <s:c r="E51" s="65" t="n"/>
      <s:c r="F51" s="66" t="str">
        <s:f>IF($A51="","",$C51*Inputs!$C$12)</s:f>
        <s:v/>
      </s:c>
      <s:c r="G51" s="67" t="str">
        <s:f>IF($A51="","",IF($H51="Funded",$F51,0))</s:f>
        <s:v/>
      </s:c>
      <s:c r="H51" s="63" t="n"/>
      <s:c r="I51" s="68" t="str">
        <s:f>IF($A51="","",EOMONTH($A51,0))</s:f>
        <s:v/>
      </s:c>
      <s:c r="J51" s="63" t="n"/>
      <s:c r="K51" s="63" t="n"/>
    </s:row>
    <s:row r="52">
      <s:c r="A52" s="69" t="n"/>
      <s:c r="B52" s="70" t="n"/>
      <s:c r="C52" s="71" t="n"/>
      <s:c r="D52" s="71" t="n"/>
      <s:c r="E52" s="72" t="n"/>
      <s:c r="F52" s="66" t="str">
        <s:f>IF($A52="","",$C52*Inputs!$C$12)</s:f>
        <s:v/>
      </s:c>
      <s:c r="G52" s="73" t="str">
        <s:f>IF($A52="","",IF($H52="Funded",$F52,0))</s:f>
        <s:v/>
      </s:c>
      <s:c r="H52" s="70" t="n"/>
      <s:c r="I52" s="74" t="str">
        <s:f>IF($A52="","",EOMONTH($A52,0))</s:f>
        <s:v/>
      </s:c>
      <s:c r="J52" s="70" t="n"/>
      <s:c r="K52" s="70" t="n"/>
    </s:row>
    <s:row r="53">
      <s:c r="A53" s="62" t="n"/>
      <s:c r="B53" s="63" t="n"/>
      <s:c r="C53" s="64" t="n"/>
      <s:c r="D53" s="64" t="n"/>
      <s:c r="E53" s="65" t="n"/>
      <s:c r="F53" s="66" t="str">
        <s:f>IF($A53="","",$C53*Inputs!$C$12)</s:f>
        <s:v/>
      </s:c>
      <s:c r="G53" s="67" t="str">
        <s:f>IF($A53="","",IF($H53="Funded",$F53,0))</s:f>
        <s:v/>
      </s:c>
      <s:c r="H53" s="63" t="n"/>
      <s:c r="I53" s="68" t="str">
        <s:f>IF($A53="","",EOMONTH($A53,0))</s:f>
        <s:v/>
      </s:c>
      <s:c r="J53" s="63" t="n"/>
      <s:c r="K53" s="63" t="n"/>
    </s:row>
    <s:row r="54">
      <s:c r="A54" s="69" t="n"/>
      <s:c r="B54" s="70" t="n"/>
      <s:c r="C54" s="71" t="n"/>
      <s:c r="D54" s="71" t="n"/>
      <s:c r="E54" s="72" t="n"/>
      <s:c r="F54" s="66" t="str">
        <s:f>IF($A54="","",$C54*Inputs!$C$12)</s:f>
        <s:v/>
      </s:c>
      <s:c r="G54" s="73" t="str">
        <s:f>IF($A54="","",IF($H54="Funded",$F54,0))</s:f>
        <s:v/>
      </s:c>
      <s:c r="H54" s="70" t="n"/>
      <s:c r="I54" s="74" t="str">
        <s:f>IF($A54="","",EOMONTH($A54,0))</s:f>
        <s:v/>
      </s:c>
      <s:c r="J54" s="70" t="n"/>
      <s:c r="K54" s="70" t="n"/>
    </s:row>
    <s:row r="55">
      <s:c r="A55" s="62" t="n"/>
      <s:c r="B55" s="63" t="n"/>
      <s:c r="C55" s="64" t="n"/>
      <s:c r="D55" s="64" t="n"/>
      <s:c r="E55" s="65" t="n"/>
      <s:c r="F55" s="66" t="str">
        <s:f>IF($A55="","",$C55*Inputs!$C$12)</s:f>
        <s:v/>
      </s:c>
      <s:c r="G55" s="67" t="str">
        <s:f>IF($A55="","",IF($H55="Funded",$F55,0))</s:f>
        <s:v/>
      </s:c>
      <s:c r="H55" s="63" t="n"/>
      <s:c r="I55" s="68" t="str">
        <s:f>IF($A55="","",EOMONTH($A55,0))</s:f>
        <s:v/>
      </s:c>
      <s:c r="J55" s="63" t="n"/>
      <s:c r="K55" s="63" t="n"/>
    </s:row>
    <s:row r="56">
      <s:c r="A56" s="69" t="n"/>
      <s:c r="B56" s="70" t="n"/>
      <s:c r="C56" s="71" t="n"/>
      <s:c r="D56" s="71" t="n"/>
      <s:c r="E56" s="72" t="n"/>
      <s:c r="F56" s="66" t="str">
        <s:f>IF($A56="","",$C56*Inputs!$C$12)</s:f>
        <s:v/>
      </s:c>
      <s:c r="G56" s="73" t="str">
        <s:f>IF($A56="","",IF($H56="Funded",$F56,0))</s:f>
        <s:v/>
      </s:c>
      <s:c r="H56" s="70" t="n"/>
      <s:c r="I56" s="74" t="str">
        <s:f>IF($A56="","",EOMONTH($A56,0))</s:f>
        <s:v/>
      </s:c>
      <s:c r="J56" s="70" t="n"/>
      <s:c r="K56" s="70" t="n"/>
    </s:row>
    <s:row r="57">
      <s:c r="A57" s="62" t="n"/>
      <s:c r="B57" s="63" t="n"/>
      <s:c r="C57" s="64" t="n"/>
      <s:c r="D57" s="64" t="n"/>
      <s:c r="E57" s="65" t="n"/>
      <s:c r="F57" s="66" t="str">
        <s:f>IF($A57="","",$C57*Inputs!$C$12)</s:f>
        <s:v/>
      </s:c>
      <s:c r="G57" s="67" t="str">
        <s:f>IF($A57="","",IF($H57="Funded",$F57,0))</s:f>
        <s:v/>
      </s:c>
      <s:c r="H57" s="63" t="n"/>
      <s:c r="I57" s="68" t="str">
        <s:f>IF($A57="","",EOMONTH($A57,0))</s:f>
        <s:v/>
      </s:c>
      <s:c r="J57" s="63" t="n"/>
      <s:c r="K57" s="63" t="n"/>
    </s:row>
    <s:row r="58">
      <s:c r="A58" s="69" t="n"/>
      <s:c r="B58" s="70" t="n"/>
      <s:c r="C58" s="71" t="n"/>
      <s:c r="D58" s="71" t="n"/>
      <s:c r="E58" s="72" t="n"/>
      <s:c r="F58" s="66" t="str">
        <s:f>IF($A58="","",$C58*Inputs!$C$12)</s:f>
        <s:v/>
      </s:c>
      <s:c r="G58" s="73" t="str">
        <s:f>IF($A58="","",IF($H58="Funded",$F58,0))</s:f>
        <s:v/>
      </s:c>
      <s:c r="H58" s="70" t="n"/>
      <s:c r="I58" s="74" t="str">
        <s:f>IF($A58="","",EOMONTH($A58,0))</s:f>
        <s:v/>
      </s:c>
      <s:c r="J58" s="70" t="n"/>
      <s:c r="K58" s="70" t="n"/>
    </s:row>
    <s:row r="59">
      <s:c r="A59" s="62" t="n"/>
      <s:c r="B59" s="63" t="n"/>
      <s:c r="C59" s="64" t="n"/>
      <s:c r="D59" s="64" t="n"/>
      <s:c r="E59" s="65" t="n"/>
      <s:c r="F59" s="66" t="str">
        <s:f>IF($A59="","",$C59*Inputs!$C$12)</s:f>
        <s:v/>
      </s:c>
      <s:c r="G59" s="67" t="str">
        <s:f>IF($A59="","",IF($H59="Funded",$F59,0))</s:f>
        <s:v/>
      </s:c>
      <s:c r="H59" s="63" t="n"/>
      <s:c r="I59" s="68" t="str">
        <s:f>IF($A59="","",EOMONTH($A59,0))</s:f>
        <s:v/>
      </s:c>
      <s:c r="J59" s="63" t="n"/>
      <s:c r="K59" s="63" t="n"/>
    </s:row>
    <s:row r="60">
      <s:c r="A60" s="69" t="n"/>
      <s:c r="B60" s="70" t="n"/>
      <s:c r="C60" s="71" t="n"/>
      <s:c r="D60" s="71" t="n"/>
      <s:c r="E60" s="72" t="n"/>
      <s:c r="F60" s="66" t="str">
        <s:f>IF($A60="","",$C60*Inputs!$C$12)</s:f>
        <s:v/>
      </s:c>
      <s:c r="G60" s="73" t="str">
        <s:f>IF($A60="","",IF($H60="Funded",$F60,0))</s:f>
        <s:v/>
      </s:c>
      <s:c r="H60" s="70" t="n"/>
      <s:c r="I60" s="74" t="str">
        <s:f>IF($A60="","",EOMONTH($A60,0))</s:f>
        <s:v/>
      </s:c>
      <s:c r="J60" s="70" t="n"/>
      <s:c r="K60" s="70" t="n"/>
    </s:row>
    <s:row r="61">
      <s:c r="A61" s="62" t="n"/>
      <s:c r="B61" s="63" t="n"/>
      <s:c r="C61" s="64" t="n"/>
      <s:c r="D61" s="64" t="n"/>
      <s:c r="E61" s="65" t="n"/>
      <s:c r="F61" s="66" t="str">
        <s:f>IF($A61="","",$C61*Inputs!$C$12)</s:f>
        <s:v/>
      </s:c>
      <s:c r="G61" s="67" t="str">
        <s:f>IF($A61="","",IF($H61="Funded",$F61,0))</s:f>
        <s:v/>
      </s:c>
      <s:c r="H61" s="63" t="n"/>
      <s:c r="I61" s="68" t="str">
        <s:f>IF($A61="","",EOMONTH($A61,0))</s:f>
        <s:v/>
      </s:c>
      <s:c r="J61" s="63" t="n"/>
      <s:c r="K61" s="63" t="n"/>
    </s:row>
    <s:row r="62">
      <s:c r="A62" s="69" t="n"/>
      <s:c r="B62" s="70" t="n"/>
      <s:c r="C62" s="71" t="n"/>
      <s:c r="D62" s="71" t="n"/>
      <s:c r="E62" s="72" t="n"/>
      <s:c r="F62" s="66" t="str">
        <s:f>IF($A62="","",$C62*Inputs!$C$12)</s:f>
        <s:v/>
      </s:c>
      <s:c r="G62" s="73" t="str">
        <s:f>IF($A62="","",IF($H62="Funded",$F62,0))</s:f>
        <s:v/>
      </s:c>
      <s:c r="H62" s="70" t="n"/>
      <s:c r="I62" s="74" t="str">
        <s:f>IF($A62="","",EOMONTH($A62,0))</s:f>
        <s:v/>
      </s:c>
      <s:c r="J62" s="70" t="n"/>
      <s:c r="K62" s="70" t="n"/>
    </s:row>
    <s:row r="63">
      <s:c r="A63" s="62" t="n"/>
      <s:c r="B63" s="63" t="n"/>
      <s:c r="C63" s="64" t="n"/>
      <s:c r="D63" s="64" t="n"/>
      <s:c r="E63" s="65" t="n"/>
      <s:c r="F63" s="66" t="str">
        <s:f>IF($A63="","",$C63*Inputs!$C$12)</s:f>
        <s:v/>
      </s:c>
      <s:c r="G63" s="67" t="str">
        <s:f>IF($A63="","",IF($H63="Funded",$F63,0))</s:f>
        <s:v/>
      </s:c>
      <s:c r="H63" s="63" t="n"/>
      <s:c r="I63" s="68" t="str">
        <s:f>IF($A63="","",EOMONTH($A63,0))</s:f>
        <s:v/>
      </s:c>
      <s:c r="J63" s="63" t="n"/>
      <s:c r="K63" s="63" t="n"/>
    </s:row>
    <s:row r="64">
      <s:c r="A64" s="69" t="n"/>
      <s:c r="B64" s="70" t="n"/>
      <s:c r="C64" s="71" t="n"/>
      <s:c r="D64" s="71" t="n"/>
      <s:c r="E64" s="72" t="n"/>
      <s:c r="F64" s="66" t="str">
        <s:f>IF($A64="","",$C64*Inputs!$C$12)</s:f>
        <s:v/>
      </s:c>
      <s:c r="G64" s="73" t="str">
        <s:f>IF($A64="","",IF($H64="Funded",$F64,0))</s:f>
        <s:v/>
      </s:c>
      <s:c r="H64" s="70" t="n"/>
      <s:c r="I64" s="74" t="str">
        <s:f>IF($A64="","",EOMONTH($A64,0))</s:f>
        <s:v/>
      </s:c>
      <s:c r="J64" s="70" t="n"/>
      <s:c r="K64" s="70" t="n"/>
    </s:row>
    <s:row r="65">
      <s:c r="A65" s="62" t="n"/>
      <s:c r="B65" s="63" t="n"/>
      <s:c r="C65" s="64" t="n"/>
      <s:c r="D65" s="64" t="n"/>
      <s:c r="E65" s="65" t="n"/>
      <s:c r="F65" s="66" t="str">
        <s:f>IF($A65="","",$C65*Inputs!$C$12)</s:f>
        <s:v/>
      </s:c>
      <s:c r="G65" s="67" t="str">
        <s:f>IF($A65="","",IF($H65="Funded",$F65,0))</s:f>
        <s:v/>
      </s:c>
      <s:c r="H65" s="63" t="n"/>
      <s:c r="I65" s="68" t="str">
        <s:f>IF($A65="","",EOMONTH($A65,0))</s:f>
        <s:v/>
      </s:c>
      <s:c r="J65" s="63" t="n"/>
      <s:c r="K65" s="63" t="n"/>
    </s:row>
    <s:row r="66">
      <s:c r="A66" s="69" t="n"/>
      <s:c r="B66" s="70" t="n"/>
      <s:c r="C66" s="71" t="n"/>
      <s:c r="D66" s="71" t="n"/>
      <s:c r="E66" s="72" t="n"/>
      <s:c r="F66" s="66" t="str">
        <s:f>IF($A66="","",$C66*Inputs!$C$12)</s:f>
        <s:v/>
      </s:c>
      <s:c r="G66" s="73" t="str">
        <s:f>IF($A66="","",IF($H66="Funded",$F66,0))</s:f>
        <s:v/>
      </s:c>
      <s:c r="H66" s="70" t="n"/>
      <s:c r="I66" s="74" t="str">
        <s:f>IF($A66="","",EOMONTH($A66,0))</s:f>
        <s:v/>
      </s:c>
      <s:c r="J66" s="70" t="n"/>
      <s:c r="K66" s="70" t="n"/>
    </s:row>
    <s:row r="67">
      <s:c r="A67" s="62" t="n"/>
      <s:c r="B67" s="63" t="n"/>
      <s:c r="C67" s="64" t="n"/>
      <s:c r="D67" s="64" t="n"/>
      <s:c r="E67" s="65" t="n"/>
      <s:c r="F67" s="66" t="str">
        <s:f>IF($A67="","",$C67*Inputs!$C$12)</s:f>
        <s:v/>
      </s:c>
      <s:c r="G67" s="67" t="str">
        <s:f>IF($A67="","",IF($H67="Funded",$F67,0))</s:f>
        <s:v/>
      </s:c>
      <s:c r="H67" s="63" t="n"/>
      <s:c r="I67" s="68" t="str">
        <s:f>IF($A67="","",EOMONTH($A67,0))</s:f>
        <s:v/>
      </s:c>
      <s:c r="J67" s="63" t="n"/>
      <s:c r="K67" s="63" t="n"/>
    </s:row>
    <s:row r="68">
      <s:c r="A68" s="69" t="n"/>
      <s:c r="B68" s="70" t="n"/>
      <s:c r="C68" s="71" t="n"/>
      <s:c r="D68" s="71" t="n"/>
      <s:c r="E68" s="72" t="n"/>
      <s:c r="F68" s="66" t="str">
        <s:f>IF($A68="","",$C68*Inputs!$C$12)</s:f>
        <s:v/>
      </s:c>
      <s:c r="G68" s="73" t="str">
        <s:f>IF($A68="","",IF($H68="Funded",$F68,0))</s:f>
        <s:v/>
      </s:c>
      <s:c r="H68" s="70" t="n"/>
      <s:c r="I68" s="74" t="str">
        <s:f>IF($A68="","",EOMONTH($A68,0))</s:f>
        <s:v/>
      </s:c>
      <s:c r="J68" s="70" t="n"/>
      <s:c r="K68" s="70" t="n"/>
    </s:row>
    <s:row r="69">
      <s:c r="A69" s="62" t="n"/>
      <s:c r="B69" s="63" t="n"/>
      <s:c r="C69" s="64" t="n"/>
      <s:c r="D69" s="64" t="n"/>
      <s:c r="E69" s="65" t="n"/>
      <s:c r="F69" s="66" t="str">
        <s:f>IF($A69="","",$C69*Inputs!$C$12)</s:f>
        <s:v/>
      </s:c>
      <s:c r="G69" s="67" t="str">
        <s:f>IF($A69="","",IF($H69="Funded",$F69,0))</s:f>
        <s:v/>
      </s:c>
      <s:c r="H69" s="63" t="n"/>
      <s:c r="I69" s="68" t="str">
        <s:f>IF($A69="","",EOMONTH($A69,0))</s:f>
        <s:v/>
      </s:c>
      <s:c r="J69" s="63" t="n"/>
      <s:c r="K69" s="63" t="n"/>
    </s:row>
    <s:row r="70">
      <s:c r="A70" s="69" t="n"/>
      <s:c r="B70" s="70" t="n"/>
      <s:c r="C70" s="71" t="n"/>
      <s:c r="D70" s="71" t="n"/>
      <s:c r="E70" s="72" t="n"/>
      <s:c r="F70" s="66" t="str">
        <s:f>IF($A70="","",$C70*Inputs!$C$12)</s:f>
        <s:v/>
      </s:c>
      <s:c r="G70" s="73" t="str">
        <s:f>IF($A70="","",IF($H70="Funded",$F70,0))</s:f>
        <s:v/>
      </s:c>
      <s:c r="H70" s="70" t="n"/>
      <s:c r="I70" s="74" t="str">
        <s:f>IF($A70="","",EOMONTH($A70,0))</s:f>
        <s:v/>
      </s:c>
      <s:c r="J70" s="70" t="n"/>
      <s:c r="K70" s="70" t="n"/>
    </s:row>
    <s:row r="71">
      <s:c r="A71" s="62" t="n"/>
      <s:c r="B71" s="63" t="n"/>
      <s:c r="C71" s="64" t="n"/>
      <s:c r="D71" s="64" t="n"/>
      <s:c r="E71" s="65" t="n"/>
      <s:c r="F71" s="66" t="str">
        <s:f>IF($A71="","",$C71*Inputs!$C$12)</s:f>
        <s:v/>
      </s:c>
      <s:c r="G71" s="67" t="str">
        <s:f>IF($A71="","",IF($H71="Funded",$F71,0))</s:f>
        <s:v/>
      </s:c>
      <s:c r="H71" s="63" t="n"/>
      <s:c r="I71" s="68" t="str">
        <s:f>IF($A71="","",EOMONTH($A71,0))</s:f>
        <s:v/>
      </s:c>
      <s:c r="J71" s="63" t="n"/>
      <s:c r="K71" s="63" t="n"/>
    </s:row>
    <s:row r="72">
      <s:c r="A72" s="69" t="n"/>
      <s:c r="B72" s="70" t="n"/>
      <s:c r="C72" s="71" t="n"/>
      <s:c r="D72" s="71" t="n"/>
      <s:c r="E72" s="72" t="n"/>
      <s:c r="F72" s="66" t="str">
        <s:f>IF($A72="","",$C72*Inputs!$C$12)</s:f>
        <s:v/>
      </s:c>
      <s:c r="G72" s="73" t="str">
        <s:f>IF($A72="","",IF($H72="Funded",$F72,0))</s:f>
        <s:v/>
      </s:c>
      <s:c r="H72" s="70" t="n"/>
      <s:c r="I72" s="74" t="str">
        <s:f>IF($A72="","",EOMONTH($A72,0))</s:f>
        <s:v/>
      </s:c>
      <s:c r="J72" s="70" t="n"/>
      <s:c r="K72" s="70" t="n"/>
    </s:row>
    <s:row r="73">
      <s:c r="A73" s="62" t="n"/>
      <s:c r="B73" s="63" t="n"/>
      <s:c r="C73" s="64" t="n"/>
      <s:c r="D73" s="64" t="n"/>
      <s:c r="E73" s="65" t="n"/>
      <s:c r="F73" s="66" t="str">
        <s:f>IF($A73="","",$C73*Inputs!$C$12)</s:f>
        <s:v/>
      </s:c>
      <s:c r="G73" s="67" t="str">
        <s:f>IF($A73="","",IF($H73="Funded",$F73,0))</s:f>
        <s:v/>
      </s:c>
      <s:c r="H73" s="63" t="n"/>
      <s:c r="I73" s="68" t="str">
        <s:f>IF($A73="","",EOMONTH($A73,0))</s:f>
        <s:v/>
      </s:c>
      <s:c r="J73" s="63" t="n"/>
      <s:c r="K73" s="63" t="n"/>
    </s:row>
    <s:row r="74">
      <s:c r="A74" s="69" t="n"/>
      <s:c r="B74" s="70" t="n"/>
      <s:c r="C74" s="71" t="n"/>
      <s:c r="D74" s="71" t="n"/>
      <s:c r="E74" s="72" t="n"/>
      <s:c r="F74" s="66" t="str">
        <s:f>IF($A74="","",$C74*Inputs!$C$12)</s:f>
        <s:v/>
      </s:c>
      <s:c r="G74" s="73" t="str">
        <s:f>IF($A74="","",IF($H74="Funded",$F74,0))</s:f>
        <s:v/>
      </s:c>
      <s:c r="H74" s="70" t="n"/>
      <s:c r="I74" s="74" t="str">
        <s:f>IF($A74="","",EOMONTH($A74,0))</s:f>
        <s:v/>
      </s:c>
      <s:c r="J74" s="70" t="n"/>
      <s:c r="K74" s="70" t="n"/>
    </s:row>
    <s:row r="75">
      <s:c r="A75" s="62" t="n"/>
      <s:c r="B75" s="63" t="n"/>
      <s:c r="C75" s="64" t="n"/>
      <s:c r="D75" s="64" t="n"/>
      <s:c r="E75" s="65" t="n"/>
      <s:c r="F75" s="66" t="str">
        <s:f>IF($A75="","",$C75*Inputs!$C$12)</s:f>
        <s:v/>
      </s:c>
      <s:c r="G75" s="67" t="str">
        <s:f>IF($A75="","",IF($H75="Funded",$F75,0))</s:f>
        <s:v/>
      </s:c>
      <s:c r="H75" s="63" t="n"/>
      <s:c r="I75" s="68" t="str">
        <s:f>IF($A75="","",EOMONTH($A75,0))</s:f>
        <s:v/>
      </s:c>
      <s:c r="J75" s="63" t="n"/>
      <s:c r="K75" s="63" t="n"/>
    </s:row>
    <s:row r="76">
      <s:c r="A76" s="69" t="n"/>
      <s:c r="B76" s="70" t="n"/>
      <s:c r="C76" s="71" t="n"/>
      <s:c r="D76" s="71" t="n"/>
      <s:c r="E76" s="72" t="n"/>
      <s:c r="F76" s="66" t="str">
        <s:f>IF($A76="","",$C76*Inputs!$C$12)</s:f>
        <s:v/>
      </s:c>
      <s:c r="G76" s="73" t="str">
        <s:f>IF($A76="","",IF($H76="Funded",$F76,0))</s:f>
        <s:v/>
      </s:c>
      <s:c r="H76" s="70" t="n"/>
      <s:c r="I76" s="74" t="str">
        <s:f>IF($A76="","",EOMONTH($A76,0))</s:f>
        <s:v/>
      </s:c>
      <s:c r="J76" s="70" t="n"/>
      <s:c r="K76" s="70" t="n"/>
    </s:row>
    <s:row r="77">
      <s:c r="A77" s="62" t="n"/>
      <s:c r="B77" s="63" t="n"/>
      <s:c r="C77" s="64" t="n"/>
      <s:c r="D77" s="64" t="n"/>
      <s:c r="E77" s="65" t="n"/>
      <s:c r="F77" s="66" t="str">
        <s:f>IF($A77="","",$C77*Inputs!$C$12)</s:f>
        <s:v/>
      </s:c>
      <s:c r="G77" s="67" t="str">
        <s:f>IF($A77="","",IF($H77="Funded",$F77,0))</s:f>
        <s:v/>
      </s:c>
      <s:c r="H77" s="63" t="n"/>
      <s:c r="I77" s="68" t="str">
        <s:f>IF($A77="","",EOMONTH($A77,0))</s:f>
        <s:v/>
      </s:c>
      <s:c r="J77" s="63" t="n"/>
      <s:c r="K77" s="63" t="n"/>
    </s:row>
    <s:row r="78">
      <s:c r="A78" s="69" t="n"/>
      <s:c r="B78" s="70" t="n"/>
      <s:c r="C78" s="71" t="n"/>
      <s:c r="D78" s="71" t="n"/>
      <s:c r="E78" s="72" t="n"/>
      <s:c r="F78" s="66" t="str">
        <s:f>IF($A78="","",$C78*Inputs!$C$12)</s:f>
        <s:v/>
      </s:c>
      <s:c r="G78" s="73" t="str">
        <s:f>IF($A78="","",IF($H78="Funded",$F78,0))</s:f>
        <s:v/>
      </s:c>
      <s:c r="H78" s="70" t="n"/>
      <s:c r="I78" s="74" t="str">
        <s:f>IF($A78="","",EOMONTH($A78,0))</s:f>
        <s:v/>
      </s:c>
      <s:c r="J78" s="70" t="n"/>
      <s:c r="K78" s="70" t="n"/>
    </s:row>
    <s:row r="79">
      <s:c r="A79" s="62" t="n"/>
      <s:c r="B79" s="63" t="n"/>
      <s:c r="C79" s="64" t="n"/>
      <s:c r="D79" s="64" t="n"/>
      <s:c r="E79" s="65" t="n"/>
      <s:c r="F79" s="66" t="str">
        <s:f>IF($A79="","",$C79*Inputs!$C$12)</s:f>
        <s:v/>
      </s:c>
      <s:c r="G79" s="67" t="str">
        <s:f>IF($A79="","",IF($H79="Funded",$F79,0))</s:f>
        <s:v/>
      </s:c>
      <s:c r="H79" s="63" t="n"/>
      <s:c r="I79" s="68" t="str">
        <s:f>IF($A79="","",EOMONTH($A79,0))</s:f>
        <s:v/>
      </s:c>
      <s:c r="J79" s="63" t="n"/>
      <s:c r="K79" s="63" t="n"/>
    </s:row>
    <s:row r="80">
      <s:c r="A80" s="69" t="n"/>
      <s:c r="B80" s="70" t="n"/>
      <s:c r="C80" s="71" t="n"/>
      <s:c r="D80" s="71" t="n"/>
      <s:c r="E80" s="72" t="n"/>
      <s:c r="F80" s="66" t="str">
        <s:f>IF($A80="","",$C80*Inputs!$C$12)</s:f>
        <s:v/>
      </s:c>
      <s:c r="G80" s="73" t="str">
        <s:f>IF($A80="","",IF($H80="Funded",$F80,0))</s:f>
        <s:v/>
      </s:c>
      <s:c r="H80" s="70" t="n"/>
      <s:c r="I80" s="74" t="str">
        <s:f>IF($A80="","",EOMONTH($A80,0))</s:f>
        <s:v/>
      </s:c>
      <s:c r="J80" s="70" t="n"/>
      <s:c r="K80" s="70" t="n"/>
    </s:row>
    <s:row r="81">
      <s:c r="A81" s="62" t="n"/>
      <s:c r="B81" s="63" t="n"/>
      <s:c r="C81" s="64" t="n"/>
      <s:c r="D81" s="64" t="n"/>
      <s:c r="E81" s="65" t="n"/>
      <s:c r="F81" s="66" t="str">
        <s:f>IF($A81="","",$C81*Inputs!$C$12)</s:f>
        <s:v/>
      </s:c>
      <s:c r="G81" s="67" t="str">
        <s:f>IF($A81="","",IF($H81="Funded",$F81,0))</s:f>
        <s:v/>
      </s:c>
      <s:c r="H81" s="63" t="n"/>
      <s:c r="I81" s="68" t="str">
        <s:f>IF($A81="","",EOMONTH($A81,0))</s:f>
        <s:v/>
      </s:c>
      <s:c r="J81" s="63" t="n"/>
      <s:c r="K81" s="63" t="n"/>
    </s:row>
    <s:row r="82">
      <s:c r="A82" s="69" t="n"/>
      <s:c r="B82" s="70" t="n"/>
      <s:c r="C82" s="71" t="n"/>
      <s:c r="D82" s="71" t="n"/>
      <s:c r="E82" s="72" t="n"/>
      <s:c r="F82" s="66" t="str">
        <s:f>IF($A82="","",$C82*Inputs!$C$12)</s:f>
        <s:v/>
      </s:c>
      <s:c r="G82" s="73" t="str">
        <s:f>IF($A82="","",IF($H82="Funded",$F82,0))</s:f>
        <s:v/>
      </s:c>
      <s:c r="H82" s="70" t="n"/>
      <s:c r="I82" s="74" t="str">
        <s:f>IF($A82="","",EOMONTH($A82,0))</s:f>
        <s:v/>
      </s:c>
      <s:c r="J82" s="70" t="n"/>
      <s:c r="K82" s="70" t="n"/>
    </s:row>
    <s:row r="83">
      <s:c r="A83" s="62" t="n"/>
      <s:c r="B83" s="63" t="n"/>
      <s:c r="C83" s="64" t="n"/>
      <s:c r="D83" s="64" t="n"/>
      <s:c r="E83" s="65" t="n"/>
      <s:c r="F83" s="66" t="str">
        <s:f>IF($A83="","",$C83*Inputs!$C$12)</s:f>
        <s:v/>
      </s:c>
      <s:c r="G83" s="67" t="str">
        <s:f>IF($A83="","",IF($H83="Funded",$F83,0))</s:f>
        <s:v/>
      </s:c>
      <s:c r="H83" s="63" t="n"/>
      <s:c r="I83" s="68" t="str">
        <s:f>IF($A83="","",EOMONTH($A83,0))</s:f>
        <s:v/>
      </s:c>
      <s:c r="J83" s="63" t="n"/>
      <s:c r="K83" s="63" t="n"/>
    </s:row>
    <s:row r="84">
      <s:c r="A84" s="69" t="n"/>
      <s:c r="B84" s="70" t="n"/>
      <s:c r="C84" s="71" t="n"/>
      <s:c r="D84" s="71" t="n"/>
      <s:c r="E84" s="72" t="n"/>
      <s:c r="F84" s="66" t="str">
        <s:f>IF($A84="","",$C84*Inputs!$C$12)</s:f>
        <s:v/>
      </s:c>
      <s:c r="G84" s="73" t="str">
        <s:f>IF($A84="","",IF($H84="Funded",$F84,0))</s:f>
        <s:v/>
      </s:c>
      <s:c r="H84" s="70" t="n"/>
      <s:c r="I84" s="74" t="str">
        <s:f>IF($A84="","",EOMONTH($A84,0))</s:f>
        <s:v/>
      </s:c>
      <s:c r="J84" s="70" t="n"/>
      <s:c r="K84" s="70" t="n"/>
    </s:row>
    <s:row r="85">
      <s:c r="A85" s="62" t="n"/>
      <s:c r="B85" s="63" t="n"/>
      <s:c r="C85" s="64" t="n"/>
      <s:c r="D85" s="64" t="n"/>
      <s:c r="E85" s="65" t="n"/>
      <s:c r="F85" s="66" t="str">
        <s:f>IF($A85="","",$C85*Inputs!$C$12)</s:f>
        <s:v/>
      </s:c>
      <s:c r="G85" s="67" t="str">
        <s:f>IF($A85="","",IF($H85="Funded",$F85,0))</s:f>
        <s:v/>
      </s:c>
      <s:c r="H85" s="63" t="n"/>
      <s:c r="I85" s="68" t="str">
        <s:f>IF($A85="","",EOMONTH($A85,0))</s:f>
        <s:v/>
      </s:c>
      <s:c r="J85" s="63" t="n"/>
      <s:c r="K85" s="63" t="n"/>
    </s:row>
    <s:row r="86">
      <s:c r="A86" s="69" t="n"/>
      <s:c r="B86" s="70" t="n"/>
      <s:c r="C86" s="71" t="n"/>
      <s:c r="D86" s="71" t="n"/>
      <s:c r="E86" s="72" t="n"/>
      <s:c r="F86" s="66" t="str">
        <s:f>IF($A86="","",$C86*Inputs!$C$12)</s:f>
        <s:v/>
      </s:c>
      <s:c r="G86" s="73" t="str">
        <s:f>IF($A86="","",IF($H86="Funded",$F86,0))</s:f>
        <s:v/>
      </s:c>
      <s:c r="H86" s="70" t="n"/>
      <s:c r="I86" s="74" t="str">
        <s:f>IF($A86="","",EOMONTH($A86,0))</s:f>
        <s:v/>
      </s:c>
      <s:c r="J86" s="70" t="n"/>
      <s:c r="K86" s="70" t="n"/>
    </s:row>
    <s:row r="87">
      <s:c r="A87" s="62" t="n"/>
      <s:c r="B87" s="63" t="n"/>
      <s:c r="C87" s="64" t="n"/>
      <s:c r="D87" s="64" t="n"/>
      <s:c r="E87" s="65" t="n"/>
      <s:c r="F87" s="66" t="str">
        <s:f>IF($A87="","",$C87*Inputs!$C$12)</s:f>
        <s:v/>
      </s:c>
      <s:c r="G87" s="67" t="str">
        <s:f>IF($A87="","",IF($H87="Funded",$F87,0))</s:f>
        <s:v/>
      </s:c>
      <s:c r="H87" s="63" t="n"/>
      <s:c r="I87" s="68" t="str">
        <s:f>IF($A87="","",EOMONTH($A87,0))</s:f>
        <s:v/>
      </s:c>
      <s:c r="J87" s="63" t="n"/>
      <s:c r="K87" s="63" t="n"/>
    </s:row>
    <s:row r="88">
      <s:c r="A88" s="69" t="n"/>
      <s:c r="B88" s="70" t="n"/>
      <s:c r="C88" s="71" t="n"/>
      <s:c r="D88" s="71" t="n"/>
      <s:c r="E88" s="72" t="n"/>
      <s:c r="F88" s="66" t="str">
        <s:f>IF($A88="","",$C88*Inputs!$C$12)</s:f>
        <s:v/>
      </s:c>
      <s:c r="G88" s="73" t="str">
        <s:f>IF($A88="","",IF($H88="Funded",$F88,0))</s:f>
        <s:v/>
      </s:c>
      <s:c r="H88" s="70" t="n"/>
      <s:c r="I88" s="74" t="str">
        <s:f>IF($A88="","",EOMONTH($A88,0))</s:f>
        <s:v/>
      </s:c>
      <s:c r="J88" s="70" t="n"/>
      <s:c r="K88" s="70" t="n"/>
    </s:row>
    <s:row r="89">
      <s:c r="A89" s="62" t="n"/>
      <s:c r="B89" s="63" t="n"/>
      <s:c r="C89" s="64" t="n"/>
      <s:c r="D89" s="64" t="n"/>
      <s:c r="E89" s="65" t="n"/>
      <s:c r="F89" s="66" t="str">
        <s:f>IF($A89="","",$C89*Inputs!$C$12)</s:f>
        <s:v/>
      </s:c>
      <s:c r="G89" s="67" t="str">
        <s:f>IF($A89="","",IF($H89="Funded",$F89,0))</s:f>
        <s:v/>
      </s:c>
      <s:c r="H89" s="63" t="n"/>
      <s:c r="I89" s="68" t="str">
        <s:f>IF($A89="","",EOMONTH($A89,0))</s:f>
        <s:v/>
      </s:c>
      <s:c r="J89" s="63" t="n"/>
      <s:c r="K89" s="63" t="n"/>
    </s:row>
    <s:row r="90">
      <s:c r="A90" s="69" t="n"/>
      <s:c r="B90" s="70" t="n"/>
      <s:c r="C90" s="71" t="n"/>
      <s:c r="D90" s="71" t="n"/>
      <s:c r="E90" s="72" t="n"/>
      <s:c r="F90" s="66" t="str">
        <s:f>IF($A90="","",$C90*Inputs!$C$12)</s:f>
        <s:v/>
      </s:c>
      <s:c r="G90" s="73" t="str">
        <s:f>IF($A90="","",IF($H90="Funded",$F90,0))</s:f>
        <s:v/>
      </s:c>
      <s:c r="H90" s="70" t="n"/>
      <s:c r="I90" s="74" t="str">
        <s:f>IF($A90="","",EOMONTH($A90,0))</s:f>
        <s:v/>
      </s:c>
      <s:c r="J90" s="70" t="n"/>
      <s:c r="K90" s="70" t="n"/>
    </s:row>
    <s:row r="91">
      <s:c r="A91" s="62" t="n"/>
      <s:c r="B91" s="63" t="n"/>
      <s:c r="C91" s="64" t="n"/>
      <s:c r="D91" s="64" t="n"/>
      <s:c r="E91" s="65" t="n"/>
      <s:c r="F91" s="66" t="str">
        <s:f>IF($A91="","",$C91*Inputs!$C$12)</s:f>
        <s:v/>
      </s:c>
      <s:c r="G91" s="67" t="str">
        <s:f>IF($A91="","",IF($H91="Funded",$F91,0))</s:f>
        <s:v/>
      </s:c>
      <s:c r="H91" s="63" t="n"/>
      <s:c r="I91" s="68" t="str">
        <s:f>IF($A91="","",EOMONTH($A91,0))</s:f>
        <s:v/>
      </s:c>
      <s:c r="J91" s="63" t="n"/>
      <s:c r="K91" s="63" t="n"/>
    </s:row>
    <s:row r="92">
      <s:c r="A92" s="69" t="n"/>
      <s:c r="B92" s="70" t="n"/>
      <s:c r="C92" s="71" t="n"/>
      <s:c r="D92" s="71" t="n"/>
      <s:c r="E92" s="72" t="n"/>
      <s:c r="F92" s="66" t="str">
        <s:f>IF($A92="","",$C92*Inputs!$C$12)</s:f>
        <s:v/>
      </s:c>
      <s:c r="G92" s="73" t="str">
        <s:f>IF($A92="","",IF($H92="Funded",$F92,0))</s:f>
        <s:v/>
      </s:c>
      <s:c r="H92" s="70" t="n"/>
      <s:c r="I92" s="74" t="str">
        <s:f>IF($A92="","",EOMONTH($A92,0))</s:f>
        <s:v/>
      </s:c>
      <s:c r="J92" s="70" t="n"/>
      <s:c r="K92" s="70" t="n"/>
    </s:row>
    <s:row r="93">
      <s:c r="A93" s="62" t="n"/>
      <s:c r="B93" s="63" t="n"/>
      <s:c r="C93" s="64" t="n"/>
      <s:c r="D93" s="64" t="n"/>
      <s:c r="E93" s="65" t="n"/>
      <s:c r="F93" s="66" t="str">
        <s:f>IF($A93="","",$C93*Inputs!$C$12)</s:f>
        <s:v/>
      </s:c>
      <s:c r="G93" s="67" t="str">
        <s:f>IF($A93="","",IF($H93="Funded",$F93,0))</s:f>
        <s:v/>
      </s:c>
      <s:c r="H93" s="63" t="n"/>
      <s:c r="I93" s="68" t="str">
        <s:f>IF($A93="","",EOMONTH($A93,0))</s:f>
        <s:v/>
      </s:c>
      <s:c r="J93" s="63" t="n"/>
      <s:c r="K93" s="63" t="n"/>
    </s:row>
    <s:row r="94">
      <s:c r="A94" s="69" t="n"/>
      <s:c r="B94" s="70" t="n"/>
      <s:c r="C94" s="71" t="n"/>
      <s:c r="D94" s="71" t="n"/>
      <s:c r="E94" s="72" t="n"/>
      <s:c r="F94" s="66" t="str">
        <s:f>IF($A94="","",$C94*Inputs!$C$12)</s:f>
        <s:v/>
      </s:c>
      <s:c r="G94" s="73" t="str">
        <s:f>IF($A94="","",IF($H94="Funded",$F94,0))</s:f>
        <s:v/>
      </s:c>
      <s:c r="H94" s="70" t="n"/>
      <s:c r="I94" s="74" t="str">
        <s:f>IF($A94="","",EOMONTH($A94,0))</s:f>
        <s:v/>
      </s:c>
      <s:c r="J94" s="70" t="n"/>
      <s:c r="K94" s="70" t="n"/>
    </s:row>
    <s:row r="95">
      <s:c r="A95" s="62" t="n"/>
      <s:c r="B95" s="63" t="n"/>
      <s:c r="C95" s="64" t="n"/>
      <s:c r="D95" s="64" t="n"/>
      <s:c r="E95" s="65" t="n"/>
      <s:c r="F95" s="66" t="str">
        <s:f>IF($A95="","",$C95*Inputs!$C$12)</s:f>
        <s:v/>
      </s:c>
      <s:c r="G95" s="67" t="str">
        <s:f>IF($A95="","",IF($H95="Funded",$F95,0))</s:f>
        <s:v/>
      </s:c>
      <s:c r="H95" s="63" t="n"/>
      <s:c r="I95" s="68" t="str">
        <s:f>IF($A95="","",EOMONTH($A95,0))</s:f>
        <s:v/>
      </s:c>
      <s:c r="J95" s="63" t="n"/>
      <s:c r="K95" s="63" t="n"/>
    </s:row>
    <s:row r="96">
      <s:c r="A96" s="69" t="n"/>
      <s:c r="B96" s="70" t="n"/>
      <s:c r="C96" s="71" t="n"/>
      <s:c r="D96" s="71" t="n"/>
      <s:c r="E96" s="72" t="n"/>
      <s:c r="F96" s="66" t="str">
        <s:f>IF($A96="","",$C96*Inputs!$C$12)</s:f>
        <s:v/>
      </s:c>
      <s:c r="G96" s="73" t="str">
        <s:f>IF($A96="","",IF($H96="Funded",$F96,0))</s:f>
        <s:v/>
      </s:c>
      <s:c r="H96" s="70" t="n"/>
      <s:c r="I96" s="74" t="str">
        <s:f>IF($A96="","",EOMONTH($A96,0))</s:f>
        <s:v/>
      </s:c>
      <s:c r="J96" s="70" t="n"/>
      <s:c r="K96" s="70" t="n"/>
    </s:row>
    <s:row r="97">
      <s:c r="A97" s="62" t="n"/>
      <s:c r="B97" s="63" t="n"/>
      <s:c r="C97" s="64" t="n"/>
      <s:c r="D97" s="64" t="n"/>
      <s:c r="E97" s="65" t="n"/>
      <s:c r="F97" s="66" t="str">
        <s:f>IF($A97="","",$C97*Inputs!$C$12)</s:f>
        <s:v/>
      </s:c>
      <s:c r="G97" s="67" t="str">
        <s:f>IF($A97="","",IF($H97="Funded",$F97,0))</s:f>
        <s:v/>
      </s:c>
      <s:c r="H97" s="63" t="n"/>
      <s:c r="I97" s="68" t="str">
        <s:f>IF($A97="","",EOMONTH($A97,0))</s:f>
        <s:v/>
      </s:c>
      <s:c r="J97" s="63" t="n"/>
      <s:c r="K97" s="63" t="n"/>
    </s:row>
    <s:row r="98">
      <s:c r="A98" s="69" t="n"/>
      <s:c r="B98" s="70" t="n"/>
      <s:c r="C98" s="71" t="n"/>
      <s:c r="D98" s="71" t="n"/>
      <s:c r="E98" s="72" t="n"/>
      <s:c r="F98" s="66" t="str">
        <s:f>IF($A98="","",$C98*Inputs!$C$12)</s:f>
        <s:v/>
      </s:c>
      <s:c r="G98" s="73" t="str">
        <s:f>IF($A98="","",IF($H98="Funded",$F98,0))</s:f>
        <s:v/>
      </s:c>
      <s:c r="H98" s="70" t="n"/>
      <s:c r="I98" s="74" t="str">
        <s:f>IF($A98="","",EOMONTH($A98,0))</s:f>
        <s:v/>
      </s:c>
      <s:c r="J98" s="70" t="n"/>
      <s:c r="K98" s="70" t="n"/>
    </s:row>
    <s:row r="99">
      <s:c r="A99" s="62" t="n"/>
      <s:c r="B99" s="63" t="n"/>
      <s:c r="C99" s="64" t="n"/>
      <s:c r="D99" s="64" t="n"/>
      <s:c r="E99" s="65" t="n"/>
      <s:c r="F99" s="66" t="str">
        <s:f>IF($A99="","",$C99*Inputs!$C$12)</s:f>
        <s:v/>
      </s:c>
      <s:c r="G99" s="67" t="str">
        <s:f>IF($A99="","",IF($H99="Funded",$F99,0))</s:f>
        <s:v/>
      </s:c>
      <s:c r="H99" s="63" t="n"/>
      <s:c r="I99" s="68" t="str">
        <s:f>IF($A99="","",EOMONTH($A99,0))</s:f>
        <s:v/>
      </s:c>
      <s:c r="J99" s="63" t="n"/>
      <s:c r="K99" s="63" t="n"/>
    </s:row>
    <s:row r="100">
      <s:c r="A100" s="69" t="n"/>
      <s:c r="B100" s="70" t="n"/>
      <s:c r="C100" s="71" t="n"/>
      <s:c r="D100" s="71" t="n"/>
      <s:c r="E100" s="72" t="n"/>
      <s:c r="F100" s="66" t="str">
        <s:f>IF($A100="","",$C100*Inputs!$C$12)</s:f>
        <s:v/>
      </s:c>
      <s:c r="G100" s="73" t="str">
        <s:f>IF($A100="","",IF($H100="Funded",$F100,0))</s:f>
        <s:v/>
      </s:c>
      <s:c r="H100" s="70" t="n"/>
      <s:c r="I100" s="74" t="str">
        <s:f>IF($A100="","",EOMONTH($A100,0))</s:f>
        <s:v/>
      </s:c>
      <s:c r="J100" s="70" t="n"/>
      <s:c r="K100" s="70" t="n"/>
    </s:row>
    <s:row r="101">
      <s:c r="A101" s="62" t="n"/>
      <s:c r="B101" s="63" t="n"/>
      <s:c r="C101" s="64" t="n"/>
      <s:c r="D101" s="64" t="n"/>
      <s:c r="E101" s="65" t="n"/>
      <s:c r="F101" s="66" t="str">
        <s:f>IF($A101="","",$C101*Inputs!$C$12)</s:f>
        <s:v/>
      </s:c>
      <s:c r="G101" s="67" t="str">
        <s:f>IF($A101="","",IF($H101="Funded",$F101,0))</s:f>
        <s:v/>
      </s:c>
      <s:c r="H101" s="63" t="n"/>
      <s:c r="I101" s="68" t="str">
        <s:f>IF($A101="","",EOMONTH($A101,0))</s:f>
        <s:v/>
      </s:c>
      <s:c r="J101" s="63" t="n"/>
      <s:c r="K101" s="63" t="n"/>
    </s:row>
    <s:row r="102">
      <s:c r="A102" s="69" t="n"/>
      <s:c r="B102" s="70" t="n"/>
      <s:c r="C102" s="71" t="n"/>
      <s:c r="D102" s="71" t="n"/>
      <s:c r="E102" s="72" t="n"/>
      <s:c r="F102" s="66" t="str">
        <s:f>IF($A102="","",$C102*Inputs!$C$12)</s:f>
        <s:v/>
      </s:c>
      <s:c r="G102" s="73" t="str">
        <s:f>IF($A102="","",IF($H102="Funded",$F102,0))</s:f>
        <s:v/>
      </s:c>
      <s:c r="H102" s="70" t="n"/>
      <s:c r="I102" s="74" t="str">
        <s:f>IF($A102="","",EOMONTH($A102,0))</s:f>
        <s:v/>
      </s:c>
      <s:c r="J102" s="70" t="n"/>
      <s:c r="K102" s="70" t="n"/>
    </s:row>
    <s:row r="103">
      <s:c r="A103" s="62" t="n"/>
      <s:c r="B103" s="63" t="n"/>
      <s:c r="C103" s="64" t="n"/>
      <s:c r="D103" s="64" t="n"/>
      <s:c r="E103" s="65" t="n"/>
      <s:c r="F103" s="66" t="str">
        <s:f>IF($A103="","",$C103*Inputs!$C$12)</s:f>
        <s:v/>
      </s:c>
      <s:c r="G103" s="67" t="str">
        <s:f>IF($A103="","",IF($H103="Funded",$F103,0))</s:f>
        <s:v/>
      </s:c>
      <s:c r="H103" s="63" t="n"/>
      <s:c r="I103" s="68" t="str">
        <s:f>IF($A103="","",EOMONTH($A103,0))</s:f>
        <s:v/>
      </s:c>
      <s:c r="J103" s="63" t="n"/>
      <s:c r="K103" s="63" t="n"/>
    </s:row>
    <s:row r="104">
      <s:c r="A104" s="69" t="n"/>
      <s:c r="B104" s="70" t="n"/>
      <s:c r="C104" s="71" t="n"/>
      <s:c r="D104" s="71" t="n"/>
      <s:c r="E104" s="72" t="n"/>
      <s:c r="F104" s="66" t="str">
        <s:f>IF($A104="","",$C104*Inputs!$C$12)</s:f>
        <s:v/>
      </s:c>
      <s:c r="G104" s="73" t="str">
        <s:f>IF($A104="","",IF($H104="Funded",$F104,0))</s:f>
        <s:v/>
      </s:c>
      <s:c r="H104" s="70" t="n"/>
      <s:c r="I104" s="74" t="str">
        <s:f>IF($A104="","",EOMONTH($A104,0))</s:f>
        <s:v/>
      </s:c>
      <s:c r="J104" s="70" t="n"/>
      <s:c r="K104" s="70" t="n"/>
    </s:row>
    <s:row r="105">
      <s:c r="A105" s="62" t="n"/>
      <s:c r="B105" s="63" t="n"/>
      <s:c r="C105" s="64" t="n"/>
      <s:c r="D105" s="64" t="n"/>
      <s:c r="E105" s="65" t="n"/>
      <s:c r="F105" s="66" t="str">
        <s:f>IF($A105="","",$C105*Inputs!$C$12)</s:f>
        <s:v/>
      </s:c>
      <s:c r="G105" s="67" t="str">
        <s:f>IF($A105="","",IF($H105="Funded",$F105,0))</s:f>
        <s:v/>
      </s:c>
      <s:c r="H105" s="63" t="n"/>
      <s:c r="I105" s="68" t="str">
        <s:f>IF($A105="","",EOMONTH($A105,0))</s:f>
        <s:v/>
      </s:c>
      <s:c r="J105" s="63" t="n"/>
      <s:c r="K105" s="63" t="n"/>
    </s:row>
    <s:row r="106">
      <s:c r="A106" s="69" t="n"/>
      <s:c r="B106" s="70" t="n"/>
      <s:c r="C106" s="71" t="n"/>
      <s:c r="D106" s="71" t="n"/>
      <s:c r="E106" s="72" t="n"/>
      <s:c r="F106" s="66" t="str">
        <s:f>IF($A106="","",$C106*Inputs!$C$12)</s:f>
        <s:v/>
      </s:c>
      <s:c r="G106" s="73" t="str">
        <s:f>IF($A106="","",IF($H106="Funded",$F106,0))</s:f>
        <s:v/>
      </s:c>
      <s:c r="H106" s="70" t="n"/>
      <s:c r="I106" s="74" t="str">
        <s:f>IF($A106="","",EOMONTH($A106,0))</s:f>
        <s:v/>
      </s:c>
      <s:c r="J106" s="70" t="n"/>
      <s:c r="K106" s="70" t="n"/>
    </s:row>
    <s:row r="107">
      <s:c r="A107" s="62" t="n"/>
      <s:c r="B107" s="63" t="n"/>
      <s:c r="C107" s="64" t="n"/>
      <s:c r="D107" s="64" t="n"/>
      <s:c r="E107" s="65" t="n"/>
      <s:c r="F107" s="66" t="str">
        <s:f>IF($A107="","",$C107*Inputs!$C$12)</s:f>
        <s:v/>
      </s:c>
      <s:c r="G107" s="67" t="str">
        <s:f>IF($A107="","",IF($H107="Funded",$F107,0))</s:f>
        <s:v/>
      </s:c>
      <s:c r="H107" s="63" t="n"/>
      <s:c r="I107" s="68" t="str">
        <s:f>IF($A107="","",EOMONTH($A107,0))</s:f>
        <s:v/>
      </s:c>
      <s:c r="J107" s="63" t="n"/>
      <s:c r="K107" s="63" t="n"/>
    </s:row>
    <s:row r="108">
      <s:c r="A108" s="69" t="n"/>
      <s:c r="B108" s="70" t="n"/>
      <s:c r="C108" s="71" t="n"/>
      <s:c r="D108" s="71" t="n"/>
      <s:c r="E108" s="72" t="n"/>
      <s:c r="F108" s="66" t="str">
        <s:f>IF($A108="","",$C108*Inputs!$C$12)</s:f>
        <s:v/>
      </s:c>
      <s:c r="G108" s="73" t="str">
        <s:f>IF($A108="","",IF($H108="Funded",$F108,0))</s:f>
        <s:v/>
      </s:c>
      <s:c r="H108" s="70" t="n"/>
      <s:c r="I108" s="74" t="str">
        <s:f>IF($A108="","",EOMONTH($A108,0))</s:f>
        <s:v/>
      </s:c>
      <s:c r="J108" s="70" t="n"/>
      <s:c r="K108" s="70" t="n"/>
    </s:row>
    <s:row r="109">
      <s:c r="A109" s="62" t="n"/>
      <s:c r="B109" s="63" t="n"/>
      <s:c r="C109" s="64" t="n"/>
      <s:c r="D109" s="64" t="n"/>
      <s:c r="E109" s="65" t="n"/>
      <s:c r="F109" s="66" t="str">
        <s:f>IF($A109="","",$C109*Inputs!$C$12)</s:f>
        <s:v/>
      </s:c>
      <s:c r="G109" s="67" t="str">
        <s:f>IF($A109="","",IF($H109="Funded",$F109,0))</s:f>
        <s:v/>
      </s:c>
      <s:c r="H109" s="63" t="n"/>
      <s:c r="I109" s="68" t="str">
        <s:f>IF($A109="","",EOMONTH($A109,0))</s:f>
        <s:v/>
      </s:c>
      <s:c r="J109" s="63" t="n"/>
      <s:c r="K109" s="63" t="n"/>
    </s:row>
    <s:row r="110">
      <s:c r="A110" s="69" t="n"/>
      <s:c r="B110" s="70" t="n"/>
      <s:c r="C110" s="71" t="n"/>
      <s:c r="D110" s="71" t="n"/>
      <s:c r="E110" s="72" t="n"/>
      <s:c r="F110" s="66" t="str">
        <s:f>IF($A110="","",$C110*Inputs!$C$12)</s:f>
        <s:v/>
      </s:c>
      <s:c r="G110" s="73" t="str">
        <s:f>IF($A110="","",IF($H110="Funded",$F110,0))</s:f>
        <s:v/>
      </s:c>
      <s:c r="H110" s="70" t="n"/>
      <s:c r="I110" s="74" t="str">
        <s:f>IF($A110="","",EOMONTH($A110,0))</s:f>
        <s:v/>
      </s:c>
      <s:c r="J110" s="70" t="n"/>
      <s:c r="K110" s="70" t="n"/>
    </s:row>
    <s:row r="111">
      <s:c r="A111" s="62" t="n"/>
      <s:c r="B111" s="63" t="n"/>
      <s:c r="C111" s="64" t="n"/>
      <s:c r="D111" s="64" t="n"/>
      <s:c r="E111" s="65" t="n"/>
      <s:c r="F111" s="66" t="str">
        <s:f>IF($A111="","",$C111*Inputs!$C$12)</s:f>
        <s:v/>
      </s:c>
      <s:c r="G111" s="67" t="str">
        <s:f>IF($A111="","",IF($H111="Funded",$F111,0))</s:f>
        <s:v/>
      </s:c>
      <s:c r="H111" s="63" t="n"/>
      <s:c r="I111" s="68" t="str">
        <s:f>IF($A111="","",EOMONTH($A111,0))</s:f>
        <s:v/>
      </s:c>
      <s:c r="J111" s="63" t="n"/>
      <s:c r="K111" s="63" t="n"/>
    </s:row>
    <s:row r="112">
      <s:c r="A112" s="69" t="n"/>
      <s:c r="B112" s="70" t="n"/>
      <s:c r="C112" s="71" t="n"/>
      <s:c r="D112" s="71" t="n"/>
      <s:c r="E112" s="72" t="n"/>
      <s:c r="F112" s="66" t="str">
        <s:f>IF($A112="","",$C112*Inputs!$C$12)</s:f>
        <s:v/>
      </s:c>
      <s:c r="G112" s="73" t="str">
        <s:f>IF($A112="","",IF($H112="Funded",$F112,0))</s:f>
        <s:v/>
      </s:c>
      <s:c r="H112" s="70" t="n"/>
      <s:c r="I112" s="74" t="str">
        <s:f>IF($A112="","",EOMONTH($A112,0))</s:f>
        <s:v/>
      </s:c>
      <s:c r="J112" s="70" t="n"/>
      <s:c r="K112" s="70" t="n"/>
    </s:row>
    <s:row r="113">
      <s:c r="A113" s="62" t="n"/>
      <s:c r="B113" s="63" t="n"/>
      <s:c r="C113" s="64" t="n"/>
      <s:c r="D113" s="64" t="n"/>
      <s:c r="E113" s="65" t="n"/>
      <s:c r="F113" s="66" t="str">
        <s:f>IF($A113="","",$C113*Inputs!$C$12)</s:f>
        <s:v/>
      </s:c>
      <s:c r="G113" s="67" t="str">
        <s:f>IF($A113="","",IF($H113="Funded",$F113,0))</s:f>
        <s:v/>
      </s:c>
      <s:c r="H113" s="63" t="n"/>
      <s:c r="I113" s="68" t="str">
        <s:f>IF($A113="","",EOMONTH($A113,0))</s:f>
        <s:v/>
      </s:c>
      <s:c r="J113" s="63" t="n"/>
      <s:c r="K113" s="63" t="n"/>
    </s:row>
    <s:row r="114">
      <s:c r="A114" s="69" t="n"/>
      <s:c r="B114" s="70" t="n"/>
      <s:c r="C114" s="71" t="n"/>
      <s:c r="D114" s="71" t="n"/>
      <s:c r="E114" s="72" t="n"/>
      <s:c r="F114" s="66" t="str">
        <s:f>IF($A114="","",$C114*Inputs!$C$12)</s:f>
        <s:v/>
      </s:c>
      <s:c r="G114" s="73" t="str">
        <s:f>IF($A114="","",IF($H114="Funded",$F114,0))</s:f>
        <s:v/>
      </s:c>
      <s:c r="H114" s="70" t="n"/>
      <s:c r="I114" s="74" t="str">
        <s:f>IF($A114="","",EOMONTH($A114,0))</s:f>
        <s:v/>
      </s:c>
      <s:c r="J114" s="70" t="n"/>
      <s:c r="K114" s="70" t="n"/>
    </s:row>
    <s:row r="115">
      <s:c r="A115" s="62" t="n"/>
      <s:c r="B115" s="63" t="n"/>
      <s:c r="C115" s="64" t="n"/>
      <s:c r="D115" s="64" t="n"/>
      <s:c r="E115" s="65" t="n"/>
      <s:c r="F115" s="66" t="str">
        <s:f>IF($A115="","",$C115*Inputs!$C$12)</s:f>
        <s:v/>
      </s:c>
      <s:c r="G115" s="67" t="str">
        <s:f>IF($A115="","",IF($H115="Funded",$F115,0))</s:f>
        <s:v/>
      </s:c>
      <s:c r="H115" s="63" t="n"/>
      <s:c r="I115" s="68" t="str">
        <s:f>IF($A115="","",EOMONTH($A115,0))</s:f>
        <s:v/>
      </s:c>
      <s:c r="J115" s="63" t="n"/>
      <s:c r="K115" s="63" t="n"/>
    </s:row>
    <s:row r="116">
      <s:c r="A116" s="69" t="n"/>
      <s:c r="B116" s="70" t="n"/>
      <s:c r="C116" s="71" t="n"/>
      <s:c r="D116" s="71" t="n"/>
      <s:c r="E116" s="72" t="n"/>
      <s:c r="F116" s="66" t="str">
        <s:f>IF($A116="","",$C116*Inputs!$C$12)</s:f>
        <s:v/>
      </s:c>
      <s:c r="G116" s="73" t="str">
        <s:f>IF($A116="","",IF($H116="Funded",$F116,0))</s:f>
        <s:v/>
      </s:c>
      <s:c r="H116" s="70" t="n"/>
      <s:c r="I116" s="74" t="str">
        <s:f>IF($A116="","",EOMONTH($A116,0))</s:f>
        <s:v/>
      </s:c>
      <s:c r="J116" s="70" t="n"/>
      <s:c r="K116" s="70" t="n"/>
    </s:row>
    <s:row r="117">
      <s:c r="A117" s="62" t="n"/>
      <s:c r="B117" s="63" t="n"/>
      <s:c r="C117" s="64" t="n"/>
      <s:c r="D117" s="64" t="n"/>
      <s:c r="E117" s="65" t="n"/>
      <s:c r="F117" s="66" t="str">
        <s:f>IF($A117="","",$C117*Inputs!$C$12)</s:f>
        <s:v/>
      </s:c>
      <s:c r="G117" s="67" t="str">
        <s:f>IF($A117="","",IF($H117="Funded",$F117,0))</s:f>
        <s:v/>
      </s:c>
      <s:c r="H117" s="63" t="n"/>
      <s:c r="I117" s="68" t="str">
        <s:f>IF($A117="","",EOMONTH($A117,0))</s:f>
        <s:v/>
      </s:c>
      <s:c r="J117" s="63" t="n"/>
      <s:c r="K117" s="63" t="n"/>
    </s:row>
    <s:row r="118">
      <s:c r="A118" s="69" t="n"/>
      <s:c r="B118" s="70" t="n"/>
      <s:c r="C118" s="71" t="n"/>
      <s:c r="D118" s="71" t="n"/>
      <s:c r="E118" s="72" t="n"/>
      <s:c r="F118" s="66" t="str">
        <s:f>IF($A118="","",$C118*Inputs!$C$12)</s:f>
        <s:v/>
      </s:c>
      <s:c r="G118" s="73" t="str">
        <s:f>IF($A118="","",IF($H118="Funded",$F118,0))</s:f>
        <s:v/>
      </s:c>
      <s:c r="H118" s="70" t="n"/>
      <s:c r="I118" s="74" t="str">
        <s:f>IF($A118="","",EOMONTH($A118,0))</s:f>
        <s:v/>
      </s:c>
      <s:c r="J118" s="70" t="n"/>
      <s:c r="K118" s="70" t="n"/>
    </s:row>
    <s:row r="119">
      <s:c r="A119" s="62" t="n"/>
      <s:c r="B119" s="63" t="n"/>
      <s:c r="C119" s="64" t="n"/>
      <s:c r="D119" s="64" t="n"/>
      <s:c r="E119" s="65" t="n"/>
      <s:c r="F119" s="66" t="str">
        <s:f>IF($A119="","",$C119*Inputs!$C$12)</s:f>
        <s:v/>
      </s:c>
      <s:c r="G119" s="67" t="str">
        <s:f>IF($A119="","",IF($H119="Funded",$F119,0))</s:f>
        <s:v/>
      </s:c>
      <s:c r="H119" s="63" t="n"/>
      <s:c r="I119" s="68" t="str">
        <s:f>IF($A119="","",EOMONTH($A119,0))</s:f>
        <s:v/>
      </s:c>
      <s:c r="J119" s="63" t="n"/>
      <s:c r="K119" s="63" t="n"/>
    </s:row>
    <s:row r="120">
      <s:c r="A120" s="69" t="n"/>
      <s:c r="B120" s="70" t="n"/>
      <s:c r="C120" s="71" t="n"/>
      <s:c r="D120" s="71" t="n"/>
      <s:c r="E120" s="72" t="n"/>
      <s:c r="F120" s="66" t="str">
        <s:f>IF($A120="","",$C120*Inputs!$C$12)</s:f>
        <s:v/>
      </s:c>
      <s:c r="G120" s="73" t="str">
        <s:f>IF($A120="","",IF($H120="Funded",$F120,0))</s:f>
        <s:v/>
      </s:c>
      <s:c r="H120" s="70" t="n"/>
      <s:c r="I120" s="74" t="str">
        <s:f>IF($A120="","",EOMONTH($A120,0))</s:f>
        <s:v/>
      </s:c>
      <s:c r="J120" s="70" t="n"/>
      <s:c r="K120" s="70" t="n"/>
    </s:row>
    <s:row r="121">
      <s:c r="A121" s="62" t="n"/>
      <s:c r="B121" s="63" t="n"/>
      <s:c r="C121" s="64" t="n"/>
      <s:c r="D121" s="64" t="n"/>
      <s:c r="E121" s="65" t="n"/>
      <s:c r="F121" s="66" t="str">
        <s:f>IF($A121="","",$C121*Inputs!$C$12)</s:f>
        <s:v/>
      </s:c>
      <s:c r="G121" s="67" t="str">
        <s:f>IF($A121="","",IF($H121="Funded",$F121,0))</s:f>
        <s:v/>
      </s:c>
      <s:c r="H121" s="63" t="n"/>
      <s:c r="I121" s="68" t="str">
        <s:f>IF($A121="","",EOMONTH($A121,0))</s:f>
        <s:v/>
      </s:c>
      <s:c r="J121" s="63" t="n"/>
      <s:c r="K121" s="63" t="n"/>
    </s:row>
    <s:row r="122">
      <s:c r="A122" s="69" t="n"/>
      <s:c r="B122" s="70" t="n"/>
      <s:c r="C122" s="71" t="n"/>
      <s:c r="D122" s="71" t="n"/>
      <s:c r="E122" s="72" t="n"/>
      <s:c r="F122" s="66" t="str">
        <s:f>IF($A122="","",$C122*Inputs!$C$12)</s:f>
        <s:v/>
      </s:c>
      <s:c r="G122" s="73" t="str">
        <s:f>IF($A122="","",IF($H122="Funded",$F122,0))</s:f>
        <s:v/>
      </s:c>
      <s:c r="H122" s="70" t="n"/>
      <s:c r="I122" s="74" t="str">
        <s:f>IF($A122="","",EOMONTH($A122,0))</s:f>
        <s:v/>
      </s:c>
      <s:c r="J122" s="70" t="n"/>
      <s:c r="K122" s="70" t="n"/>
    </s:row>
    <s:row r="123">
      <s:c r="A123" s="62" t="n"/>
      <s:c r="B123" s="63" t="n"/>
      <s:c r="C123" s="64" t="n"/>
      <s:c r="D123" s="64" t="n"/>
      <s:c r="E123" s="65" t="n"/>
      <s:c r="F123" s="66" t="str">
        <s:f>IF($A123="","",$C123*Inputs!$C$12)</s:f>
        <s:v/>
      </s:c>
      <s:c r="G123" s="67" t="str">
        <s:f>IF($A123="","",IF($H123="Funded",$F123,0))</s:f>
        <s:v/>
      </s:c>
      <s:c r="H123" s="63" t="n"/>
      <s:c r="I123" s="68" t="str">
        <s:f>IF($A123="","",EOMONTH($A123,0))</s:f>
        <s:v/>
      </s:c>
      <s:c r="J123" s="63" t="n"/>
      <s:c r="K123" s="63" t="n"/>
    </s:row>
    <s:row r="124">
      <s:c r="A124" s="69" t="n"/>
      <s:c r="B124" s="70" t="n"/>
      <s:c r="C124" s="71" t="n"/>
      <s:c r="D124" s="71" t="n"/>
      <s:c r="E124" s="72" t="n"/>
      <s:c r="F124" s="66" t="str">
        <s:f>IF($A124="","",$C124*Inputs!$C$12)</s:f>
        <s:v/>
      </s:c>
      <s:c r="G124" s="73" t="str">
        <s:f>IF($A124="","",IF($H124="Funded",$F124,0))</s:f>
        <s:v/>
      </s:c>
      <s:c r="H124" s="70" t="n"/>
      <s:c r="I124" s="74" t="str">
        <s:f>IF($A124="","",EOMONTH($A124,0))</s:f>
        <s:v/>
      </s:c>
      <s:c r="J124" s="70" t="n"/>
      <s:c r="K124" s="70" t="n"/>
    </s:row>
    <s:row r="125">
      <s:c r="A125" s="62" t="n"/>
      <s:c r="B125" s="63" t="n"/>
      <s:c r="C125" s="64" t="n"/>
      <s:c r="D125" s="64" t="n"/>
      <s:c r="E125" s="65" t="n"/>
      <s:c r="F125" s="66" t="str">
        <s:f>IF($A125="","",$C125*Inputs!$C$12)</s:f>
        <s:v/>
      </s:c>
      <s:c r="G125" s="67" t="str">
        <s:f>IF($A125="","",IF($H125="Funded",$F125,0))</s:f>
        <s:v/>
      </s:c>
      <s:c r="H125" s="63" t="n"/>
      <s:c r="I125" s="68" t="str">
        <s:f>IF($A125="","",EOMONTH($A125,0))</s:f>
        <s:v/>
      </s:c>
      <s:c r="J125" s="63" t="n"/>
      <s:c r="K125" s="63" t="n"/>
    </s:row>
    <s:row r="126">
      <s:c r="A126" s="69" t="n"/>
      <s:c r="B126" s="70" t="n"/>
      <s:c r="C126" s="71" t="n"/>
      <s:c r="D126" s="71" t="n"/>
      <s:c r="E126" s="72" t="n"/>
      <s:c r="F126" s="66" t="str">
        <s:f>IF($A126="","",$C126*Inputs!$C$12)</s:f>
        <s:v/>
      </s:c>
      <s:c r="G126" s="73" t="str">
        <s:f>IF($A126="","",IF($H126="Funded",$F126,0))</s:f>
        <s:v/>
      </s:c>
      <s:c r="H126" s="70" t="n"/>
      <s:c r="I126" s="74" t="str">
        <s:f>IF($A126="","",EOMONTH($A126,0))</s:f>
        <s:v/>
      </s:c>
      <s:c r="J126" s="70" t="n"/>
      <s:c r="K126" s="70" t="n"/>
    </s:row>
    <s:row r="127">
      <s:c r="A127" s="62" t="n"/>
      <s:c r="B127" s="63" t="n"/>
      <s:c r="C127" s="64" t="n"/>
      <s:c r="D127" s="64" t="n"/>
      <s:c r="E127" s="65" t="n"/>
      <s:c r="F127" s="66" t="str">
        <s:f>IF($A127="","",$C127*Inputs!$C$12)</s:f>
        <s:v/>
      </s:c>
      <s:c r="G127" s="67" t="str">
        <s:f>IF($A127="","",IF($H127="Funded",$F127,0))</s:f>
        <s:v/>
      </s:c>
      <s:c r="H127" s="63" t="n"/>
      <s:c r="I127" s="68" t="str">
        <s:f>IF($A127="","",EOMONTH($A127,0))</s:f>
        <s:v/>
      </s:c>
      <s:c r="J127" s="63" t="n"/>
      <s:c r="K127" s="63" t="n"/>
    </s:row>
    <s:row r="128">
      <s:c r="A128" s="69" t="n"/>
      <s:c r="B128" s="70" t="n"/>
      <s:c r="C128" s="71" t="n"/>
      <s:c r="D128" s="71" t="n"/>
      <s:c r="E128" s="72" t="n"/>
      <s:c r="F128" s="66" t="str">
        <s:f>IF($A128="","",$C128*Inputs!$C$12)</s:f>
        <s:v/>
      </s:c>
      <s:c r="G128" s="73" t="str">
        <s:f>IF($A128="","",IF($H128="Funded",$F128,0))</s:f>
        <s:v/>
      </s:c>
      <s:c r="H128" s="70" t="n"/>
      <s:c r="I128" s="74" t="str">
        <s:f>IF($A128="","",EOMONTH($A128,0))</s:f>
        <s:v/>
      </s:c>
      <s:c r="J128" s="70" t="n"/>
      <s:c r="K128" s="70" t="n"/>
    </s:row>
    <s:row r="129">
      <s:c r="A129" s="62" t="n"/>
      <s:c r="B129" s="63" t="n"/>
      <s:c r="C129" s="64" t="n"/>
      <s:c r="D129" s="64" t="n"/>
      <s:c r="E129" s="65" t="n"/>
      <s:c r="F129" s="66" t="str">
        <s:f>IF($A129="","",$C129*Inputs!$C$12)</s:f>
        <s:v/>
      </s:c>
      <s:c r="G129" s="67" t="str">
        <s:f>IF($A129="","",IF($H129="Funded",$F129,0))</s:f>
        <s:v/>
      </s:c>
      <s:c r="H129" s="63" t="n"/>
      <s:c r="I129" s="68" t="str">
        <s:f>IF($A129="","",EOMONTH($A129,0))</s:f>
        <s:v/>
      </s:c>
      <s:c r="J129" s="63" t="n"/>
      <s:c r="K129" s="63" t="n"/>
    </s:row>
    <s:row r="130">
      <s:c r="A130" s="69" t="n"/>
      <s:c r="B130" s="70" t="n"/>
      <s:c r="C130" s="71" t="n"/>
      <s:c r="D130" s="71" t="n"/>
      <s:c r="E130" s="72" t="n"/>
      <s:c r="F130" s="66" t="str">
        <s:f>IF($A130="","",$C130*Inputs!$C$12)</s:f>
        <s:v/>
      </s:c>
      <s:c r="G130" s="73" t="str">
        <s:f>IF($A130="","",IF($H130="Funded",$F130,0))</s:f>
        <s:v/>
      </s:c>
      <s:c r="H130" s="70" t="n"/>
      <s:c r="I130" s="74" t="str">
        <s:f>IF($A130="","",EOMONTH($A130,0))</s:f>
        <s:v/>
      </s:c>
      <s:c r="J130" s="70" t="n"/>
      <s:c r="K130" s="70" t="n"/>
    </s:row>
    <s:row r="131">
      <s:c r="A131" s="62" t="n"/>
      <s:c r="B131" s="63" t="n"/>
      <s:c r="C131" s="64" t="n"/>
      <s:c r="D131" s="64" t="n"/>
      <s:c r="E131" s="65" t="n"/>
      <s:c r="F131" s="66" t="str">
        <s:f>IF($A131="","",$C131*Inputs!$C$12)</s:f>
        <s:v/>
      </s:c>
      <s:c r="G131" s="67" t="str">
        <s:f>IF($A131="","",IF($H131="Funded",$F131,0))</s:f>
        <s:v/>
      </s:c>
      <s:c r="H131" s="63" t="n"/>
      <s:c r="I131" s="68" t="str">
        <s:f>IF($A131="","",EOMONTH($A131,0))</s:f>
        <s:v/>
      </s:c>
      <s:c r="J131" s="63" t="n"/>
      <s:c r="K131" s="63" t="n"/>
    </s:row>
    <s:row r="132">
      <s:c r="A132" s="69" t="n"/>
      <s:c r="B132" s="70" t="n"/>
      <s:c r="C132" s="71" t="n"/>
      <s:c r="D132" s="71" t="n"/>
      <s:c r="E132" s="72" t="n"/>
      <s:c r="F132" s="66" t="str">
        <s:f>IF($A132="","",$C132*Inputs!$C$12)</s:f>
        <s:v/>
      </s:c>
      <s:c r="G132" s="73" t="str">
        <s:f>IF($A132="","",IF($H132="Funded",$F132,0))</s:f>
        <s:v/>
      </s:c>
      <s:c r="H132" s="70" t="n"/>
      <s:c r="I132" s="74" t="str">
        <s:f>IF($A132="","",EOMONTH($A132,0))</s:f>
        <s:v/>
      </s:c>
      <s:c r="J132" s="70" t="n"/>
      <s:c r="K132" s="70" t="n"/>
    </s:row>
    <s:row r="133">
      <s:c r="A133" s="62" t="n"/>
      <s:c r="B133" s="63" t="n"/>
      <s:c r="C133" s="64" t="n"/>
      <s:c r="D133" s="64" t="n"/>
      <s:c r="E133" s="65" t="n"/>
      <s:c r="F133" s="66" t="str">
        <s:f>IF($A133="","",$C133*Inputs!$C$12)</s:f>
        <s:v/>
      </s:c>
      <s:c r="G133" s="67" t="str">
        <s:f>IF($A133="","",IF($H133="Funded",$F133,0))</s:f>
        <s:v/>
      </s:c>
      <s:c r="H133" s="63" t="n"/>
      <s:c r="I133" s="68" t="str">
        <s:f>IF($A133="","",EOMONTH($A133,0))</s:f>
        <s:v/>
      </s:c>
      <s:c r="J133" s="63" t="n"/>
      <s:c r="K133" s="63" t="n"/>
    </s:row>
    <s:row r="134">
      <s:c r="A134" s="69" t="n"/>
      <s:c r="B134" s="70" t="n"/>
      <s:c r="C134" s="71" t="n"/>
      <s:c r="D134" s="71" t="n"/>
      <s:c r="E134" s="72" t="n"/>
      <s:c r="F134" s="66" t="str">
        <s:f>IF($A134="","",$C134*Inputs!$C$12)</s:f>
        <s:v/>
      </s:c>
      <s:c r="G134" s="73" t="str">
        <s:f>IF($A134="","",IF($H134="Funded",$F134,0))</s:f>
        <s:v/>
      </s:c>
      <s:c r="H134" s="70" t="n"/>
      <s:c r="I134" s="74" t="str">
        <s:f>IF($A134="","",EOMONTH($A134,0))</s:f>
        <s:v/>
      </s:c>
      <s:c r="J134" s="70" t="n"/>
      <s:c r="K134" s="70" t="n"/>
    </s:row>
    <s:row r="135">
      <s:c r="A135" s="62" t="n"/>
      <s:c r="B135" s="63" t="n"/>
      <s:c r="C135" s="64" t="n"/>
      <s:c r="D135" s="64" t="n"/>
      <s:c r="E135" s="65" t="n"/>
      <s:c r="F135" s="66" t="str">
        <s:f>IF($A135="","",$C135*Inputs!$C$12)</s:f>
        <s:v/>
      </s:c>
      <s:c r="G135" s="67" t="str">
        <s:f>IF($A135="","",IF($H135="Funded",$F135,0))</s:f>
        <s:v/>
      </s:c>
      <s:c r="H135" s="63" t="n"/>
      <s:c r="I135" s="68" t="str">
        <s:f>IF($A135="","",EOMONTH($A135,0))</s:f>
        <s:v/>
      </s:c>
      <s:c r="J135" s="63" t="n"/>
      <s:c r="K135" s="63" t="n"/>
    </s:row>
    <s:row r="136">
      <s:c r="A136" s="69" t="n"/>
      <s:c r="B136" s="70" t="n"/>
      <s:c r="C136" s="71" t="n"/>
      <s:c r="D136" s="71" t="n"/>
      <s:c r="E136" s="72" t="n"/>
      <s:c r="F136" s="66" t="str">
        <s:f>IF($A136="","",$C136*Inputs!$C$12)</s:f>
        <s:v/>
      </s:c>
      <s:c r="G136" s="73" t="str">
        <s:f>IF($A136="","",IF($H136="Funded",$F136,0))</s:f>
        <s:v/>
      </s:c>
      <s:c r="H136" s="70" t="n"/>
      <s:c r="I136" s="74" t="str">
        <s:f>IF($A136="","",EOMONTH($A136,0))</s:f>
        <s:v/>
      </s:c>
      <s:c r="J136" s="70" t="n"/>
      <s:c r="K136" s="70" t="n"/>
    </s:row>
    <s:row r="137">
      <s:c r="A137" s="62" t="n"/>
      <s:c r="B137" s="63" t="n"/>
      <s:c r="C137" s="64" t="n"/>
      <s:c r="D137" s="64" t="n"/>
      <s:c r="E137" s="65" t="n"/>
      <s:c r="F137" s="66" t="str">
        <s:f>IF($A137="","",$C137*Inputs!$C$12)</s:f>
        <s:v/>
      </s:c>
      <s:c r="G137" s="67" t="str">
        <s:f>IF($A137="","",IF($H137="Funded",$F137,0))</s:f>
        <s:v/>
      </s:c>
      <s:c r="H137" s="63" t="n"/>
      <s:c r="I137" s="68" t="str">
        <s:f>IF($A137="","",EOMONTH($A137,0))</s:f>
        <s:v/>
      </s:c>
      <s:c r="J137" s="63" t="n"/>
      <s:c r="K137" s="63" t="n"/>
    </s:row>
    <s:row r="138">
      <s:c r="A138" s="69" t="n"/>
      <s:c r="B138" s="70" t="n"/>
      <s:c r="C138" s="71" t="n"/>
      <s:c r="D138" s="71" t="n"/>
      <s:c r="E138" s="72" t="n"/>
      <s:c r="F138" s="66" t="str">
        <s:f>IF($A138="","",$C138*Inputs!$C$12)</s:f>
        <s:v/>
      </s:c>
      <s:c r="G138" s="73" t="str">
        <s:f>IF($A138="","",IF($H138="Funded",$F138,0))</s:f>
        <s:v/>
      </s:c>
      <s:c r="H138" s="70" t="n"/>
      <s:c r="I138" s="74" t="str">
        <s:f>IF($A138="","",EOMONTH($A138,0))</s:f>
        <s:v/>
      </s:c>
      <s:c r="J138" s="70" t="n"/>
      <s:c r="K138" s="70" t="n"/>
    </s:row>
    <s:row r="139">
      <s:c r="A139" s="62" t="n"/>
      <s:c r="B139" s="63" t="n"/>
      <s:c r="C139" s="64" t="n"/>
      <s:c r="D139" s="64" t="n"/>
      <s:c r="E139" s="65" t="n"/>
      <s:c r="F139" s="66" t="str">
        <s:f>IF($A139="","",$C139*Inputs!$C$12)</s:f>
        <s:v/>
      </s:c>
      <s:c r="G139" s="67" t="str">
        <s:f>IF($A139="","",IF($H139="Funded",$F139,0))</s:f>
        <s:v/>
      </s:c>
      <s:c r="H139" s="63" t="n"/>
      <s:c r="I139" s="68" t="str">
        <s:f>IF($A139="","",EOMONTH($A139,0))</s:f>
        <s:v/>
      </s:c>
      <s:c r="J139" s="63" t="n"/>
      <s:c r="K139" s="63" t="n"/>
    </s:row>
    <s:row r="140">
      <s:c r="A140" s="69" t="n"/>
      <s:c r="B140" s="70" t="n"/>
      <s:c r="C140" s="71" t="n"/>
      <s:c r="D140" s="71" t="n"/>
      <s:c r="E140" s="72" t="n"/>
      <s:c r="F140" s="66" t="str">
        <s:f>IF($A140="","",$C140*Inputs!$C$12)</s:f>
        <s:v/>
      </s:c>
      <s:c r="G140" s="73" t="str">
        <s:f>IF($A140="","",IF($H140="Funded",$F140,0))</s:f>
        <s:v/>
      </s:c>
      <s:c r="H140" s="70" t="n"/>
      <s:c r="I140" s="74" t="str">
        <s:f>IF($A140="","",EOMONTH($A140,0))</s:f>
        <s:v/>
      </s:c>
      <s:c r="J140" s="70" t="n"/>
      <s:c r="K140" s="70" t="n"/>
    </s:row>
    <s:row r="141">
      <s:c r="A141" s="62" t="n"/>
      <s:c r="B141" s="63" t="n"/>
      <s:c r="C141" s="64" t="n"/>
      <s:c r="D141" s="64" t="n"/>
      <s:c r="E141" s="65" t="n"/>
      <s:c r="F141" s="66" t="str">
        <s:f>IF($A141="","",$C141*Inputs!$C$12)</s:f>
        <s:v/>
      </s:c>
      <s:c r="G141" s="67" t="str">
        <s:f>IF($A141="","",IF($H141="Funded",$F141,0))</s:f>
        <s:v/>
      </s:c>
      <s:c r="H141" s="63" t="n"/>
      <s:c r="I141" s="68" t="str">
        <s:f>IF($A141="","",EOMONTH($A141,0))</s:f>
        <s:v/>
      </s:c>
      <s:c r="J141" s="63" t="n"/>
      <s:c r="K141" s="63" t="n"/>
    </s:row>
    <s:row r="142">
      <s:c r="A142" s="69" t="n"/>
      <s:c r="B142" s="70" t="n"/>
      <s:c r="C142" s="71" t="n"/>
      <s:c r="D142" s="71" t="n"/>
      <s:c r="E142" s="72" t="n"/>
      <s:c r="F142" s="66" t="str">
        <s:f>IF($A142="","",$C142*Inputs!$C$12)</s:f>
        <s:v/>
      </s:c>
      <s:c r="G142" s="73" t="str">
        <s:f>IF($A142="","",IF($H142="Funded",$F142,0))</s:f>
        <s:v/>
      </s:c>
      <s:c r="H142" s="70" t="n"/>
      <s:c r="I142" s="74" t="str">
        <s:f>IF($A142="","",EOMONTH($A142,0))</s:f>
        <s:v/>
      </s:c>
      <s:c r="J142" s="70" t="n"/>
      <s:c r="K142" s="70" t="n"/>
    </s:row>
    <s:row r="143">
      <s:c r="A143" s="62" t="n"/>
      <s:c r="B143" s="63" t="n"/>
      <s:c r="C143" s="64" t="n"/>
      <s:c r="D143" s="64" t="n"/>
      <s:c r="E143" s="65" t="n"/>
      <s:c r="F143" s="66" t="str">
        <s:f>IF($A143="","",$C143*Inputs!$C$12)</s:f>
        <s:v/>
      </s:c>
      <s:c r="G143" s="67" t="str">
        <s:f>IF($A143="","",IF($H143="Funded",$F143,0))</s:f>
        <s:v/>
      </s:c>
      <s:c r="H143" s="63" t="n"/>
      <s:c r="I143" s="68" t="str">
        <s:f>IF($A143="","",EOMONTH($A143,0))</s:f>
        <s:v/>
      </s:c>
      <s:c r="J143" s="63" t="n"/>
      <s:c r="K143" s="63" t="n"/>
    </s:row>
    <s:row r="144">
      <s:c r="A144" s="69" t="n"/>
      <s:c r="B144" s="70" t="n"/>
      <s:c r="C144" s="71" t="n"/>
      <s:c r="D144" s="71" t="n"/>
      <s:c r="E144" s="72" t="n"/>
      <s:c r="F144" s="66" t="str">
        <s:f>IF($A144="","",$C144*Inputs!$C$12)</s:f>
        <s:v/>
      </s:c>
      <s:c r="G144" s="73" t="str">
        <s:f>IF($A144="","",IF($H144="Funded",$F144,0))</s:f>
        <s:v/>
      </s:c>
      <s:c r="H144" s="70" t="n"/>
      <s:c r="I144" s="74" t="str">
        <s:f>IF($A144="","",EOMONTH($A144,0))</s:f>
        <s:v/>
      </s:c>
      <s:c r="J144" s="70" t="n"/>
      <s:c r="K144" s="70" t="n"/>
    </s:row>
    <s:row r="145">
      <s:c r="A145" s="62" t="n"/>
      <s:c r="B145" s="63" t="n"/>
      <s:c r="C145" s="64" t="n"/>
      <s:c r="D145" s="64" t="n"/>
      <s:c r="E145" s="65" t="n"/>
      <s:c r="F145" s="66" t="str">
        <s:f>IF($A145="","",$C145*Inputs!$C$12)</s:f>
        <s:v/>
      </s:c>
      <s:c r="G145" s="67" t="str">
        <s:f>IF($A145="","",IF($H145="Funded",$F145,0))</s:f>
        <s:v/>
      </s:c>
      <s:c r="H145" s="63" t="n"/>
      <s:c r="I145" s="68" t="str">
        <s:f>IF($A145="","",EOMONTH($A145,0))</s:f>
        <s:v/>
      </s:c>
      <s:c r="J145" s="63" t="n"/>
      <s:c r="K145" s="63" t="n"/>
    </s:row>
    <s:row r="146">
      <s:c r="A146" s="69" t="n"/>
      <s:c r="B146" s="70" t="n"/>
      <s:c r="C146" s="71" t="n"/>
      <s:c r="D146" s="71" t="n"/>
      <s:c r="E146" s="72" t="n"/>
      <s:c r="F146" s="66" t="str">
        <s:f>IF($A146="","",$C146*Inputs!$C$12)</s:f>
        <s:v/>
      </s:c>
      <s:c r="G146" s="73" t="str">
        <s:f>IF($A146="","",IF($H146="Funded",$F146,0))</s:f>
        <s:v/>
      </s:c>
      <s:c r="H146" s="70" t="n"/>
      <s:c r="I146" s="74" t="str">
        <s:f>IF($A146="","",EOMONTH($A146,0))</s:f>
        <s:v/>
      </s:c>
      <s:c r="J146" s="70" t="n"/>
      <s:c r="K146" s="70" t="n"/>
    </s:row>
    <s:row r="147">
      <s:c r="A147" s="62" t="n"/>
      <s:c r="B147" s="63" t="n"/>
      <s:c r="C147" s="64" t="n"/>
      <s:c r="D147" s="64" t="n"/>
      <s:c r="E147" s="65" t="n"/>
      <s:c r="F147" s="66" t="str">
        <s:f>IF($A147="","",$C147*Inputs!$C$12)</s:f>
        <s:v/>
      </s:c>
      <s:c r="G147" s="67" t="str">
        <s:f>IF($A147="","",IF($H147="Funded",$F147,0))</s:f>
        <s:v/>
      </s:c>
      <s:c r="H147" s="63" t="n"/>
      <s:c r="I147" s="68" t="str">
        <s:f>IF($A147="","",EOMONTH($A147,0))</s:f>
        <s:v/>
      </s:c>
      <s:c r="J147" s="63" t="n"/>
      <s:c r="K147" s="63" t="n"/>
    </s:row>
    <s:row r="148">
      <s:c r="A148" s="69" t="n"/>
      <s:c r="B148" s="70" t="n"/>
      <s:c r="C148" s="71" t="n"/>
      <s:c r="D148" s="71" t="n"/>
      <s:c r="E148" s="72" t="n"/>
      <s:c r="F148" s="66" t="str">
        <s:f>IF($A148="","",$C148*Inputs!$C$12)</s:f>
        <s:v/>
      </s:c>
      <s:c r="G148" s="73" t="str">
        <s:f>IF($A148="","",IF($H148="Funded",$F148,0))</s:f>
        <s:v/>
      </s:c>
      <s:c r="H148" s="70" t="n"/>
      <s:c r="I148" s="74" t="str">
        <s:f>IF($A148="","",EOMONTH($A148,0))</s:f>
        <s:v/>
      </s:c>
      <s:c r="J148" s="70" t="n"/>
      <s:c r="K148" s="70" t="n"/>
    </s:row>
    <s:row r="149">
      <s:c r="A149" s="62" t="n"/>
      <s:c r="B149" s="63" t="n"/>
      <s:c r="C149" s="64" t="n"/>
      <s:c r="D149" s="64" t="n"/>
      <s:c r="E149" s="65" t="n"/>
      <s:c r="F149" s="66" t="str">
        <s:f>IF($A149="","",$C149*Inputs!$C$12)</s:f>
        <s:v/>
      </s:c>
      <s:c r="G149" s="67" t="str">
        <s:f>IF($A149="","",IF($H149="Funded",$F149,0))</s:f>
        <s:v/>
      </s:c>
      <s:c r="H149" s="63" t="n"/>
      <s:c r="I149" s="68" t="str">
        <s:f>IF($A149="","",EOMONTH($A149,0))</s:f>
        <s:v/>
      </s:c>
      <s:c r="J149" s="63" t="n"/>
      <s:c r="K149" s="63" t="n"/>
    </s:row>
    <s:row r="150">
      <s:c r="A150" s="69" t="n"/>
      <s:c r="B150" s="70" t="n"/>
      <s:c r="C150" s="71" t="n"/>
      <s:c r="D150" s="71" t="n"/>
      <s:c r="E150" s="72" t="n"/>
      <s:c r="F150" s="66" t="str">
        <s:f>IF($A150="","",$C150*Inputs!$C$12)</s:f>
        <s:v/>
      </s:c>
      <s:c r="G150" s="73" t="str">
        <s:f>IF($A150="","",IF($H150="Funded",$F150,0))</s:f>
        <s:v/>
      </s:c>
      <s:c r="H150" s="70" t="n"/>
      <s:c r="I150" s="74" t="str">
        <s:f>IF($A150="","",EOMONTH($A150,0))</s:f>
        <s:v/>
      </s:c>
      <s:c r="J150" s="70" t="n"/>
      <s:c r="K150" s="70" t="n"/>
    </s:row>
    <s:row r="151">
      <s:c r="A151" s="62" t="n"/>
      <s:c r="B151" s="63" t="n"/>
      <s:c r="C151" s="64" t="n"/>
      <s:c r="D151" s="64" t="n"/>
      <s:c r="E151" s="65" t="n"/>
      <s:c r="F151" s="66" t="str">
        <s:f>IF($A151="","",$C151*Inputs!$C$12)</s:f>
        <s:v/>
      </s:c>
      <s:c r="G151" s="67" t="str">
        <s:f>IF($A151="","",IF($H151="Funded",$F151,0))</s:f>
        <s:v/>
      </s:c>
      <s:c r="H151" s="63" t="n"/>
      <s:c r="I151" s="68" t="str">
        <s:f>IF($A151="","",EOMONTH($A151,0))</s:f>
        <s:v/>
      </s:c>
      <s:c r="J151" s="63" t="n"/>
      <s:c r="K151" s="63" t="n"/>
    </s:row>
    <s:row r="152">
      <s:c r="A152" s="69" t="n"/>
      <s:c r="B152" s="70" t="n"/>
      <s:c r="C152" s="71" t="n"/>
      <s:c r="D152" s="71" t="n"/>
      <s:c r="E152" s="72" t="n"/>
      <s:c r="F152" s="66" t="str">
        <s:f>IF($A152="","",$C152*Inputs!$C$12)</s:f>
        <s:v/>
      </s:c>
      <s:c r="G152" s="73" t="str">
        <s:f>IF($A152="","",IF($H152="Funded",$F152,0))</s:f>
        <s:v/>
      </s:c>
      <s:c r="H152" s="70" t="n"/>
      <s:c r="I152" s="74" t="str">
        <s:f>IF($A152="","",EOMONTH($A152,0))</s:f>
        <s:v/>
      </s:c>
      <s:c r="J152" s="70" t="n"/>
      <s:c r="K152" s="70" t="n"/>
    </s:row>
    <s:row r="153">
      <s:c r="A153" s="62" t="n"/>
      <s:c r="B153" s="63" t="n"/>
      <s:c r="C153" s="64" t="n"/>
      <s:c r="D153" s="64" t="n"/>
      <s:c r="E153" s="65" t="n"/>
      <s:c r="F153" s="66" t="str">
        <s:f>IF($A153="","",$C153*Inputs!$C$12)</s:f>
        <s:v/>
      </s:c>
      <s:c r="G153" s="67" t="str">
        <s:f>IF($A153="","",IF($H153="Funded",$F153,0))</s:f>
        <s:v/>
      </s:c>
      <s:c r="H153" s="63" t="n"/>
      <s:c r="I153" s="68" t="str">
        <s:f>IF($A153="","",EOMONTH($A153,0))</s:f>
        <s:v/>
      </s:c>
      <s:c r="J153" s="63" t="n"/>
      <s:c r="K153" s="63" t="n"/>
    </s:row>
    <s:row r="154">
      <s:c r="A154" s="69" t="n"/>
      <s:c r="B154" s="70" t="n"/>
      <s:c r="C154" s="71" t="n"/>
      <s:c r="D154" s="71" t="n"/>
      <s:c r="E154" s="72" t="n"/>
      <s:c r="F154" s="66" t="str">
        <s:f>IF($A154="","",$C154*Inputs!$C$12)</s:f>
        <s:v/>
      </s:c>
      <s:c r="G154" s="73" t="str">
        <s:f>IF($A154="","",IF($H154="Funded",$F154,0))</s:f>
        <s:v/>
      </s:c>
      <s:c r="H154" s="70" t="n"/>
      <s:c r="I154" s="74" t="str">
        <s:f>IF($A154="","",EOMONTH($A154,0))</s:f>
        <s:v/>
      </s:c>
      <s:c r="J154" s="70" t="n"/>
      <s:c r="K154" s="70" t="n"/>
    </s:row>
    <s:row r="155">
      <s:c r="A155" s="62" t="n"/>
      <s:c r="B155" s="63" t="n"/>
      <s:c r="C155" s="64" t="n"/>
      <s:c r="D155" s="64" t="n"/>
      <s:c r="E155" s="65" t="n"/>
      <s:c r="F155" s="66" t="str">
        <s:f>IF($A155="","",$C155*Inputs!$C$12)</s:f>
        <s:v/>
      </s:c>
      <s:c r="G155" s="67" t="str">
        <s:f>IF($A155="","",IF($H155="Funded",$F155,0))</s:f>
        <s:v/>
      </s:c>
      <s:c r="H155" s="63" t="n"/>
      <s:c r="I155" s="68" t="str">
        <s:f>IF($A155="","",EOMONTH($A155,0))</s:f>
        <s:v/>
      </s:c>
      <s:c r="J155" s="63" t="n"/>
      <s:c r="K155" s="63" t="n"/>
    </s:row>
    <s:row r="156">
      <s:c r="A156" s="69" t="n"/>
      <s:c r="B156" s="70" t="n"/>
      <s:c r="C156" s="71" t="n"/>
      <s:c r="D156" s="71" t="n"/>
      <s:c r="E156" s="72" t="n"/>
      <s:c r="F156" s="66" t="str">
        <s:f>IF($A156="","",$C156*Inputs!$C$12)</s:f>
        <s:v/>
      </s:c>
      <s:c r="G156" s="73" t="str">
        <s:f>IF($A156="","",IF($H156="Funded",$F156,0))</s:f>
        <s:v/>
      </s:c>
      <s:c r="H156" s="70" t="n"/>
      <s:c r="I156" s="74" t="str">
        <s:f>IF($A156="","",EOMONTH($A156,0))</s:f>
        <s:v/>
      </s:c>
      <s:c r="J156" s="70" t="n"/>
      <s:c r="K156" s="70" t="n"/>
    </s:row>
    <s:row r="157">
      <s:c r="A157" s="62" t="n"/>
      <s:c r="B157" s="63" t="n"/>
      <s:c r="C157" s="64" t="n"/>
      <s:c r="D157" s="64" t="n"/>
      <s:c r="E157" s="65" t="n"/>
      <s:c r="F157" s="66" t="str">
        <s:f>IF($A157="","",$C157*Inputs!$C$12)</s:f>
        <s:v/>
      </s:c>
      <s:c r="G157" s="67" t="str">
        <s:f>IF($A157="","",IF($H157="Funded",$F157,0))</s:f>
        <s:v/>
      </s:c>
      <s:c r="H157" s="63" t="n"/>
      <s:c r="I157" s="68" t="str">
        <s:f>IF($A157="","",EOMONTH($A157,0))</s:f>
        <s:v/>
      </s:c>
      <s:c r="J157" s="63" t="n"/>
      <s:c r="K157" s="63" t="n"/>
    </s:row>
    <s:row r="158">
      <s:c r="A158" s="69" t="n"/>
      <s:c r="B158" s="70" t="n"/>
      <s:c r="C158" s="71" t="n"/>
      <s:c r="D158" s="71" t="n"/>
      <s:c r="E158" s="72" t="n"/>
      <s:c r="F158" s="66" t="str">
        <s:f>IF($A158="","",$C158*Inputs!$C$12)</s:f>
        <s:v/>
      </s:c>
      <s:c r="G158" s="73" t="str">
        <s:f>IF($A158="","",IF($H158="Funded",$F158,0))</s:f>
        <s:v/>
      </s:c>
      <s:c r="H158" s="70" t="n"/>
      <s:c r="I158" s="74" t="str">
        <s:f>IF($A158="","",EOMONTH($A158,0))</s:f>
        <s:v/>
      </s:c>
      <s:c r="J158" s="70" t="n"/>
      <s:c r="K158" s="70" t="n"/>
    </s:row>
    <s:row r="159">
      <s:c r="A159" s="62" t="n"/>
      <s:c r="B159" s="63" t="n"/>
      <s:c r="C159" s="64" t="n"/>
      <s:c r="D159" s="64" t="n"/>
      <s:c r="E159" s="65" t="n"/>
      <s:c r="F159" s="66" t="str">
        <s:f>IF($A159="","",$C159*Inputs!$C$12)</s:f>
        <s:v/>
      </s:c>
      <s:c r="G159" s="67" t="str">
        <s:f>IF($A159="","",IF($H159="Funded",$F159,0))</s:f>
        <s:v/>
      </s:c>
      <s:c r="H159" s="63" t="n"/>
      <s:c r="I159" s="68" t="str">
        <s:f>IF($A159="","",EOMONTH($A159,0))</s:f>
        <s:v/>
      </s:c>
      <s:c r="J159" s="63" t="n"/>
      <s:c r="K159" s="63" t="n"/>
    </s:row>
    <s:row r="160">
      <s:c r="A160" s="69" t="n"/>
      <s:c r="B160" s="70" t="n"/>
      <s:c r="C160" s="71" t="n"/>
      <s:c r="D160" s="71" t="n"/>
      <s:c r="E160" s="72" t="n"/>
      <s:c r="F160" s="66" t="str">
        <s:f>IF($A160="","",$C160*Inputs!$C$12)</s:f>
        <s:v/>
      </s:c>
      <s:c r="G160" s="73" t="str">
        <s:f>IF($A160="","",IF($H160="Funded",$F160,0))</s:f>
        <s:v/>
      </s:c>
      <s:c r="H160" s="70" t="n"/>
      <s:c r="I160" s="74" t="str">
        <s:f>IF($A160="","",EOMONTH($A160,0))</s:f>
        <s:v/>
      </s:c>
      <s:c r="J160" s="70" t="n"/>
      <s:c r="K160" s="70" t="n"/>
    </s:row>
    <s:row r="161">
      <s:c r="A161" s="62" t="n"/>
      <s:c r="B161" s="63" t="n"/>
      <s:c r="C161" s="64" t="n"/>
      <s:c r="D161" s="64" t="n"/>
      <s:c r="E161" s="65" t="n"/>
      <s:c r="F161" s="66" t="str">
        <s:f>IF($A161="","",$C161*Inputs!$C$12)</s:f>
        <s:v/>
      </s:c>
      <s:c r="G161" s="67" t="str">
        <s:f>IF($A161="","",IF($H161="Funded",$F161,0))</s:f>
        <s:v/>
      </s:c>
      <s:c r="H161" s="63" t="n"/>
      <s:c r="I161" s="68" t="str">
        <s:f>IF($A161="","",EOMONTH($A161,0))</s:f>
        <s:v/>
      </s:c>
      <s:c r="J161" s="63" t="n"/>
      <s:c r="K161" s="63" t="n"/>
    </s:row>
    <s:row r="162">
      <s:c r="A162" s="69" t="n"/>
      <s:c r="B162" s="70" t="n"/>
      <s:c r="C162" s="71" t="n"/>
      <s:c r="D162" s="71" t="n"/>
      <s:c r="E162" s="72" t="n"/>
      <s:c r="F162" s="66" t="str">
        <s:f>IF($A162="","",$C162*Inputs!$C$12)</s:f>
        <s:v/>
      </s:c>
      <s:c r="G162" s="73" t="str">
        <s:f>IF($A162="","",IF($H162="Funded",$F162,0))</s:f>
        <s:v/>
      </s:c>
      <s:c r="H162" s="70" t="n"/>
      <s:c r="I162" s="74" t="str">
        <s:f>IF($A162="","",EOMONTH($A162,0))</s:f>
        <s:v/>
      </s:c>
      <s:c r="J162" s="70" t="n"/>
      <s:c r="K162" s="70" t="n"/>
    </s:row>
    <s:row r="163">
      <s:c r="A163" s="62" t="n"/>
      <s:c r="B163" s="63" t="n"/>
      <s:c r="C163" s="64" t="n"/>
      <s:c r="D163" s="64" t="n"/>
      <s:c r="E163" s="65" t="n"/>
      <s:c r="F163" s="66" t="str">
        <s:f>IF($A163="","",$C163*Inputs!$C$12)</s:f>
        <s:v/>
      </s:c>
      <s:c r="G163" s="67" t="str">
        <s:f>IF($A163="","",IF($H163="Funded",$F163,0))</s:f>
        <s:v/>
      </s:c>
      <s:c r="H163" s="63" t="n"/>
      <s:c r="I163" s="68" t="str">
        <s:f>IF($A163="","",EOMONTH($A163,0))</s:f>
        <s:v/>
      </s:c>
      <s:c r="J163" s="63" t="n"/>
      <s:c r="K163" s="63" t="n"/>
    </s:row>
    <s:row r="164">
      <s:c r="A164" s="69" t="n"/>
      <s:c r="B164" s="70" t="n"/>
      <s:c r="C164" s="71" t="n"/>
      <s:c r="D164" s="71" t="n"/>
      <s:c r="E164" s="72" t="n"/>
      <s:c r="F164" s="66" t="str">
        <s:f>IF($A164="","",$C164*Inputs!$C$12)</s:f>
        <s:v/>
      </s:c>
      <s:c r="G164" s="73" t="str">
        <s:f>IF($A164="","",IF($H164="Funded",$F164,0))</s:f>
        <s:v/>
      </s:c>
      <s:c r="H164" s="70" t="n"/>
      <s:c r="I164" s="74" t="str">
        <s:f>IF($A164="","",EOMONTH($A164,0))</s:f>
        <s:v/>
      </s:c>
      <s:c r="J164" s="70" t="n"/>
      <s:c r="K164" s="70" t="n"/>
    </s:row>
    <s:row r="165">
      <s:c r="A165" s="62" t="n"/>
      <s:c r="B165" s="63" t="n"/>
      <s:c r="C165" s="64" t="n"/>
      <s:c r="D165" s="64" t="n"/>
      <s:c r="E165" s="65" t="n"/>
      <s:c r="F165" s="66" t="str">
        <s:f>IF($A165="","",$C165*Inputs!$C$12)</s:f>
        <s:v/>
      </s:c>
      <s:c r="G165" s="67" t="str">
        <s:f>IF($A165="","",IF($H165="Funded",$F165,0))</s:f>
        <s:v/>
      </s:c>
      <s:c r="H165" s="63" t="n"/>
      <s:c r="I165" s="68" t="str">
        <s:f>IF($A165="","",EOMONTH($A165,0))</s:f>
        <s:v/>
      </s:c>
      <s:c r="J165" s="63" t="n"/>
      <s:c r="K165" s="63" t="n"/>
    </s:row>
    <s:row r="166">
      <s:c r="A166" s="69" t="n"/>
      <s:c r="B166" s="70" t="n"/>
      <s:c r="C166" s="71" t="n"/>
      <s:c r="D166" s="71" t="n"/>
      <s:c r="E166" s="72" t="n"/>
      <s:c r="F166" s="66" t="str">
        <s:f>IF($A166="","",$C166*Inputs!$C$12)</s:f>
        <s:v/>
      </s:c>
      <s:c r="G166" s="73" t="str">
        <s:f>IF($A166="","",IF($H166="Funded",$F166,0))</s:f>
        <s:v/>
      </s:c>
      <s:c r="H166" s="70" t="n"/>
      <s:c r="I166" s="74" t="str">
        <s:f>IF($A166="","",EOMONTH($A166,0))</s:f>
        <s:v/>
      </s:c>
      <s:c r="J166" s="70" t="n"/>
      <s:c r="K166" s="70" t="n"/>
    </s:row>
    <s:row r="167">
      <s:c r="A167" s="62" t="n"/>
      <s:c r="B167" s="63" t="n"/>
      <s:c r="C167" s="64" t="n"/>
      <s:c r="D167" s="64" t="n"/>
      <s:c r="E167" s="65" t="n"/>
      <s:c r="F167" s="66" t="str">
        <s:f>IF($A167="","",$C167*Inputs!$C$12)</s:f>
        <s:v/>
      </s:c>
      <s:c r="G167" s="67" t="str">
        <s:f>IF($A167="","",IF($H167="Funded",$F167,0))</s:f>
        <s:v/>
      </s:c>
      <s:c r="H167" s="63" t="n"/>
      <s:c r="I167" s="68" t="str">
        <s:f>IF($A167="","",EOMONTH($A167,0))</s:f>
        <s:v/>
      </s:c>
      <s:c r="J167" s="63" t="n"/>
      <s:c r="K167" s="63" t="n"/>
    </s:row>
    <s:row r="168">
      <s:c r="A168" s="69" t="n"/>
      <s:c r="B168" s="70" t="n"/>
      <s:c r="C168" s="71" t="n"/>
      <s:c r="D168" s="71" t="n"/>
      <s:c r="E168" s="72" t="n"/>
      <s:c r="F168" s="66" t="str">
        <s:f>IF($A168="","",$C168*Inputs!$C$12)</s:f>
        <s:v/>
      </s:c>
      <s:c r="G168" s="73" t="str">
        <s:f>IF($A168="","",IF($H168="Funded",$F168,0))</s:f>
        <s:v/>
      </s:c>
      <s:c r="H168" s="70" t="n"/>
      <s:c r="I168" s="74" t="str">
        <s:f>IF($A168="","",EOMONTH($A168,0))</s:f>
        <s:v/>
      </s:c>
      <s:c r="J168" s="70" t="n"/>
      <s:c r="K168" s="70" t="n"/>
    </s:row>
    <s:row r="169">
      <s:c r="A169" s="62" t="n"/>
      <s:c r="B169" s="63" t="n"/>
      <s:c r="C169" s="64" t="n"/>
      <s:c r="D169" s="64" t="n"/>
      <s:c r="E169" s="65" t="n"/>
      <s:c r="F169" s="66" t="str">
        <s:f>IF($A169="","",$C169*Inputs!$C$12)</s:f>
        <s:v/>
      </s:c>
      <s:c r="G169" s="67" t="str">
        <s:f>IF($A169="","",IF($H169="Funded",$F169,0))</s:f>
        <s:v/>
      </s:c>
      <s:c r="H169" s="63" t="n"/>
      <s:c r="I169" s="68" t="str">
        <s:f>IF($A169="","",EOMONTH($A169,0))</s:f>
        <s:v/>
      </s:c>
      <s:c r="J169" s="63" t="n"/>
      <s:c r="K169" s="63" t="n"/>
    </s:row>
    <s:row r="170">
      <s:c r="A170" s="69" t="n"/>
      <s:c r="B170" s="70" t="n"/>
      <s:c r="C170" s="71" t="n"/>
      <s:c r="D170" s="71" t="n"/>
      <s:c r="E170" s="72" t="n"/>
      <s:c r="F170" s="66" t="str">
        <s:f>IF($A170="","",$C170*Inputs!$C$12)</s:f>
        <s:v/>
      </s:c>
      <s:c r="G170" s="73" t="str">
        <s:f>IF($A170="","",IF($H170="Funded",$F170,0))</s:f>
        <s:v/>
      </s:c>
      <s:c r="H170" s="70" t="n"/>
      <s:c r="I170" s="74" t="str">
        <s:f>IF($A170="","",EOMONTH($A170,0))</s:f>
        <s:v/>
      </s:c>
      <s:c r="J170" s="70" t="n"/>
      <s:c r="K170" s="70" t="n"/>
    </s:row>
    <s:row r="171">
      <s:c r="A171" s="62" t="n"/>
      <s:c r="B171" s="63" t="n"/>
      <s:c r="C171" s="64" t="n"/>
      <s:c r="D171" s="64" t="n"/>
      <s:c r="E171" s="65" t="n"/>
      <s:c r="F171" s="66" t="str">
        <s:f>IF($A171="","",$C171*Inputs!$C$12)</s:f>
        <s:v/>
      </s:c>
      <s:c r="G171" s="67" t="str">
        <s:f>IF($A171="","",IF($H171="Funded",$F171,0))</s:f>
        <s:v/>
      </s:c>
      <s:c r="H171" s="63" t="n"/>
      <s:c r="I171" s="68" t="str">
        <s:f>IF($A171="","",EOMONTH($A171,0))</s:f>
        <s:v/>
      </s:c>
      <s:c r="J171" s="63" t="n"/>
      <s:c r="K171" s="63" t="n"/>
    </s:row>
    <s:row r="172">
      <s:c r="A172" s="69" t="n"/>
      <s:c r="B172" s="70" t="n"/>
      <s:c r="C172" s="71" t="n"/>
      <s:c r="D172" s="71" t="n"/>
      <s:c r="E172" s="72" t="n"/>
      <s:c r="F172" s="66" t="str">
        <s:f>IF($A172="","",$C172*Inputs!$C$12)</s:f>
        <s:v/>
      </s:c>
      <s:c r="G172" s="73" t="str">
        <s:f>IF($A172="","",IF($H172="Funded",$F172,0))</s:f>
        <s:v/>
      </s:c>
      <s:c r="H172" s="70" t="n"/>
      <s:c r="I172" s="74" t="str">
        <s:f>IF($A172="","",EOMONTH($A172,0))</s:f>
        <s:v/>
      </s:c>
      <s:c r="J172" s="70" t="n"/>
      <s:c r="K172" s="70" t="n"/>
    </s:row>
    <s:row r="173">
      <s:c r="A173" s="62" t="n"/>
      <s:c r="B173" s="63" t="n"/>
      <s:c r="C173" s="64" t="n"/>
      <s:c r="D173" s="64" t="n"/>
      <s:c r="E173" s="65" t="n"/>
      <s:c r="F173" s="66" t="str">
        <s:f>IF($A173="","",$C173*Inputs!$C$12)</s:f>
        <s:v/>
      </s:c>
      <s:c r="G173" s="67" t="str">
        <s:f>IF($A173="","",IF($H173="Funded",$F173,0))</s:f>
        <s:v/>
      </s:c>
      <s:c r="H173" s="63" t="n"/>
      <s:c r="I173" s="68" t="str">
        <s:f>IF($A173="","",EOMONTH($A173,0))</s:f>
        <s:v/>
      </s:c>
      <s:c r="J173" s="63" t="n"/>
      <s:c r="K173" s="63" t="n"/>
    </s:row>
    <s:row r="174">
      <s:c r="A174" s="69" t="n"/>
      <s:c r="B174" s="70" t="n"/>
      <s:c r="C174" s="71" t="n"/>
      <s:c r="D174" s="71" t="n"/>
      <s:c r="E174" s="72" t="n"/>
      <s:c r="F174" s="66" t="str">
        <s:f>IF($A174="","",$C174*Inputs!$C$12)</s:f>
        <s:v/>
      </s:c>
      <s:c r="G174" s="73" t="str">
        <s:f>IF($A174="","",IF($H174="Funded",$F174,0))</s:f>
        <s:v/>
      </s:c>
      <s:c r="H174" s="70" t="n"/>
      <s:c r="I174" s="74" t="str">
        <s:f>IF($A174="","",EOMONTH($A174,0))</s:f>
        <s:v/>
      </s:c>
      <s:c r="J174" s="70" t="n"/>
      <s:c r="K174" s="70" t="n"/>
    </s:row>
    <s:row r="175">
      <s:c r="A175" s="62" t="n"/>
      <s:c r="B175" s="63" t="n"/>
      <s:c r="C175" s="64" t="n"/>
      <s:c r="D175" s="64" t="n"/>
      <s:c r="E175" s="65" t="n"/>
      <s:c r="F175" s="66" t="str">
        <s:f>IF($A175="","",$C175*Inputs!$C$12)</s:f>
        <s:v/>
      </s:c>
      <s:c r="G175" s="67" t="str">
        <s:f>IF($A175="","",IF($H175="Funded",$F175,0))</s:f>
        <s:v/>
      </s:c>
      <s:c r="H175" s="63" t="n"/>
      <s:c r="I175" s="68" t="str">
        <s:f>IF($A175="","",EOMONTH($A175,0))</s:f>
        <s:v/>
      </s:c>
      <s:c r="J175" s="63" t="n"/>
      <s:c r="K175" s="63" t="n"/>
    </s:row>
    <s:row r="176">
      <s:c r="A176" s="69" t="n"/>
      <s:c r="B176" s="70" t="n"/>
      <s:c r="C176" s="71" t="n"/>
      <s:c r="D176" s="71" t="n"/>
      <s:c r="E176" s="72" t="n"/>
      <s:c r="F176" s="66" t="str">
        <s:f>IF($A176="","",$C176*Inputs!$C$12)</s:f>
        <s:v/>
      </s:c>
      <s:c r="G176" s="73" t="str">
        <s:f>IF($A176="","",IF($H176="Funded",$F176,0))</s:f>
        <s:v/>
      </s:c>
      <s:c r="H176" s="70" t="n"/>
      <s:c r="I176" s="74" t="str">
        <s:f>IF($A176="","",EOMONTH($A176,0))</s:f>
        <s:v/>
      </s:c>
      <s:c r="J176" s="70" t="n"/>
      <s:c r="K176" s="70" t="n"/>
    </s:row>
    <s:row r="177">
      <s:c r="A177" s="62" t="n"/>
      <s:c r="B177" s="63" t="n"/>
      <s:c r="C177" s="64" t="n"/>
      <s:c r="D177" s="64" t="n"/>
      <s:c r="E177" s="65" t="n"/>
      <s:c r="F177" s="66" t="str">
        <s:f>IF($A177="","",$C177*Inputs!$C$12)</s:f>
        <s:v/>
      </s:c>
      <s:c r="G177" s="67" t="str">
        <s:f>IF($A177="","",IF($H177="Funded",$F177,0))</s:f>
        <s:v/>
      </s:c>
      <s:c r="H177" s="63" t="n"/>
      <s:c r="I177" s="68" t="str">
        <s:f>IF($A177="","",EOMONTH($A177,0))</s:f>
        <s:v/>
      </s:c>
      <s:c r="J177" s="63" t="n"/>
      <s:c r="K177" s="63" t="n"/>
    </s:row>
    <s:row r="178">
      <s:c r="A178" s="69" t="n"/>
      <s:c r="B178" s="70" t="n"/>
      <s:c r="C178" s="71" t="n"/>
      <s:c r="D178" s="71" t="n"/>
      <s:c r="E178" s="72" t="n"/>
      <s:c r="F178" s="66" t="str">
        <s:f>IF($A178="","",$C178*Inputs!$C$12)</s:f>
        <s:v/>
      </s:c>
      <s:c r="G178" s="73" t="str">
        <s:f>IF($A178="","",IF($H178="Funded",$F178,0))</s:f>
        <s:v/>
      </s:c>
      <s:c r="H178" s="70" t="n"/>
      <s:c r="I178" s="74" t="str">
        <s:f>IF($A178="","",EOMONTH($A178,0))</s:f>
        <s:v/>
      </s:c>
      <s:c r="J178" s="70" t="n"/>
      <s:c r="K178" s="70" t="n"/>
    </s:row>
    <s:row r="179">
      <s:c r="A179" s="62" t="n"/>
      <s:c r="B179" s="63" t="n"/>
      <s:c r="C179" s="64" t="n"/>
      <s:c r="D179" s="64" t="n"/>
      <s:c r="E179" s="65" t="n"/>
      <s:c r="F179" s="66" t="str">
        <s:f>IF($A179="","",$C179*Inputs!$C$12)</s:f>
        <s:v/>
      </s:c>
      <s:c r="G179" s="67" t="str">
        <s:f>IF($A179="","",IF($H179="Funded",$F179,0))</s:f>
        <s:v/>
      </s:c>
      <s:c r="H179" s="63" t="n"/>
      <s:c r="I179" s="68" t="str">
        <s:f>IF($A179="","",EOMONTH($A179,0))</s:f>
        <s:v/>
      </s:c>
      <s:c r="J179" s="63" t="n"/>
      <s:c r="K179" s="63" t="n"/>
    </s:row>
    <s:row r="180">
      <s:c r="A180" s="69" t="n"/>
      <s:c r="B180" s="70" t="n"/>
      <s:c r="C180" s="71" t="n"/>
      <s:c r="D180" s="71" t="n"/>
      <s:c r="E180" s="72" t="n"/>
      <s:c r="F180" s="66" t="str">
        <s:f>IF($A180="","",$C180*Inputs!$C$12)</s:f>
        <s:v/>
      </s:c>
      <s:c r="G180" s="73" t="str">
        <s:f>IF($A180="","",IF($H180="Funded",$F180,0))</s:f>
        <s:v/>
      </s:c>
      <s:c r="H180" s="70" t="n"/>
      <s:c r="I180" s="74" t="str">
        <s:f>IF($A180="","",EOMONTH($A180,0))</s:f>
        <s:v/>
      </s:c>
      <s:c r="J180" s="70" t="n"/>
      <s:c r="K180" s="70" t="n"/>
    </s:row>
    <s:row r="181">
      <s:c r="A181" s="62" t="n"/>
      <s:c r="B181" s="63" t="n"/>
      <s:c r="C181" s="64" t="n"/>
      <s:c r="D181" s="64" t="n"/>
      <s:c r="E181" s="65" t="n"/>
      <s:c r="F181" s="66" t="str">
        <s:f>IF($A181="","",$C181*Inputs!$C$12)</s:f>
        <s:v/>
      </s:c>
      <s:c r="G181" s="67" t="str">
        <s:f>IF($A181="","",IF($H181="Funded",$F181,0))</s:f>
        <s:v/>
      </s:c>
      <s:c r="H181" s="63" t="n"/>
      <s:c r="I181" s="68" t="str">
        <s:f>IF($A181="","",EOMONTH($A181,0))</s:f>
        <s:v/>
      </s:c>
      <s:c r="J181" s="63" t="n"/>
      <s:c r="K181" s="63" t="n"/>
    </s:row>
    <s:row r="182">
      <s:c r="A182" s="69" t="n"/>
      <s:c r="B182" s="70" t="n"/>
      <s:c r="C182" s="71" t="n"/>
      <s:c r="D182" s="71" t="n"/>
      <s:c r="E182" s="72" t="n"/>
      <s:c r="F182" s="66" t="str">
        <s:f>IF($A182="","",$C182*Inputs!$C$12)</s:f>
        <s:v/>
      </s:c>
      <s:c r="G182" s="73" t="str">
        <s:f>IF($A182="","",IF($H182="Funded",$F182,0))</s:f>
        <s:v/>
      </s:c>
      <s:c r="H182" s="70" t="n"/>
      <s:c r="I182" s="74" t="str">
        <s:f>IF($A182="","",EOMONTH($A182,0))</s:f>
        <s:v/>
      </s:c>
      <s:c r="J182" s="70" t="n"/>
      <s:c r="K182" s="70" t="n"/>
    </s:row>
    <s:row r="183">
      <s:c r="A183" s="62" t="n"/>
      <s:c r="B183" s="63" t="n"/>
      <s:c r="C183" s="64" t="n"/>
      <s:c r="D183" s="64" t="n"/>
      <s:c r="E183" s="65" t="n"/>
      <s:c r="F183" s="66" t="str">
        <s:f>IF($A183="","",$C183*Inputs!$C$12)</s:f>
        <s:v/>
      </s:c>
      <s:c r="G183" s="67" t="str">
        <s:f>IF($A183="","",IF($H183="Funded",$F183,0))</s:f>
        <s:v/>
      </s:c>
      <s:c r="H183" s="63" t="n"/>
      <s:c r="I183" s="68" t="str">
        <s:f>IF($A183="","",EOMONTH($A183,0))</s:f>
        <s:v/>
      </s:c>
      <s:c r="J183" s="63" t="n"/>
      <s:c r="K183" s="63" t="n"/>
    </s:row>
    <s:row r="184">
      <s:c r="A184" s="69" t="n"/>
      <s:c r="B184" s="70" t="n"/>
      <s:c r="C184" s="71" t="n"/>
      <s:c r="D184" s="71" t="n"/>
      <s:c r="E184" s="72" t="n"/>
      <s:c r="F184" s="66" t="str">
        <s:f>IF($A184="","",$C184*Inputs!$C$12)</s:f>
        <s:v/>
      </s:c>
      <s:c r="G184" s="73" t="str">
        <s:f>IF($A184="","",IF($H184="Funded",$F184,0))</s:f>
        <s:v/>
      </s:c>
      <s:c r="H184" s="70" t="n"/>
      <s:c r="I184" s="74" t="str">
        <s:f>IF($A184="","",EOMONTH($A184,0))</s:f>
        <s:v/>
      </s:c>
      <s:c r="J184" s="70" t="n"/>
      <s:c r="K184" s="70" t="n"/>
    </s:row>
    <s:row r="185">
      <s:c r="A185" s="62" t="n"/>
      <s:c r="B185" s="63" t="n"/>
      <s:c r="C185" s="64" t="n"/>
      <s:c r="D185" s="64" t="n"/>
      <s:c r="E185" s="65" t="n"/>
      <s:c r="F185" s="66" t="str">
        <s:f>IF($A185="","",$C185*Inputs!$C$12)</s:f>
        <s:v/>
      </s:c>
      <s:c r="G185" s="67" t="str">
        <s:f>IF($A185="","",IF($H185="Funded",$F185,0))</s:f>
        <s:v/>
      </s:c>
      <s:c r="H185" s="63" t="n"/>
      <s:c r="I185" s="68" t="str">
        <s:f>IF($A185="","",EOMONTH($A185,0))</s:f>
        <s:v/>
      </s:c>
      <s:c r="J185" s="63" t="n"/>
      <s:c r="K185" s="63" t="n"/>
    </s:row>
    <s:row r="186">
      <s:c r="A186" s="69" t="n"/>
      <s:c r="B186" s="70" t="n"/>
      <s:c r="C186" s="71" t="n"/>
      <s:c r="D186" s="71" t="n"/>
      <s:c r="E186" s="72" t="n"/>
      <s:c r="F186" s="66" t="str">
        <s:f>IF($A186="","",$C186*Inputs!$C$12)</s:f>
        <s:v/>
      </s:c>
      <s:c r="G186" s="73" t="str">
        <s:f>IF($A186="","",IF($H186="Funded",$F186,0))</s:f>
        <s:v/>
      </s:c>
      <s:c r="H186" s="70" t="n"/>
      <s:c r="I186" s="74" t="str">
        <s:f>IF($A186="","",EOMONTH($A186,0))</s:f>
        <s:v/>
      </s:c>
      <s:c r="J186" s="70" t="n"/>
      <s:c r="K186" s="70" t="n"/>
    </s:row>
    <s:row r="187">
      <s:c r="A187" s="62" t="n"/>
      <s:c r="B187" s="63" t="n"/>
      <s:c r="C187" s="64" t="n"/>
      <s:c r="D187" s="64" t="n"/>
      <s:c r="E187" s="65" t="n"/>
      <s:c r="F187" s="66" t="str">
        <s:f>IF($A187="","",$C187*Inputs!$C$12)</s:f>
        <s:v/>
      </s:c>
      <s:c r="G187" s="67" t="str">
        <s:f>IF($A187="","",IF($H187="Funded",$F187,0))</s:f>
        <s:v/>
      </s:c>
      <s:c r="H187" s="63" t="n"/>
      <s:c r="I187" s="68" t="str">
        <s:f>IF($A187="","",EOMONTH($A187,0))</s:f>
        <s:v/>
      </s:c>
      <s:c r="J187" s="63" t="n"/>
      <s:c r="K187" s="63" t="n"/>
    </s:row>
    <s:row r="188">
      <s:c r="A188" s="69" t="n"/>
      <s:c r="B188" s="70" t="n"/>
      <s:c r="C188" s="71" t="n"/>
      <s:c r="D188" s="71" t="n"/>
      <s:c r="E188" s="72" t="n"/>
      <s:c r="F188" s="66" t="str">
        <s:f>IF($A188="","",$C188*Inputs!$C$12)</s:f>
        <s:v/>
      </s:c>
      <s:c r="G188" s="73" t="str">
        <s:f>IF($A188="","",IF($H188="Funded",$F188,0))</s:f>
        <s:v/>
      </s:c>
      <s:c r="H188" s="70" t="n"/>
      <s:c r="I188" s="74" t="str">
        <s:f>IF($A188="","",EOMONTH($A188,0))</s:f>
        <s:v/>
      </s:c>
      <s:c r="J188" s="70" t="n"/>
      <s:c r="K188" s="70" t="n"/>
    </s:row>
    <s:row r="189">
      <s:c r="A189" s="62" t="n"/>
      <s:c r="B189" s="63" t="n"/>
      <s:c r="C189" s="64" t="n"/>
      <s:c r="D189" s="64" t="n"/>
      <s:c r="E189" s="65" t="n"/>
      <s:c r="F189" s="66" t="str">
        <s:f>IF($A189="","",$C189*Inputs!$C$12)</s:f>
        <s:v/>
      </s:c>
      <s:c r="G189" s="67" t="str">
        <s:f>IF($A189="","",IF($H189="Funded",$F189,0))</s:f>
        <s:v/>
      </s:c>
      <s:c r="H189" s="63" t="n"/>
      <s:c r="I189" s="68" t="str">
        <s:f>IF($A189="","",EOMONTH($A189,0))</s:f>
        <s:v/>
      </s:c>
      <s:c r="J189" s="63" t="n"/>
      <s:c r="K189" s="63" t="n"/>
    </s:row>
    <s:row r="190">
      <s:c r="A190" s="69" t="n"/>
      <s:c r="B190" s="70" t="n"/>
      <s:c r="C190" s="71" t="n"/>
      <s:c r="D190" s="71" t="n"/>
      <s:c r="E190" s="72" t="n"/>
      <s:c r="F190" s="66" t="str">
        <s:f>IF($A190="","",$C190*Inputs!$C$12)</s:f>
        <s:v/>
      </s:c>
      <s:c r="G190" s="73" t="str">
        <s:f>IF($A190="","",IF($H190="Funded",$F190,0))</s:f>
        <s:v/>
      </s:c>
      <s:c r="H190" s="70" t="n"/>
      <s:c r="I190" s="74" t="str">
        <s:f>IF($A190="","",EOMONTH($A190,0))</s:f>
        <s:v/>
      </s:c>
      <s:c r="J190" s="70" t="n"/>
      <s:c r="K190" s="70" t="n"/>
    </s:row>
    <s:row r="191">
      <s:c r="A191" s="62" t="n"/>
      <s:c r="B191" s="63" t="n"/>
      <s:c r="C191" s="64" t="n"/>
      <s:c r="D191" s="64" t="n"/>
      <s:c r="E191" s="65" t="n"/>
      <s:c r="F191" s="66" t="str">
        <s:f>IF($A191="","",$C191*Inputs!$C$12)</s:f>
        <s:v/>
      </s:c>
      <s:c r="G191" s="67" t="str">
        <s:f>IF($A191="","",IF($H191="Funded",$F191,0))</s:f>
        <s:v/>
      </s:c>
      <s:c r="H191" s="63" t="n"/>
      <s:c r="I191" s="68" t="str">
        <s:f>IF($A191="","",EOMONTH($A191,0))</s:f>
        <s:v/>
      </s:c>
      <s:c r="J191" s="63" t="n"/>
      <s:c r="K191" s="63" t="n"/>
    </s:row>
    <s:row r="192">
      <s:c r="A192" s="69" t="n"/>
      <s:c r="B192" s="70" t="n"/>
      <s:c r="C192" s="71" t="n"/>
      <s:c r="D192" s="71" t="n"/>
      <s:c r="E192" s="72" t="n"/>
      <s:c r="F192" s="66" t="str">
        <s:f>IF($A192="","",$C192*Inputs!$C$12)</s:f>
        <s:v/>
      </s:c>
      <s:c r="G192" s="73" t="str">
        <s:f>IF($A192="","",IF($H192="Funded",$F192,0))</s:f>
        <s:v/>
      </s:c>
      <s:c r="H192" s="70" t="n"/>
      <s:c r="I192" s="74" t="str">
        <s:f>IF($A192="","",EOMONTH($A192,0))</s:f>
        <s:v/>
      </s:c>
      <s:c r="J192" s="70" t="n"/>
      <s:c r="K192" s="70" t="n"/>
    </s:row>
    <s:row r="193">
      <s:c r="A193" s="62" t="n"/>
      <s:c r="B193" s="63" t="n"/>
      <s:c r="C193" s="64" t="n"/>
      <s:c r="D193" s="64" t="n"/>
      <s:c r="E193" s="65" t="n"/>
      <s:c r="F193" s="66" t="str">
        <s:f>IF($A193="","",$C193*Inputs!$C$12)</s:f>
        <s:v/>
      </s:c>
      <s:c r="G193" s="67" t="str">
        <s:f>IF($A193="","",IF($H193="Funded",$F193,0))</s:f>
        <s:v/>
      </s:c>
      <s:c r="H193" s="63" t="n"/>
      <s:c r="I193" s="68" t="str">
        <s:f>IF($A193="","",EOMONTH($A193,0))</s:f>
        <s:v/>
      </s:c>
      <s:c r="J193" s="63" t="n"/>
      <s:c r="K193" s="63" t="n"/>
    </s:row>
    <s:row r="194">
      <s:c r="A194" s="69" t="n"/>
      <s:c r="B194" s="70" t="n"/>
      <s:c r="C194" s="71" t="n"/>
      <s:c r="D194" s="71" t="n"/>
      <s:c r="E194" s="72" t="n"/>
      <s:c r="F194" s="66" t="str">
        <s:f>IF($A194="","",$C194*Inputs!$C$12)</s:f>
        <s:v/>
      </s:c>
      <s:c r="G194" s="73" t="str">
        <s:f>IF($A194="","",IF($H194="Funded",$F194,0))</s:f>
        <s:v/>
      </s:c>
      <s:c r="H194" s="70" t="n"/>
      <s:c r="I194" s="74" t="str">
        <s:f>IF($A194="","",EOMONTH($A194,0))</s:f>
        <s:v/>
      </s:c>
      <s:c r="J194" s="70" t="n"/>
      <s:c r="K194" s="70" t="n"/>
    </s:row>
    <s:row r="195">
      <s:c r="A195" s="62" t="n"/>
      <s:c r="B195" s="63" t="n"/>
      <s:c r="C195" s="64" t="n"/>
      <s:c r="D195" s="64" t="n"/>
      <s:c r="E195" s="65" t="n"/>
      <s:c r="F195" s="66" t="str">
        <s:f>IF($A195="","",$C195*Inputs!$C$12)</s:f>
        <s:v/>
      </s:c>
      <s:c r="G195" s="67" t="str">
        <s:f>IF($A195="","",IF($H195="Funded",$F195,0))</s:f>
        <s:v/>
      </s:c>
      <s:c r="H195" s="63" t="n"/>
      <s:c r="I195" s="68" t="str">
        <s:f>IF($A195="","",EOMONTH($A195,0))</s:f>
        <s:v/>
      </s:c>
      <s:c r="J195" s="63" t="n"/>
      <s:c r="K195" s="63" t="n"/>
    </s:row>
    <s:row r="196">
      <s:c r="A196" s="69" t="n"/>
      <s:c r="B196" s="70" t="n"/>
      <s:c r="C196" s="71" t="n"/>
      <s:c r="D196" s="71" t="n"/>
      <s:c r="E196" s="72" t="n"/>
      <s:c r="F196" s="66" t="str">
        <s:f>IF($A196="","",$C196*Inputs!$C$12)</s:f>
        <s:v/>
      </s:c>
      <s:c r="G196" s="73" t="str">
        <s:f>IF($A196="","",IF($H196="Funded",$F196,0))</s:f>
        <s:v/>
      </s:c>
      <s:c r="H196" s="70" t="n"/>
      <s:c r="I196" s="74" t="str">
        <s:f>IF($A196="","",EOMONTH($A196,0))</s:f>
        <s:v/>
      </s:c>
      <s:c r="J196" s="70" t="n"/>
      <s:c r="K196" s="70" t="n"/>
    </s:row>
    <s:row r="197">
      <s:c r="A197" s="62" t="n"/>
      <s:c r="B197" s="63" t="n"/>
      <s:c r="C197" s="64" t="n"/>
      <s:c r="D197" s="64" t="n"/>
      <s:c r="E197" s="65" t="n"/>
      <s:c r="F197" s="66" t="str">
        <s:f>IF($A197="","",$C197*Inputs!$C$12)</s:f>
        <s:v/>
      </s:c>
      <s:c r="G197" s="67" t="str">
        <s:f>IF($A197="","",IF($H197="Funded",$F197,0))</s:f>
        <s:v/>
      </s:c>
      <s:c r="H197" s="63" t="n"/>
      <s:c r="I197" s="68" t="str">
        <s:f>IF($A197="","",EOMONTH($A197,0))</s:f>
        <s:v/>
      </s:c>
      <s:c r="J197" s="63" t="n"/>
      <s:c r="K197" s="63" t="n"/>
    </s:row>
    <s:row r="198">
      <s:c r="A198" s="69" t="n"/>
      <s:c r="B198" s="70" t="n"/>
      <s:c r="C198" s="71" t="n"/>
      <s:c r="D198" s="71" t="n"/>
      <s:c r="E198" s="72" t="n"/>
      <s:c r="F198" s="66" t="str">
        <s:f>IF($A198="","",$C198*Inputs!$C$12)</s:f>
        <s:v/>
      </s:c>
      <s:c r="G198" s="73" t="str">
        <s:f>IF($A198="","",IF($H198="Funded",$F198,0))</s:f>
        <s:v/>
      </s:c>
      <s:c r="H198" s="70" t="n"/>
      <s:c r="I198" s="74" t="str">
        <s:f>IF($A198="","",EOMONTH($A198,0))</s:f>
        <s:v/>
      </s:c>
      <s:c r="J198" s="70" t="n"/>
      <s:c r="K198" s="70" t="n"/>
    </s:row>
    <s:row r="199">
      <s:c r="A199" s="62" t="n"/>
      <s:c r="B199" s="63" t="n"/>
      <s:c r="C199" s="64" t="n"/>
      <s:c r="D199" s="64" t="n"/>
      <s:c r="E199" s="65" t="n"/>
      <s:c r="F199" s="66" t="str">
        <s:f>IF($A199="","",$C199*Inputs!$C$12)</s:f>
        <s:v/>
      </s:c>
      <s:c r="G199" s="67" t="str">
        <s:f>IF($A199="","",IF($H199="Funded",$F199,0))</s:f>
        <s:v/>
      </s:c>
      <s:c r="H199" s="63" t="n"/>
      <s:c r="I199" s="68" t="str">
        <s:f>IF($A199="","",EOMONTH($A199,0))</s:f>
        <s:v/>
      </s:c>
      <s:c r="J199" s="63" t="n"/>
      <s:c r="K199" s="63" t="n"/>
    </s:row>
    <s:row r="200">
      <s:c r="A200" s="69" t="n"/>
      <s:c r="B200" s="70" t="n"/>
      <s:c r="C200" s="71" t="n"/>
      <s:c r="D200" s="71" t="n"/>
      <s:c r="E200" s="72" t="n"/>
      <s:c r="F200" s="66" t="str">
        <s:f>IF($A200="","",$C200*Inputs!$C$12)</s:f>
        <s:v/>
      </s:c>
      <s:c r="G200" s="73" t="str">
        <s:f>IF($A200="","",IF($H200="Funded",$F200,0))</s:f>
        <s:v/>
      </s:c>
      <s:c r="H200" s="70" t="n"/>
      <s:c r="I200" s="74" t="str">
        <s:f>IF($A200="","",EOMONTH($A200,0))</s:f>
        <s:v/>
      </s:c>
      <s:c r="J200" s="70" t="n"/>
      <s:c r="K200" s="70" t="n"/>
    </s:row>
    <s:row r="201">
      <s:c r="A201" s="62" t="n"/>
      <s:c r="B201" s="63" t="n"/>
      <s:c r="C201" s="64" t="n"/>
      <s:c r="D201" s="64" t="n"/>
      <s:c r="E201" s="65" t="n"/>
      <s:c r="F201" s="66" t="str">
        <s:f>IF($A201="","",$C201*Inputs!$C$12)</s:f>
        <s:v/>
      </s:c>
      <s:c r="G201" s="67" t="str">
        <s:f>IF($A201="","",IF($H201="Funded",$F201,0))</s:f>
        <s:v/>
      </s:c>
      <s:c r="H201" s="63" t="n"/>
      <s:c r="I201" s="68" t="str">
        <s:f>IF($A201="","",EOMONTH($A201,0))</s:f>
        <s:v/>
      </s:c>
      <s:c r="J201" s="63" t="n"/>
      <s:c r="K201" s="63" t="n"/>
    </s:row>
    <s:row r="202">
      <s:c r="A202" s="69" t="n"/>
      <s:c r="B202" s="70" t="n"/>
      <s:c r="C202" s="71" t="n"/>
      <s:c r="D202" s="71" t="n"/>
      <s:c r="E202" s="72" t="n"/>
      <s:c r="F202" s="66" t="str">
        <s:f>IF($A202="","",$C202*Inputs!$C$12)</s:f>
        <s:v/>
      </s:c>
      <s:c r="G202" s="73" t="str">
        <s:f>IF($A202="","",IF($H202="Funded",$F202,0))</s:f>
        <s:v/>
      </s:c>
      <s:c r="H202" s="70" t="n"/>
      <s:c r="I202" s="74" t="str">
        <s:f>IF($A202="","",EOMONTH($A202,0))</s:f>
        <s:v/>
      </s:c>
      <s:c r="J202" s="70" t="n"/>
      <s:c r="K202" s="70" t="n"/>
    </s:row>
    <s:row r="203">
      <s:c r="A203" s="62" t="n"/>
      <s:c r="B203" s="63" t="n"/>
      <s:c r="C203" s="64" t="n"/>
      <s:c r="D203" s="64" t="n"/>
      <s:c r="E203" s="65" t="n"/>
      <s:c r="F203" s="66" t="str">
        <s:f>IF($A203="","",$C203*Inputs!$C$12)</s:f>
        <s:v/>
      </s:c>
      <s:c r="G203" s="67" t="str">
        <s:f>IF($A203="","",IF($H203="Funded",$F203,0))</s:f>
        <s:v/>
      </s:c>
      <s:c r="H203" s="63" t="n"/>
      <s:c r="I203" s="68" t="str">
        <s:f>IF($A203="","",EOMONTH($A203,0))</s:f>
        <s:v/>
      </s:c>
      <s:c r="J203" s="63" t="n"/>
      <s:c r="K203" s="63" t="n"/>
    </s:row>
    <s:row r="204">
      <s:c r="A204" s="69" t="n"/>
      <s:c r="B204" s="70" t="n"/>
      <s:c r="C204" s="71" t="n"/>
      <s:c r="D204" s="71" t="n"/>
      <s:c r="E204" s="72" t="n"/>
      <s:c r="F204" s="66" t="str">
        <s:f>IF($A204="","",$C204*Inputs!$C$12)</s:f>
        <s:v/>
      </s:c>
      <s:c r="G204" s="73" t="str">
        <s:f>IF($A204="","",IF($H204="Funded",$F204,0))</s:f>
        <s:v/>
      </s:c>
      <s:c r="H204" s="70" t="n"/>
      <s:c r="I204" s="74" t="str">
        <s:f>IF($A204="","",EOMONTH($A204,0))</s:f>
        <s:v/>
      </s:c>
      <s:c r="J204" s="70" t="n"/>
      <s:c r="K204" s="70" t="n"/>
    </s:row>
    <s:row r="205">
      <s:c r="A205" s="62" t="n"/>
      <s:c r="B205" s="63" t="n"/>
      <s:c r="C205" s="64" t="n"/>
      <s:c r="D205" s="64" t="n"/>
      <s:c r="E205" s="65" t="n"/>
      <s:c r="F205" s="66" t="str">
        <s:f>IF($A205="","",$C205*Inputs!$C$12)</s:f>
        <s:v/>
      </s:c>
      <s:c r="G205" s="67" t="str">
        <s:f>IF($A205="","",IF($H205="Funded",$F205,0))</s:f>
        <s:v/>
      </s:c>
      <s:c r="H205" s="63" t="n"/>
      <s:c r="I205" s="68" t="str">
        <s:f>IF($A205="","",EOMONTH($A205,0))</s:f>
        <s:v/>
      </s:c>
      <s:c r="J205" s="63" t="n"/>
      <s:c r="K205" s="63" t="n"/>
    </s:row>
    <s:row r="206">
      <s:c r="A206" s="69" t="n"/>
      <s:c r="B206" s="70" t="n"/>
      <s:c r="C206" s="71" t="n"/>
      <s:c r="D206" s="71" t="n"/>
      <s:c r="E206" s="72" t="n"/>
      <s:c r="F206" s="66" t="str">
        <s:f>IF($A206="","",$C206*Inputs!$C$12)</s:f>
        <s:v/>
      </s:c>
      <s:c r="G206" s="73" t="str">
        <s:f>IF($A206="","",IF($H206="Funded",$F206,0))</s:f>
        <s:v/>
      </s:c>
      <s:c r="H206" s="70" t="n"/>
      <s:c r="I206" s="74" t="str">
        <s:f>IF($A206="","",EOMONTH($A206,0))</s:f>
        <s:v/>
      </s:c>
      <s:c r="J206" s="70" t="n"/>
      <s:c r="K206" s="70" t="n"/>
    </s:row>
    <s:row r="207">
      <s:c r="A207" s="62" t="n"/>
      <s:c r="B207" s="63" t="n"/>
      <s:c r="C207" s="64" t="n"/>
      <s:c r="D207" s="64" t="n"/>
      <s:c r="E207" s="65" t="n"/>
      <s:c r="F207" s="66" t="str">
        <s:f>IF($A207="","",$C207*Inputs!$C$12)</s:f>
        <s:v/>
      </s:c>
      <s:c r="G207" s="67" t="str">
        <s:f>IF($A207="","",IF($H207="Funded",$F207,0))</s:f>
        <s:v/>
      </s:c>
      <s:c r="H207" s="63" t="n"/>
      <s:c r="I207" s="68" t="str">
        <s:f>IF($A207="","",EOMONTH($A207,0))</s:f>
        <s:v/>
      </s:c>
      <s:c r="J207" s="63" t="n"/>
      <s:c r="K207" s="63" t="n"/>
    </s:row>
    <s:row r="208">
      <s:c r="A208" s="69" t="n"/>
      <s:c r="B208" s="70" t="n"/>
      <s:c r="C208" s="71" t="n"/>
      <s:c r="D208" s="71" t="n"/>
      <s:c r="E208" s="72" t="n"/>
      <s:c r="F208" s="66" t="str">
        <s:f>IF($A208="","",$C208*Inputs!$C$12)</s:f>
        <s:v/>
      </s:c>
      <s:c r="G208" s="73" t="str">
        <s:f>IF($A208="","",IF($H208="Funded",$F208,0))</s:f>
        <s:v/>
      </s:c>
      <s:c r="H208" s="70" t="n"/>
      <s:c r="I208" s="74" t="str">
        <s:f>IF($A208="","",EOMONTH($A208,0))</s:f>
        <s:v/>
      </s:c>
      <s:c r="J208" s="70" t="n"/>
      <s:c r="K208" s="70" t="n"/>
    </s:row>
  </s:sheetData>
  <s:mergeCells count="5">
    <s:mergeCell ref="A6:K6"/>
    <s:mergeCell ref="A2:K2"/>
    <s:mergeCell ref="D4:E4"/>
    <s:mergeCell ref="D5:K5"/>
    <s:mergeCell ref="A1:K1"/>
  </s:mergeCells>
  <s:dataValidations count="1">
    <s:dataValidation sqref="H9:H208" showDropDown="0" showInputMessage="0" showErrorMessage="0" allowBlank="1" type="list">
      <s:formula1>"Funded,Locked,Pre-App,Lead,Lost"</s:formula1>
    </s:dataValidation>
  </s:dataValidations>
  <s:pageMargins left="0.75" right="0.75" top="1" bottom="1" header="0.5" footer="0.5"/>
  <s:legacyDrawing r:id="anysvml"/>
</s:worksheet>
</file>

<file path=xl/worksheets/sheet6.xml><?xml version="1.0" encoding="utf-8"?>
<s:worksheet xmlns:s="http://schemas.openxmlformats.org/spreadsheetml/2006/main">
  <s:sheetPr>
    <s:tabColor rgb="00C00000"/>
    <s:outlinePr summaryBelow="1" summaryRight="1"/>
    <s:pageSetUpPr/>
  </s:sheetPr>
  <s:dimension ref="A1:K33"/>
  <s:sheetViews>
    <s:sheetView showGridLines="0" workbookViewId="0">
      <s:pane xSplit="1" ySplit="8" topLeftCell="B9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11" customWidth="1" min="1" max="1"/>
    <s:col width="14" customWidth="1" min="2" max="2"/>
    <s:col width="13" customWidth="1" min="3" max="3"/>
    <s:col width="15" customWidth="1" min="4" max="4"/>
    <s:col width="14" customWidth="1" min="5" max="5"/>
    <s:col width="14" customWidth="1" min="6" max="6"/>
    <s:col width="14" customWidth="1" min="7" max="7"/>
    <s:col width="12" customWidth="1" min="8" max="8"/>
    <s:col width="13" customWidth="1" min="9" max="9"/>
    <s:col width="14" customWidth="1" min="10" max="10"/>
    <s:col width="30" customWidth="1" min="11" max="11"/>
  </s:cols>
  <s:sheetData>
    <s:row r="1" ht="26" customHeight="1">
      <s:c r="A1" s="1" t="inlineStr">
        <s:is>
          <s:t>DRAW PAYBACK  —  24 months, and exactly when you get your first real commission check</s:t>
        </s:is>
      </s:c>
      <s:c r="B1" s="2" t="n"/>
      <s:c r="C1" s="2" t="n"/>
      <s:c r="D1" s="2" t="n"/>
      <s:c r="E1" s="2" t="n"/>
      <s:c r="F1" s="2" t="n"/>
      <s:c r="G1" s="2" t="n"/>
      <s:c r="H1" s="2" t="n"/>
      <s:c r="I1" s="2" t="n"/>
      <s:c r="J1" s="2" t="n"/>
      <s:c r="K1" s="2" t="n"/>
    </s:row>
    <s:row r="2" ht="16" customHeight="1">
      <s:c r="A2" s="3" t="inlineStr">
        <s:is>
          <s:t>Read column F: while it is above zero your take-home is frozen at the net draw. Column J is what actually lands in your bank.</s:t>
        </s:is>
      </s:c>
      <s:c r="B2" s="2" t="n"/>
      <s:c r="C2" s="2" t="n"/>
      <s:c r="D2" s="2" t="n"/>
      <s:c r="E2" s="2" t="n"/>
      <s:c r="F2" s="2" t="n"/>
      <s:c r="G2" s="2" t="n"/>
      <s:c r="H2" s="2" t="n"/>
      <s:c r="I2" s="2" t="n"/>
      <s:c r="J2" s="2" t="n"/>
      <s:c r="K2" s="2" t="n"/>
    </s:row>
    <s:row r="4">
      <s:c r="A4" s="12" t="inlineStr">
        <s:is>
          <s:t>Advance today</s:t>
        </s:is>
      </s:c>
      <s:c r="B4" s="29">
        <s:f>Inputs!$C$17</s:f>
        <s:v>16500.0</s:v>
      </s:c>
      <s:c r="C4" s="12" t="inlineStr">
        <s:is>
          <s:t>Clears in</s:t>
        </s:is>
      </s:c>
      <s:c r="D4" s="13" t="str">
        <s:f>IFERROR(MATCH(0,F9:F32,0)&amp;" months","not within 24 mo")</s:f>
        <s:v>11 months</s:v>
      </s:c>
      <s:c r="E4" s="12" t="inlineStr">
        <s:is>
          <s:t>First month you get paid above the draw</s:t>
        </s:is>
      </s:c>
      <s:c r="H4" s="75">
        <s:f>IFERROR(INDEX(A9:A32,MATCH(0,F9:F32,0)),"not within 24 months")</s:f>
        <s:v>46599.0</s:v>
      </s:c>
    </s:row>
    <s:row r="5">
      <s:c r="A5" s="53" t="str">
        <s:f>"At your planned pace of "&amp;TEXT(Inputs!$C$20,"0.0")&amp;" loans/month you earn "&amp;TEXT(Inputs!$C$21,"$#,##0")&amp;" while the draw adds "&amp;TEXT(Inputs!$C$9,"$#,##0")&amp;" - so the balance moves "&amp;TEXT(Inputs!$C$22,"$#,##0")&amp;" a month."</s:f>
        <s:v>At your planned pace of 2.0 loans/month you earn $4,500 while the draw adds $3,000 - so the balance moves $1,500 a month.</s:v>
      </s:c>
    </s:row>
    <s:row r="8" ht="30" customHeight="1">
      <s:c r="A8" s="16" t="inlineStr">
        <s:is>
          <s:t>Month</s:t>
        </s:is>
      </s:c>
      <s:c r="B8" s="16" t="inlineStr">
        <s:is>
          <s:t>Opening
advance</s:t>
        </s:is>
      </s:c>
      <s:c r="C8" s="16" t="inlineStr">
        <s:is>
          <s:t>Draw added
(gross)</s:t>
        </s:is>
      </s:c>
      <s:c r="D8" s="16" t="inlineStr">
        <s:is>
          <s:t>Commission
earned</s:t>
        </s:is>
      </s:c>
      <s:c r="E8" s="16" t="inlineStr">
        <s:is>
          <s:t>Applied to
advance</s:t>
        </s:is>
      </s:c>
      <s:c r="F8" s="16" t="inlineStr">
        <s:is>
          <s:t>Closing
advance</s:t>
        </s:is>
      </s:c>
      <s:c r="G8" s="16" t="inlineStr">
        <s:is>
          <s:t>Paid to you
above draw</s:t>
        </s:is>
      </s:c>
      <s:c r="H8" s="16" t="inlineStr">
        <s:is>
          <s:t>Withheld</s:t>
        </s:is>
      </s:c>
      <s:c r="I8" s="16" t="inlineStr">
        <s:is>
          <s:t>Net draw
to you</s:t>
        </s:is>
      </s:c>
      <s:c r="J8" s="16" t="inlineStr">
        <s:is>
          <s:t>CASH TO YOU
this month</s:t>
        </s:is>
      </s:c>
      <s:c r="K8" s="16" t="inlineStr">
        <s:is>
          <s:t>What's happening</s:t>
        </s:is>
      </s:c>
    </s:row>
    <s:row r="9">
      <s:c r="A9" s="68">
        <s:f>EOMONTH(Inputs!$C$59,0)</s:f>
        <s:v>46295.0</s:v>
      </s:c>
      <s:c r="B9" s="67">
        <s:f>Inputs!$C$17</s:f>
        <s:v>16500.0</s:v>
      </s:c>
      <s:c r="C9" s="67">
        <s:f>Inputs!$C$9</s:f>
        <s:v>3000.0</s:v>
      </s:c>
      <s:c r="D9" s="76">
        <s:f>IF(SUMIFS('Deal Log'!$F$9:$F$208,'Deal Log'!$I$9:$I$208,A9,'Deal Log'!$H$9:$H$208,"Funded")&gt;0,SUMIFS('Deal Log'!$F$9:$F$208,'Deal Log'!$I$9:$I$208,A9,'Deal Log'!$H$9:$H$208,"Funded"),Inputs!$C$21)</s:f>
        <s:v>4500.0</s:v>
      </s:c>
      <s:c r="E9" s="76">
        <s:f>MIN(B9+C9,D9)</s:f>
        <s:v>4500.0</s:v>
      </s:c>
      <s:c r="F9" s="77">
        <s:f>MAX(0,B9+C9-D9)</s:f>
        <s:v>15000.0</s:v>
      </s:c>
      <s:c r="G9" s="76">
        <s:f>MAX(0,D9-(B9+C9))</s:f>
        <s:v>0.0</s:v>
      </s:c>
      <s:c r="H9" s="76">
        <s:f>G9*Inputs!$C$13</s:f>
        <s:v>0.0</s:v>
      </s:c>
      <s:c r="I9" s="67">
        <s:f>Inputs!$C$10</s:f>
        <s:v>2463.16</s:v>
      </s:c>
      <s:c r="J9" s="66">
        <s:f>I9+G9-H9</s:f>
        <s:v>2463.16</s:v>
      </s:c>
      <s:c r="K9" s="78" t="str">
        <s:f>IF(F9&gt;B9,"Advance still growing",IF(F9&gt;0,"Paying it down",IF(G9&gt;0,"CLEARED - real income now","Cleared")))</s:f>
        <s:v>Paying it down</s:v>
      </s:c>
    </s:row>
    <s:row r="10">
      <s:c r="A10" s="74">
        <s:f>EOMONTH(Inputs!$C$59,1)</s:f>
        <s:v>46326.0</s:v>
      </s:c>
      <s:c r="B10" s="79">
        <s:f>F9</s:f>
        <s:v>15000.0</s:v>
      </s:c>
      <s:c r="C10" s="73">
        <s:f>Inputs!$C$9</s:f>
        <s:v>3000.0</s:v>
      </s:c>
      <s:c r="D10" s="79">
        <s:f>IF(SUMIFS('Deal Log'!$F$9:$F$208,'Deal Log'!$I$9:$I$208,A10,'Deal Log'!$H$9:$H$208,"Funded")&gt;0,SUMIFS('Deal Log'!$F$9:$F$208,'Deal Log'!$I$9:$I$208,A10,'Deal Log'!$H$9:$H$208,"Funded"),Inputs!$C$21)</s:f>
        <s:v>4500.0</s:v>
      </s:c>
      <s:c r="E10" s="79">
        <s:f>MIN(B10+C10,D10)</s:f>
        <s:v>4500.0</s:v>
      </s:c>
      <s:c r="F10" s="80">
        <s:f>MAX(0,B10+C10-D10)</s:f>
        <s:v>13500.0</s:v>
      </s:c>
      <s:c r="G10" s="79">
        <s:f>MAX(0,D10-(B10+C10))</s:f>
        <s:v>0.0</s:v>
      </s:c>
      <s:c r="H10" s="79">
        <s:f>G10*Inputs!$C$13</s:f>
        <s:v>0.0</s:v>
      </s:c>
      <s:c r="I10" s="73">
        <s:f>Inputs!$C$10</s:f>
        <s:v>2463.16</s:v>
      </s:c>
      <s:c r="J10" s="66">
        <s:f>I10+G10-H10</s:f>
        <s:v>2463.16</s:v>
      </s:c>
      <s:c r="K10" s="81" t="str">
        <s:f>IF(F10&gt;B10,"Advance still growing",IF(F10&gt;0,"Paying it down",IF(G10&gt;0,"CLEARED - real income now","Cleared")))</s:f>
        <s:v>Paying it down</s:v>
      </s:c>
    </s:row>
    <s:row r="11">
      <s:c r="A11" s="68">
        <s:f>EOMONTH(Inputs!$C$59,2)</s:f>
        <s:v>46356.0</s:v>
      </s:c>
      <s:c r="B11" s="76">
        <s:f>F10</s:f>
        <s:v>13500.0</s:v>
      </s:c>
      <s:c r="C11" s="67">
        <s:f>Inputs!$C$9</s:f>
        <s:v>3000.0</s:v>
      </s:c>
      <s:c r="D11" s="76">
        <s:f>IF(SUMIFS('Deal Log'!$F$9:$F$208,'Deal Log'!$I$9:$I$208,A11,'Deal Log'!$H$9:$H$208,"Funded")&gt;0,SUMIFS('Deal Log'!$F$9:$F$208,'Deal Log'!$I$9:$I$208,A11,'Deal Log'!$H$9:$H$208,"Funded"),Inputs!$C$21)</s:f>
        <s:v>4500.0</s:v>
      </s:c>
      <s:c r="E11" s="76">
        <s:f>MIN(B11+C11,D11)</s:f>
        <s:v>4500.0</s:v>
      </s:c>
      <s:c r="F11" s="77">
        <s:f>MAX(0,B11+C11-D11)</s:f>
        <s:v>12000.0</s:v>
      </s:c>
      <s:c r="G11" s="76">
        <s:f>MAX(0,D11-(B11+C11))</s:f>
        <s:v>0.0</s:v>
      </s:c>
      <s:c r="H11" s="76">
        <s:f>G11*Inputs!$C$13</s:f>
        <s:v>0.0</s:v>
      </s:c>
      <s:c r="I11" s="67">
        <s:f>Inputs!$C$10</s:f>
        <s:v>2463.16</s:v>
      </s:c>
      <s:c r="J11" s="66">
        <s:f>I11+G11-H11</s:f>
        <s:v>2463.16</s:v>
      </s:c>
      <s:c r="K11" s="78" t="str">
        <s:f>IF(F11&gt;B11,"Advance still growing",IF(F11&gt;0,"Paying it down",IF(G11&gt;0,"CLEARED - real income now","Cleared")))</s:f>
        <s:v>Paying it down</s:v>
      </s:c>
    </s:row>
    <s:row r="12">
      <s:c r="A12" s="74">
        <s:f>EOMONTH(Inputs!$C$59,3)</s:f>
        <s:v>46387.0</s:v>
      </s:c>
      <s:c r="B12" s="79">
        <s:f>F11</s:f>
        <s:v>12000.0</s:v>
      </s:c>
      <s:c r="C12" s="73">
        <s:f>Inputs!$C$9</s:f>
        <s:v>3000.0</s:v>
      </s:c>
      <s:c r="D12" s="79">
        <s:f>IF(SUMIFS('Deal Log'!$F$9:$F$208,'Deal Log'!$I$9:$I$208,A12,'Deal Log'!$H$9:$H$208,"Funded")&gt;0,SUMIFS('Deal Log'!$F$9:$F$208,'Deal Log'!$I$9:$I$208,A12,'Deal Log'!$H$9:$H$208,"Funded"),Inputs!$C$21)</s:f>
        <s:v>4500.0</s:v>
      </s:c>
      <s:c r="E12" s="79">
        <s:f>MIN(B12+C12,D12)</s:f>
        <s:v>4500.0</s:v>
      </s:c>
      <s:c r="F12" s="80">
        <s:f>MAX(0,B12+C12-D12)</s:f>
        <s:v>10500.0</s:v>
      </s:c>
      <s:c r="G12" s="79">
        <s:f>MAX(0,D12-(B12+C12))</s:f>
        <s:v>0.0</s:v>
      </s:c>
      <s:c r="H12" s="79">
        <s:f>G12*Inputs!$C$13</s:f>
        <s:v>0.0</s:v>
      </s:c>
      <s:c r="I12" s="73">
        <s:f>Inputs!$C$10</s:f>
        <s:v>2463.16</s:v>
      </s:c>
      <s:c r="J12" s="66">
        <s:f>I12+G12-H12</s:f>
        <s:v>2463.16</s:v>
      </s:c>
      <s:c r="K12" s="81" t="str">
        <s:f>IF(F12&gt;B12,"Advance still growing",IF(F12&gt;0,"Paying it down",IF(G12&gt;0,"CLEARED - real income now","Cleared")))</s:f>
        <s:v>Paying it down</s:v>
      </s:c>
    </s:row>
    <s:row r="13">
      <s:c r="A13" s="68">
        <s:f>EOMONTH(Inputs!$C$59,4)</s:f>
        <s:v>46418.0</s:v>
      </s:c>
      <s:c r="B13" s="76">
        <s:f>F12</s:f>
        <s:v>10500.0</s:v>
      </s:c>
      <s:c r="C13" s="67">
        <s:f>Inputs!$C$9</s:f>
        <s:v>3000.0</s:v>
      </s:c>
      <s:c r="D13" s="76">
        <s:f>IF(SUMIFS('Deal Log'!$F$9:$F$208,'Deal Log'!$I$9:$I$208,A13,'Deal Log'!$H$9:$H$208,"Funded")&gt;0,SUMIFS('Deal Log'!$F$9:$F$208,'Deal Log'!$I$9:$I$208,A13,'Deal Log'!$H$9:$H$208,"Funded"),Inputs!$C$21)</s:f>
        <s:v>4500.0</s:v>
      </s:c>
      <s:c r="E13" s="76">
        <s:f>MIN(B13+C13,D13)</s:f>
        <s:v>4500.0</s:v>
      </s:c>
      <s:c r="F13" s="77">
        <s:f>MAX(0,B13+C13-D13)</s:f>
        <s:v>9000.0</s:v>
      </s:c>
      <s:c r="G13" s="76">
        <s:f>MAX(0,D13-(B13+C13))</s:f>
        <s:v>0.0</s:v>
      </s:c>
      <s:c r="H13" s="76">
        <s:f>G13*Inputs!$C$13</s:f>
        <s:v>0.0</s:v>
      </s:c>
      <s:c r="I13" s="67">
        <s:f>Inputs!$C$10</s:f>
        <s:v>2463.16</s:v>
      </s:c>
      <s:c r="J13" s="66">
        <s:f>I13+G13-H13</s:f>
        <s:v>2463.16</s:v>
      </s:c>
      <s:c r="K13" s="78" t="str">
        <s:f>IF(F13&gt;B13,"Advance still growing",IF(F13&gt;0,"Paying it down",IF(G13&gt;0,"CLEARED - real income now","Cleared")))</s:f>
        <s:v>Paying it down</s:v>
      </s:c>
    </s:row>
    <s:row r="14">
      <s:c r="A14" s="74">
        <s:f>EOMONTH(Inputs!$C$59,5)</s:f>
        <s:v>46446.0</s:v>
      </s:c>
      <s:c r="B14" s="79">
        <s:f>F13</s:f>
        <s:v>9000.0</s:v>
      </s:c>
      <s:c r="C14" s="73">
        <s:f>Inputs!$C$9</s:f>
        <s:v>3000.0</s:v>
      </s:c>
      <s:c r="D14" s="79">
        <s:f>IF(SUMIFS('Deal Log'!$F$9:$F$208,'Deal Log'!$I$9:$I$208,A14,'Deal Log'!$H$9:$H$208,"Funded")&gt;0,SUMIFS('Deal Log'!$F$9:$F$208,'Deal Log'!$I$9:$I$208,A14,'Deal Log'!$H$9:$H$208,"Funded"),Inputs!$C$21)</s:f>
        <s:v>4500.0</s:v>
      </s:c>
      <s:c r="E14" s="79">
        <s:f>MIN(B14+C14,D14)</s:f>
        <s:v>4500.0</s:v>
      </s:c>
      <s:c r="F14" s="80">
        <s:f>MAX(0,B14+C14-D14)</s:f>
        <s:v>7500.0</s:v>
      </s:c>
      <s:c r="G14" s="79">
        <s:f>MAX(0,D14-(B14+C14))</s:f>
        <s:v>0.0</s:v>
      </s:c>
      <s:c r="H14" s="79">
        <s:f>G14*Inputs!$C$13</s:f>
        <s:v>0.0</s:v>
      </s:c>
      <s:c r="I14" s="73">
        <s:f>Inputs!$C$10</s:f>
        <s:v>2463.16</s:v>
      </s:c>
      <s:c r="J14" s="66">
        <s:f>I14+G14-H14</s:f>
        <s:v>2463.16</s:v>
      </s:c>
      <s:c r="K14" s="81" t="str">
        <s:f>IF(F14&gt;B14,"Advance still growing",IF(F14&gt;0,"Paying it down",IF(G14&gt;0,"CLEARED - real income now","Cleared")))</s:f>
        <s:v>Paying it down</s:v>
      </s:c>
    </s:row>
    <s:row r="15">
      <s:c r="A15" s="68">
        <s:f>EOMONTH(Inputs!$C$59,6)</s:f>
        <s:v>46477.0</s:v>
      </s:c>
      <s:c r="B15" s="76">
        <s:f>F14</s:f>
        <s:v>7500.0</s:v>
      </s:c>
      <s:c r="C15" s="67">
        <s:f>Inputs!$C$9</s:f>
        <s:v>3000.0</s:v>
      </s:c>
      <s:c r="D15" s="76">
        <s:f>IF(SUMIFS('Deal Log'!$F$9:$F$208,'Deal Log'!$I$9:$I$208,A15,'Deal Log'!$H$9:$H$208,"Funded")&gt;0,SUMIFS('Deal Log'!$F$9:$F$208,'Deal Log'!$I$9:$I$208,A15,'Deal Log'!$H$9:$H$208,"Funded"),Inputs!$C$21)</s:f>
        <s:v>4500.0</s:v>
      </s:c>
      <s:c r="E15" s="76">
        <s:f>MIN(B15+C15,D15)</s:f>
        <s:v>4500.0</s:v>
      </s:c>
      <s:c r="F15" s="77">
        <s:f>MAX(0,B15+C15-D15)</s:f>
        <s:v>6000.0</s:v>
      </s:c>
      <s:c r="G15" s="76">
        <s:f>MAX(0,D15-(B15+C15))</s:f>
        <s:v>0.0</s:v>
      </s:c>
      <s:c r="H15" s="76">
        <s:f>G15*Inputs!$C$13</s:f>
        <s:v>0.0</s:v>
      </s:c>
      <s:c r="I15" s="67">
        <s:f>Inputs!$C$10</s:f>
        <s:v>2463.16</s:v>
      </s:c>
      <s:c r="J15" s="66">
        <s:f>I15+G15-H15</s:f>
        <s:v>2463.16</s:v>
      </s:c>
      <s:c r="K15" s="78" t="str">
        <s:f>IF(F15&gt;B15,"Advance still growing",IF(F15&gt;0,"Paying it down",IF(G15&gt;0,"CLEARED - real income now","Cleared")))</s:f>
        <s:v>Paying it down</s:v>
      </s:c>
    </s:row>
    <s:row r="16">
      <s:c r="A16" s="74">
        <s:f>EOMONTH(Inputs!$C$59,7)</s:f>
        <s:v>46507.0</s:v>
      </s:c>
      <s:c r="B16" s="79">
        <s:f>F15</s:f>
        <s:v>6000.0</s:v>
      </s:c>
      <s:c r="C16" s="73">
        <s:f>Inputs!$C$9</s:f>
        <s:v>3000.0</s:v>
      </s:c>
      <s:c r="D16" s="79">
        <s:f>IF(SUMIFS('Deal Log'!$F$9:$F$208,'Deal Log'!$I$9:$I$208,A16,'Deal Log'!$H$9:$H$208,"Funded")&gt;0,SUMIFS('Deal Log'!$F$9:$F$208,'Deal Log'!$I$9:$I$208,A16,'Deal Log'!$H$9:$H$208,"Funded"),Inputs!$C$21)</s:f>
        <s:v>4500.0</s:v>
      </s:c>
      <s:c r="E16" s="79">
        <s:f>MIN(B16+C16,D16)</s:f>
        <s:v>4500.0</s:v>
      </s:c>
      <s:c r="F16" s="80">
        <s:f>MAX(0,B16+C16-D16)</s:f>
        <s:v>4500.0</s:v>
      </s:c>
      <s:c r="G16" s="79">
        <s:f>MAX(0,D16-(B16+C16))</s:f>
        <s:v>0.0</s:v>
      </s:c>
      <s:c r="H16" s="79">
        <s:f>G16*Inputs!$C$13</s:f>
        <s:v>0.0</s:v>
      </s:c>
      <s:c r="I16" s="73">
        <s:f>Inputs!$C$10</s:f>
        <s:v>2463.16</s:v>
      </s:c>
      <s:c r="J16" s="66">
        <s:f>I16+G16-H16</s:f>
        <s:v>2463.16</s:v>
      </s:c>
      <s:c r="K16" s="81" t="str">
        <s:f>IF(F16&gt;B16,"Advance still growing",IF(F16&gt;0,"Paying it down",IF(G16&gt;0,"CLEARED - real income now","Cleared")))</s:f>
        <s:v>Paying it down</s:v>
      </s:c>
    </s:row>
    <s:row r="17">
      <s:c r="A17" s="68">
        <s:f>EOMONTH(Inputs!$C$59,8)</s:f>
        <s:v>46538.0</s:v>
      </s:c>
      <s:c r="B17" s="76">
        <s:f>F16</s:f>
        <s:v>4500.0</s:v>
      </s:c>
      <s:c r="C17" s="67">
        <s:f>Inputs!$C$9</s:f>
        <s:v>3000.0</s:v>
      </s:c>
      <s:c r="D17" s="76">
        <s:f>IF(SUMIFS('Deal Log'!$F$9:$F$208,'Deal Log'!$I$9:$I$208,A17,'Deal Log'!$H$9:$H$208,"Funded")&gt;0,SUMIFS('Deal Log'!$F$9:$F$208,'Deal Log'!$I$9:$I$208,A17,'Deal Log'!$H$9:$H$208,"Funded"),Inputs!$C$21)</s:f>
        <s:v>4500.0</s:v>
      </s:c>
      <s:c r="E17" s="76">
        <s:f>MIN(B17+C17,D17)</s:f>
        <s:v>4500.0</s:v>
      </s:c>
      <s:c r="F17" s="77">
        <s:f>MAX(0,B17+C17-D17)</s:f>
        <s:v>3000.0</s:v>
      </s:c>
      <s:c r="G17" s="76">
        <s:f>MAX(0,D17-(B17+C17))</s:f>
        <s:v>0.0</s:v>
      </s:c>
      <s:c r="H17" s="76">
        <s:f>G17*Inputs!$C$13</s:f>
        <s:v>0.0</s:v>
      </s:c>
      <s:c r="I17" s="67">
        <s:f>Inputs!$C$10</s:f>
        <s:v>2463.16</s:v>
      </s:c>
      <s:c r="J17" s="66">
        <s:f>I17+G17-H17</s:f>
        <s:v>2463.16</s:v>
      </s:c>
      <s:c r="K17" s="78" t="str">
        <s:f>IF(F17&gt;B17,"Advance still growing",IF(F17&gt;0,"Paying it down",IF(G17&gt;0,"CLEARED - real income now","Cleared")))</s:f>
        <s:v>Paying it down</s:v>
      </s:c>
    </s:row>
    <s:row r="18">
      <s:c r="A18" s="74">
        <s:f>EOMONTH(Inputs!$C$59,9)</s:f>
        <s:v>46568.0</s:v>
      </s:c>
      <s:c r="B18" s="79">
        <s:f>F17</s:f>
        <s:v>3000.0</s:v>
      </s:c>
      <s:c r="C18" s="73">
        <s:f>Inputs!$C$9</s:f>
        <s:v>3000.0</s:v>
      </s:c>
      <s:c r="D18" s="79">
        <s:f>IF(SUMIFS('Deal Log'!$F$9:$F$208,'Deal Log'!$I$9:$I$208,A18,'Deal Log'!$H$9:$H$208,"Funded")&gt;0,SUMIFS('Deal Log'!$F$9:$F$208,'Deal Log'!$I$9:$I$208,A18,'Deal Log'!$H$9:$H$208,"Funded"),Inputs!$C$21)</s:f>
        <s:v>4500.0</s:v>
      </s:c>
      <s:c r="E18" s="79">
        <s:f>MIN(B18+C18,D18)</s:f>
        <s:v>4500.0</s:v>
      </s:c>
      <s:c r="F18" s="80">
        <s:f>MAX(0,B18+C18-D18)</s:f>
        <s:v>1500.0</s:v>
      </s:c>
      <s:c r="G18" s="79">
        <s:f>MAX(0,D18-(B18+C18))</s:f>
        <s:v>0.0</s:v>
      </s:c>
      <s:c r="H18" s="79">
        <s:f>G18*Inputs!$C$13</s:f>
        <s:v>0.0</s:v>
      </s:c>
      <s:c r="I18" s="73">
        <s:f>Inputs!$C$10</s:f>
        <s:v>2463.16</s:v>
      </s:c>
      <s:c r="J18" s="66">
        <s:f>I18+G18-H18</s:f>
        <s:v>2463.16</s:v>
      </s:c>
      <s:c r="K18" s="81" t="str">
        <s:f>IF(F18&gt;B18,"Advance still growing",IF(F18&gt;0,"Paying it down",IF(G18&gt;0,"CLEARED - real income now","Cleared")))</s:f>
        <s:v>Paying it down</s:v>
      </s:c>
    </s:row>
    <s:row r="19">
      <s:c r="A19" s="68">
        <s:f>EOMONTH(Inputs!$C$59,10)</s:f>
        <s:v>46599.0</s:v>
      </s:c>
      <s:c r="B19" s="76">
        <s:f>F18</s:f>
        <s:v>1500.0</s:v>
      </s:c>
      <s:c r="C19" s="67">
        <s:f>Inputs!$C$9</s:f>
        <s:v>3000.0</s:v>
      </s:c>
      <s:c r="D19" s="76">
        <s:f>IF(SUMIFS('Deal Log'!$F$9:$F$208,'Deal Log'!$I$9:$I$208,A19,'Deal Log'!$H$9:$H$208,"Funded")&gt;0,SUMIFS('Deal Log'!$F$9:$F$208,'Deal Log'!$I$9:$I$208,A19,'Deal Log'!$H$9:$H$208,"Funded"),Inputs!$C$21)</s:f>
        <s:v>4500.0</s:v>
      </s:c>
      <s:c r="E19" s="76">
        <s:f>MIN(B19+C19,D19)</s:f>
        <s:v>4500.0</s:v>
      </s:c>
      <s:c r="F19" s="77">
        <s:f>MAX(0,B19+C19-D19)</s:f>
        <s:v>0.0</s:v>
      </s:c>
      <s:c r="G19" s="76">
        <s:f>MAX(0,D19-(B19+C19))</s:f>
        <s:v>0.0</s:v>
      </s:c>
      <s:c r="H19" s="76">
        <s:f>G19*Inputs!$C$13</s:f>
        <s:v>0.0</s:v>
      </s:c>
      <s:c r="I19" s="67">
        <s:f>Inputs!$C$10</s:f>
        <s:v>2463.16</s:v>
      </s:c>
      <s:c r="J19" s="66">
        <s:f>I19+G19-H19</s:f>
        <s:v>2463.16</s:v>
      </s:c>
      <s:c r="K19" s="78" t="str">
        <s:f>IF(F19&gt;B19,"Advance still growing",IF(F19&gt;0,"Paying it down",IF(G19&gt;0,"CLEARED - real income now","Cleared")))</s:f>
        <s:v>Cleared</s:v>
      </s:c>
    </s:row>
    <s:row r="20">
      <s:c r="A20" s="74">
        <s:f>EOMONTH(Inputs!$C$59,11)</s:f>
        <s:v>46630.0</s:v>
      </s:c>
      <s:c r="B20" s="79">
        <s:f>F19</s:f>
        <s:v>0.0</s:v>
      </s:c>
      <s:c r="C20" s="73">
        <s:f>Inputs!$C$9</s:f>
        <s:v>3000.0</s:v>
      </s:c>
      <s:c r="D20" s="79">
        <s:f>IF(SUMIFS('Deal Log'!$F$9:$F$208,'Deal Log'!$I$9:$I$208,A20,'Deal Log'!$H$9:$H$208,"Funded")&gt;0,SUMIFS('Deal Log'!$F$9:$F$208,'Deal Log'!$I$9:$I$208,A20,'Deal Log'!$H$9:$H$208,"Funded"),Inputs!$C$21)</s:f>
        <s:v>4500.0</s:v>
      </s:c>
      <s:c r="E20" s="79">
        <s:f>MIN(B20+C20,D20)</s:f>
        <s:v>3000.0</s:v>
      </s:c>
      <s:c r="F20" s="80">
        <s:f>MAX(0,B20+C20-D20)</s:f>
        <s:v>0.0</s:v>
      </s:c>
      <s:c r="G20" s="79">
        <s:f>MAX(0,D20-(B20+C20))</s:f>
        <s:v>1500.0</s:v>
      </s:c>
      <s:c r="H20" s="79">
        <s:f>G20*Inputs!$C$13</s:f>
        <s:v>330.0</s:v>
      </s:c>
      <s:c r="I20" s="73">
        <s:f>Inputs!$C$10</s:f>
        <s:v>2463.16</s:v>
      </s:c>
      <s:c r="J20" s="66">
        <s:f>I20+G20-H20</s:f>
        <s:v>3633.16</s:v>
      </s:c>
      <s:c r="K20" s="81" t="str">
        <s:f>IF(F20&gt;B20,"Advance still growing",IF(F20&gt;0,"Paying it down",IF(G20&gt;0,"CLEARED - real income now","Cleared")))</s:f>
        <s:v>CLEARED - real income now</s:v>
      </s:c>
    </s:row>
    <s:row r="21">
      <s:c r="A21" s="68">
        <s:f>EOMONTH(Inputs!$C$59,12)</s:f>
        <s:v>46660.0</s:v>
      </s:c>
      <s:c r="B21" s="76">
        <s:f>F20</s:f>
        <s:v>0.0</s:v>
      </s:c>
      <s:c r="C21" s="67">
        <s:f>Inputs!$C$9</s:f>
        <s:v>3000.0</s:v>
      </s:c>
      <s:c r="D21" s="76">
        <s:f>IF(SUMIFS('Deal Log'!$F$9:$F$208,'Deal Log'!$I$9:$I$208,A21,'Deal Log'!$H$9:$H$208,"Funded")&gt;0,SUMIFS('Deal Log'!$F$9:$F$208,'Deal Log'!$I$9:$I$208,A21,'Deal Log'!$H$9:$H$208,"Funded"),Inputs!$C$21)</s:f>
        <s:v>4500.0</s:v>
      </s:c>
      <s:c r="E21" s="76">
        <s:f>MIN(B21+C21,D21)</s:f>
        <s:v>3000.0</s:v>
      </s:c>
      <s:c r="F21" s="77">
        <s:f>MAX(0,B21+C21-D21)</s:f>
        <s:v>0.0</s:v>
      </s:c>
      <s:c r="G21" s="76">
        <s:f>MAX(0,D21-(B21+C21))</s:f>
        <s:v>1500.0</s:v>
      </s:c>
      <s:c r="H21" s="76">
        <s:f>G21*Inputs!$C$13</s:f>
        <s:v>330.0</s:v>
      </s:c>
      <s:c r="I21" s="67">
        <s:f>Inputs!$C$10</s:f>
        <s:v>2463.16</s:v>
      </s:c>
      <s:c r="J21" s="66">
        <s:f>I21+G21-H21</s:f>
        <s:v>3633.16</s:v>
      </s:c>
      <s:c r="K21" s="78" t="str">
        <s:f>IF(F21&gt;B21,"Advance still growing",IF(F21&gt;0,"Paying it down",IF(G21&gt;0,"CLEARED - real income now","Cleared")))</s:f>
        <s:v>CLEARED - real income now</s:v>
      </s:c>
    </s:row>
    <s:row r="22">
      <s:c r="A22" s="74">
        <s:f>EOMONTH(Inputs!$C$59,13)</s:f>
        <s:v>46691.0</s:v>
      </s:c>
      <s:c r="B22" s="79">
        <s:f>F21</s:f>
        <s:v>0.0</s:v>
      </s:c>
      <s:c r="C22" s="73">
        <s:f>Inputs!$C$9</s:f>
        <s:v>3000.0</s:v>
      </s:c>
      <s:c r="D22" s="79">
        <s:f>IF(SUMIFS('Deal Log'!$F$9:$F$208,'Deal Log'!$I$9:$I$208,A22,'Deal Log'!$H$9:$H$208,"Funded")&gt;0,SUMIFS('Deal Log'!$F$9:$F$208,'Deal Log'!$I$9:$I$208,A22,'Deal Log'!$H$9:$H$208,"Funded"),Inputs!$C$21)</s:f>
        <s:v>4500.0</s:v>
      </s:c>
      <s:c r="E22" s="79">
        <s:f>MIN(B22+C22,D22)</s:f>
        <s:v>3000.0</s:v>
      </s:c>
      <s:c r="F22" s="80">
        <s:f>MAX(0,B22+C22-D22)</s:f>
        <s:v>0.0</s:v>
      </s:c>
      <s:c r="G22" s="79">
        <s:f>MAX(0,D22-(B22+C22))</s:f>
        <s:v>1500.0</s:v>
      </s:c>
      <s:c r="H22" s="79">
        <s:f>G22*Inputs!$C$13</s:f>
        <s:v>330.0</s:v>
      </s:c>
      <s:c r="I22" s="73">
        <s:f>Inputs!$C$10</s:f>
        <s:v>2463.16</s:v>
      </s:c>
      <s:c r="J22" s="66">
        <s:f>I22+G22-H22</s:f>
        <s:v>3633.16</s:v>
      </s:c>
      <s:c r="K22" s="81" t="str">
        <s:f>IF(F22&gt;B22,"Advance still growing",IF(F22&gt;0,"Paying it down",IF(G22&gt;0,"CLEARED - real income now","Cleared")))</s:f>
        <s:v>CLEARED - real income now</s:v>
      </s:c>
    </s:row>
    <s:row r="23">
      <s:c r="A23" s="68">
        <s:f>EOMONTH(Inputs!$C$59,14)</s:f>
        <s:v>46721.0</s:v>
      </s:c>
      <s:c r="B23" s="76">
        <s:f>F22</s:f>
        <s:v>0.0</s:v>
      </s:c>
      <s:c r="C23" s="67">
        <s:f>Inputs!$C$9</s:f>
        <s:v>3000.0</s:v>
      </s:c>
      <s:c r="D23" s="76">
        <s:f>IF(SUMIFS('Deal Log'!$F$9:$F$208,'Deal Log'!$I$9:$I$208,A23,'Deal Log'!$H$9:$H$208,"Funded")&gt;0,SUMIFS('Deal Log'!$F$9:$F$208,'Deal Log'!$I$9:$I$208,A23,'Deal Log'!$H$9:$H$208,"Funded"),Inputs!$C$21)</s:f>
        <s:v>4500.0</s:v>
      </s:c>
      <s:c r="E23" s="76">
        <s:f>MIN(B23+C23,D23)</s:f>
        <s:v>3000.0</s:v>
      </s:c>
      <s:c r="F23" s="77">
        <s:f>MAX(0,B23+C23-D23)</s:f>
        <s:v>0.0</s:v>
      </s:c>
      <s:c r="G23" s="76">
        <s:f>MAX(0,D23-(B23+C23))</s:f>
        <s:v>1500.0</s:v>
      </s:c>
      <s:c r="H23" s="76">
        <s:f>G23*Inputs!$C$13</s:f>
        <s:v>330.0</s:v>
      </s:c>
      <s:c r="I23" s="67">
        <s:f>Inputs!$C$10</s:f>
        <s:v>2463.16</s:v>
      </s:c>
      <s:c r="J23" s="66">
        <s:f>I23+G23-H23</s:f>
        <s:v>3633.16</s:v>
      </s:c>
      <s:c r="K23" s="78" t="str">
        <s:f>IF(F23&gt;B23,"Advance still growing",IF(F23&gt;0,"Paying it down",IF(G23&gt;0,"CLEARED - real income now","Cleared")))</s:f>
        <s:v>CLEARED - real income now</s:v>
      </s:c>
    </s:row>
    <s:row r="24">
      <s:c r="A24" s="74">
        <s:f>EOMONTH(Inputs!$C$59,15)</s:f>
        <s:v>46752.0</s:v>
      </s:c>
      <s:c r="B24" s="79">
        <s:f>F23</s:f>
        <s:v>0.0</s:v>
      </s:c>
      <s:c r="C24" s="73">
        <s:f>Inputs!$C$9</s:f>
        <s:v>3000.0</s:v>
      </s:c>
      <s:c r="D24" s="79">
        <s:f>IF(SUMIFS('Deal Log'!$F$9:$F$208,'Deal Log'!$I$9:$I$208,A24,'Deal Log'!$H$9:$H$208,"Funded")&gt;0,SUMIFS('Deal Log'!$F$9:$F$208,'Deal Log'!$I$9:$I$208,A24,'Deal Log'!$H$9:$H$208,"Funded"),Inputs!$C$21)</s:f>
        <s:v>4500.0</s:v>
      </s:c>
      <s:c r="E24" s="79">
        <s:f>MIN(B24+C24,D24)</s:f>
        <s:v>3000.0</s:v>
      </s:c>
      <s:c r="F24" s="80">
        <s:f>MAX(0,B24+C24-D24)</s:f>
        <s:v>0.0</s:v>
      </s:c>
      <s:c r="G24" s="79">
        <s:f>MAX(0,D24-(B24+C24))</s:f>
        <s:v>1500.0</s:v>
      </s:c>
      <s:c r="H24" s="79">
        <s:f>G24*Inputs!$C$13</s:f>
        <s:v>330.0</s:v>
      </s:c>
      <s:c r="I24" s="73">
        <s:f>Inputs!$C$10</s:f>
        <s:v>2463.16</s:v>
      </s:c>
      <s:c r="J24" s="66">
        <s:f>I24+G24-H24</s:f>
        <s:v>3633.16</s:v>
      </s:c>
      <s:c r="K24" s="81" t="str">
        <s:f>IF(F24&gt;B24,"Advance still growing",IF(F24&gt;0,"Paying it down",IF(G24&gt;0,"CLEARED - real income now","Cleared")))</s:f>
        <s:v>CLEARED - real income now</s:v>
      </s:c>
    </s:row>
    <s:row r="25">
      <s:c r="A25" s="68">
        <s:f>EOMONTH(Inputs!$C$59,16)</s:f>
        <s:v>46783.0</s:v>
      </s:c>
      <s:c r="B25" s="76">
        <s:f>F24</s:f>
        <s:v>0.0</s:v>
      </s:c>
      <s:c r="C25" s="67">
        <s:f>Inputs!$C$9</s:f>
        <s:v>3000.0</s:v>
      </s:c>
      <s:c r="D25" s="76">
        <s:f>IF(SUMIFS('Deal Log'!$F$9:$F$208,'Deal Log'!$I$9:$I$208,A25,'Deal Log'!$H$9:$H$208,"Funded")&gt;0,SUMIFS('Deal Log'!$F$9:$F$208,'Deal Log'!$I$9:$I$208,A25,'Deal Log'!$H$9:$H$208,"Funded"),Inputs!$C$21)</s:f>
        <s:v>4500.0</s:v>
      </s:c>
      <s:c r="E25" s="76">
        <s:f>MIN(B25+C25,D25)</s:f>
        <s:v>3000.0</s:v>
      </s:c>
      <s:c r="F25" s="77">
        <s:f>MAX(0,B25+C25-D25)</s:f>
        <s:v>0.0</s:v>
      </s:c>
      <s:c r="G25" s="76">
        <s:f>MAX(0,D25-(B25+C25))</s:f>
        <s:v>1500.0</s:v>
      </s:c>
      <s:c r="H25" s="76">
        <s:f>G25*Inputs!$C$13</s:f>
        <s:v>330.0</s:v>
      </s:c>
      <s:c r="I25" s="67">
        <s:f>Inputs!$C$10</s:f>
        <s:v>2463.16</s:v>
      </s:c>
      <s:c r="J25" s="66">
        <s:f>I25+G25-H25</s:f>
        <s:v>3633.16</s:v>
      </s:c>
      <s:c r="K25" s="78" t="str">
        <s:f>IF(F25&gt;B25,"Advance still growing",IF(F25&gt;0,"Paying it down",IF(G25&gt;0,"CLEARED - real income now","Cleared")))</s:f>
        <s:v>CLEARED - real income now</s:v>
      </s:c>
    </s:row>
    <s:row r="26">
      <s:c r="A26" s="74">
        <s:f>EOMONTH(Inputs!$C$59,17)</s:f>
        <s:v>46812.0</s:v>
      </s:c>
      <s:c r="B26" s="79">
        <s:f>F25</s:f>
        <s:v>0.0</s:v>
      </s:c>
      <s:c r="C26" s="73">
        <s:f>Inputs!$C$9</s:f>
        <s:v>3000.0</s:v>
      </s:c>
      <s:c r="D26" s="79">
        <s:f>IF(SUMIFS('Deal Log'!$F$9:$F$208,'Deal Log'!$I$9:$I$208,A26,'Deal Log'!$H$9:$H$208,"Funded")&gt;0,SUMIFS('Deal Log'!$F$9:$F$208,'Deal Log'!$I$9:$I$208,A26,'Deal Log'!$H$9:$H$208,"Funded"),Inputs!$C$21)</s:f>
        <s:v>4500.0</s:v>
      </s:c>
      <s:c r="E26" s="79">
        <s:f>MIN(B26+C26,D26)</s:f>
        <s:v>3000.0</s:v>
      </s:c>
      <s:c r="F26" s="80">
        <s:f>MAX(0,B26+C26-D26)</s:f>
        <s:v>0.0</s:v>
      </s:c>
      <s:c r="G26" s="79">
        <s:f>MAX(0,D26-(B26+C26))</s:f>
        <s:v>1500.0</s:v>
      </s:c>
      <s:c r="H26" s="79">
        <s:f>G26*Inputs!$C$13</s:f>
        <s:v>330.0</s:v>
      </s:c>
      <s:c r="I26" s="73">
        <s:f>Inputs!$C$10</s:f>
        <s:v>2463.16</s:v>
      </s:c>
      <s:c r="J26" s="66">
        <s:f>I26+G26-H26</s:f>
        <s:v>3633.16</s:v>
      </s:c>
      <s:c r="K26" s="81" t="str">
        <s:f>IF(F26&gt;B26,"Advance still growing",IF(F26&gt;0,"Paying it down",IF(G26&gt;0,"CLEARED - real income now","Cleared")))</s:f>
        <s:v>CLEARED - real income now</s:v>
      </s:c>
    </s:row>
    <s:row r="27">
      <s:c r="A27" s="68">
        <s:f>EOMONTH(Inputs!$C$59,18)</s:f>
        <s:v>46843.0</s:v>
      </s:c>
      <s:c r="B27" s="76">
        <s:f>F26</s:f>
        <s:v>0.0</s:v>
      </s:c>
      <s:c r="C27" s="67">
        <s:f>Inputs!$C$9</s:f>
        <s:v>3000.0</s:v>
      </s:c>
      <s:c r="D27" s="76">
        <s:f>IF(SUMIFS('Deal Log'!$F$9:$F$208,'Deal Log'!$I$9:$I$208,A27,'Deal Log'!$H$9:$H$208,"Funded")&gt;0,SUMIFS('Deal Log'!$F$9:$F$208,'Deal Log'!$I$9:$I$208,A27,'Deal Log'!$H$9:$H$208,"Funded"),Inputs!$C$21)</s:f>
        <s:v>4500.0</s:v>
      </s:c>
      <s:c r="E27" s="76">
        <s:f>MIN(B27+C27,D27)</s:f>
        <s:v>3000.0</s:v>
      </s:c>
      <s:c r="F27" s="77">
        <s:f>MAX(0,B27+C27-D27)</s:f>
        <s:v>0.0</s:v>
      </s:c>
      <s:c r="G27" s="76">
        <s:f>MAX(0,D27-(B27+C27))</s:f>
        <s:v>1500.0</s:v>
      </s:c>
      <s:c r="H27" s="76">
        <s:f>G27*Inputs!$C$13</s:f>
        <s:v>330.0</s:v>
      </s:c>
      <s:c r="I27" s="67">
        <s:f>Inputs!$C$10</s:f>
        <s:v>2463.16</s:v>
      </s:c>
      <s:c r="J27" s="66">
        <s:f>I27+G27-H27</s:f>
        <s:v>3633.16</s:v>
      </s:c>
      <s:c r="K27" s="78" t="str">
        <s:f>IF(F27&gt;B27,"Advance still growing",IF(F27&gt;0,"Paying it down",IF(G27&gt;0,"CLEARED - real income now","Cleared")))</s:f>
        <s:v>CLEARED - real income now</s:v>
      </s:c>
    </s:row>
    <s:row r="28">
      <s:c r="A28" s="74">
        <s:f>EOMONTH(Inputs!$C$59,19)</s:f>
        <s:v>46873.0</s:v>
      </s:c>
      <s:c r="B28" s="79">
        <s:f>F27</s:f>
        <s:v>0.0</s:v>
      </s:c>
      <s:c r="C28" s="73">
        <s:f>Inputs!$C$9</s:f>
        <s:v>3000.0</s:v>
      </s:c>
      <s:c r="D28" s="79">
        <s:f>IF(SUMIFS('Deal Log'!$F$9:$F$208,'Deal Log'!$I$9:$I$208,A28,'Deal Log'!$H$9:$H$208,"Funded")&gt;0,SUMIFS('Deal Log'!$F$9:$F$208,'Deal Log'!$I$9:$I$208,A28,'Deal Log'!$H$9:$H$208,"Funded"),Inputs!$C$21)</s:f>
        <s:v>4500.0</s:v>
      </s:c>
      <s:c r="E28" s="79">
        <s:f>MIN(B28+C28,D28)</s:f>
        <s:v>3000.0</s:v>
      </s:c>
      <s:c r="F28" s="80">
        <s:f>MAX(0,B28+C28-D28)</s:f>
        <s:v>0.0</s:v>
      </s:c>
      <s:c r="G28" s="79">
        <s:f>MAX(0,D28-(B28+C28))</s:f>
        <s:v>1500.0</s:v>
      </s:c>
      <s:c r="H28" s="79">
        <s:f>G28*Inputs!$C$13</s:f>
        <s:v>330.0</s:v>
      </s:c>
      <s:c r="I28" s="73">
        <s:f>Inputs!$C$10</s:f>
        <s:v>2463.16</s:v>
      </s:c>
      <s:c r="J28" s="66">
        <s:f>I28+G28-H28</s:f>
        <s:v>3633.16</s:v>
      </s:c>
      <s:c r="K28" s="81" t="str">
        <s:f>IF(F28&gt;B28,"Advance still growing",IF(F28&gt;0,"Paying it down",IF(G28&gt;0,"CLEARED - real income now","Cleared")))</s:f>
        <s:v>CLEARED - real income now</s:v>
      </s:c>
    </s:row>
    <s:row r="29">
      <s:c r="A29" s="68">
        <s:f>EOMONTH(Inputs!$C$59,20)</s:f>
        <s:v>46904.0</s:v>
      </s:c>
      <s:c r="B29" s="76">
        <s:f>F28</s:f>
        <s:v>0.0</s:v>
      </s:c>
      <s:c r="C29" s="67">
        <s:f>Inputs!$C$9</s:f>
        <s:v>3000.0</s:v>
      </s:c>
      <s:c r="D29" s="76">
        <s:f>IF(SUMIFS('Deal Log'!$F$9:$F$208,'Deal Log'!$I$9:$I$208,A29,'Deal Log'!$H$9:$H$208,"Funded")&gt;0,SUMIFS('Deal Log'!$F$9:$F$208,'Deal Log'!$I$9:$I$208,A29,'Deal Log'!$H$9:$H$208,"Funded"),Inputs!$C$21)</s:f>
        <s:v>4500.0</s:v>
      </s:c>
      <s:c r="E29" s="76">
        <s:f>MIN(B29+C29,D29)</s:f>
        <s:v>3000.0</s:v>
      </s:c>
      <s:c r="F29" s="77">
        <s:f>MAX(0,B29+C29-D29)</s:f>
        <s:v>0.0</s:v>
      </s:c>
      <s:c r="G29" s="76">
        <s:f>MAX(0,D29-(B29+C29))</s:f>
        <s:v>1500.0</s:v>
      </s:c>
      <s:c r="H29" s="76">
        <s:f>G29*Inputs!$C$13</s:f>
        <s:v>330.0</s:v>
      </s:c>
      <s:c r="I29" s="67">
        <s:f>Inputs!$C$10</s:f>
        <s:v>2463.16</s:v>
      </s:c>
      <s:c r="J29" s="66">
        <s:f>I29+G29-H29</s:f>
        <s:v>3633.16</s:v>
      </s:c>
      <s:c r="K29" s="78" t="str">
        <s:f>IF(F29&gt;B29,"Advance still growing",IF(F29&gt;0,"Paying it down",IF(G29&gt;0,"CLEARED - real income now","Cleared")))</s:f>
        <s:v>CLEARED - real income now</s:v>
      </s:c>
    </s:row>
    <s:row r="30">
      <s:c r="A30" s="74">
        <s:f>EOMONTH(Inputs!$C$59,21)</s:f>
        <s:v>46934.0</s:v>
      </s:c>
      <s:c r="B30" s="79">
        <s:f>F29</s:f>
        <s:v>0.0</s:v>
      </s:c>
      <s:c r="C30" s="73">
        <s:f>Inputs!$C$9</s:f>
        <s:v>3000.0</s:v>
      </s:c>
      <s:c r="D30" s="79">
        <s:f>IF(SUMIFS('Deal Log'!$F$9:$F$208,'Deal Log'!$I$9:$I$208,A30,'Deal Log'!$H$9:$H$208,"Funded")&gt;0,SUMIFS('Deal Log'!$F$9:$F$208,'Deal Log'!$I$9:$I$208,A30,'Deal Log'!$H$9:$H$208,"Funded"),Inputs!$C$21)</s:f>
        <s:v>4500.0</s:v>
      </s:c>
      <s:c r="E30" s="79">
        <s:f>MIN(B30+C30,D30)</s:f>
        <s:v>3000.0</s:v>
      </s:c>
      <s:c r="F30" s="80">
        <s:f>MAX(0,B30+C30-D30)</s:f>
        <s:v>0.0</s:v>
      </s:c>
      <s:c r="G30" s="79">
        <s:f>MAX(0,D30-(B30+C30))</s:f>
        <s:v>1500.0</s:v>
      </s:c>
      <s:c r="H30" s="79">
        <s:f>G30*Inputs!$C$13</s:f>
        <s:v>330.0</s:v>
      </s:c>
      <s:c r="I30" s="73">
        <s:f>Inputs!$C$10</s:f>
        <s:v>2463.16</s:v>
      </s:c>
      <s:c r="J30" s="66">
        <s:f>I30+G30-H30</s:f>
        <s:v>3633.16</s:v>
      </s:c>
      <s:c r="K30" s="81" t="str">
        <s:f>IF(F30&gt;B30,"Advance still growing",IF(F30&gt;0,"Paying it down",IF(G30&gt;0,"CLEARED - real income now","Cleared")))</s:f>
        <s:v>CLEARED - real income now</s:v>
      </s:c>
    </s:row>
    <s:row r="31">
      <s:c r="A31" s="68">
        <s:f>EOMONTH(Inputs!$C$59,22)</s:f>
        <s:v>46965.0</s:v>
      </s:c>
      <s:c r="B31" s="76">
        <s:f>F30</s:f>
        <s:v>0.0</s:v>
      </s:c>
      <s:c r="C31" s="67">
        <s:f>Inputs!$C$9</s:f>
        <s:v>3000.0</s:v>
      </s:c>
      <s:c r="D31" s="76">
        <s:f>IF(SUMIFS('Deal Log'!$F$9:$F$208,'Deal Log'!$I$9:$I$208,A31,'Deal Log'!$H$9:$H$208,"Funded")&gt;0,SUMIFS('Deal Log'!$F$9:$F$208,'Deal Log'!$I$9:$I$208,A31,'Deal Log'!$H$9:$H$208,"Funded"),Inputs!$C$21)</s:f>
        <s:v>4500.0</s:v>
      </s:c>
      <s:c r="E31" s="76">
        <s:f>MIN(B31+C31,D31)</s:f>
        <s:v>3000.0</s:v>
      </s:c>
      <s:c r="F31" s="77">
        <s:f>MAX(0,B31+C31-D31)</s:f>
        <s:v>0.0</s:v>
      </s:c>
      <s:c r="G31" s="76">
        <s:f>MAX(0,D31-(B31+C31))</s:f>
        <s:v>1500.0</s:v>
      </s:c>
      <s:c r="H31" s="76">
        <s:f>G31*Inputs!$C$13</s:f>
        <s:v>330.0</s:v>
      </s:c>
      <s:c r="I31" s="67">
        <s:f>Inputs!$C$10</s:f>
        <s:v>2463.16</s:v>
      </s:c>
      <s:c r="J31" s="66">
        <s:f>I31+G31-H31</s:f>
        <s:v>3633.16</s:v>
      </s:c>
      <s:c r="K31" s="78" t="str">
        <s:f>IF(F31&gt;B31,"Advance still growing",IF(F31&gt;0,"Paying it down",IF(G31&gt;0,"CLEARED - real income now","Cleared")))</s:f>
        <s:v>CLEARED - real income now</s:v>
      </s:c>
    </s:row>
    <s:row r="32">
      <s:c r="A32" s="74">
        <s:f>EOMONTH(Inputs!$C$59,23)</s:f>
        <s:v>46996.0</s:v>
      </s:c>
      <s:c r="B32" s="79">
        <s:f>F31</s:f>
        <s:v>0.0</s:v>
      </s:c>
      <s:c r="C32" s="73">
        <s:f>Inputs!$C$9</s:f>
        <s:v>3000.0</s:v>
      </s:c>
      <s:c r="D32" s="79">
        <s:f>IF(SUMIFS('Deal Log'!$F$9:$F$208,'Deal Log'!$I$9:$I$208,A32,'Deal Log'!$H$9:$H$208,"Funded")&gt;0,SUMIFS('Deal Log'!$F$9:$F$208,'Deal Log'!$I$9:$I$208,A32,'Deal Log'!$H$9:$H$208,"Funded"),Inputs!$C$21)</s:f>
        <s:v>4500.0</s:v>
      </s:c>
      <s:c r="E32" s="79">
        <s:f>MIN(B32+C32,D32)</s:f>
        <s:v>3000.0</s:v>
      </s:c>
      <s:c r="F32" s="80">
        <s:f>MAX(0,B32+C32-D32)</s:f>
        <s:v>0.0</s:v>
      </s:c>
      <s:c r="G32" s="79">
        <s:f>MAX(0,D32-(B32+C32))</s:f>
        <s:v>1500.0</s:v>
      </s:c>
      <s:c r="H32" s="79">
        <s:f>G32*Inputs!$C$13</s:f>
        <s:v>330.0</s:v>
      </s:c>
      <s:c r="I32" s="73">
        <s:f>Inputs!$C$10</s:f>
        <s:v>2463.16</s:v>
      </s:c>
      <s:c r="J32" s="66">
        <s:f>I32+G32-H32</s:f>
        <s:v>3633.16</s:v>
      </s:c>
      <s:c r="K32" s="81" t="str">
        <s:f>IF(F32&gt;B32,"Advance still growing",IF(F32&gt;0,"Paying it down",IF(G32&gt;0,"CLEARED - real income now","Cleared")))</s:f>
        <s:v>CLEARED - real income now</s:v>
      </s:c>
    </s:row>
    <s:row r="33">
      <s:c r="A33" s="82" t="inlineStr">
        <s:is>
          <s:t>24-MONTH TOTAL</s:t>
        </s:is>
      </s:c>
      <s:c r="C33" s="83">
        <s:f>SUM(C9:C32)</s:f>
        <s:v>72000.0</s:v>
      </s:c>
      <s:c r="D33" s="83">
        <s:f>SUM(D9:D32)</s:f>
        <s:v>108000.0</s:v>
      </s:c>
      <s:c r="E33" s="83">
        <s:f>SUM(E9:E32)</s:f>
        <s:v>88500.0</s:v>
      </s:c>
      <s:c r="G33" s="83">
        <s:f>SUM(G9:G32)</s:f>
        <s:v>19500.0</s:v>
      </s:c>
      <s:c r="H33" s="83">
        <s:f>SUM(H9:H32)</s:f>
        <s:v>4290.0</s:v>
      </s:c>
      <s:c r="I33" s="83">
        <s:f>SUM(I9:I32)</s:f>
        <s:v>59115.84</s:v>
      </s:c>
      <s:c r="J33" s="83">
        <s:f>SUM(J9:J32)</s:f>
        <s:v>74325.84</s:v>
      </s:c>
    </s:row>
  </s:sheetData>
  <s:mergeCells count="4">
    <s:mergeCell ref="A2:K2"/>
    <s:mergeCell ref="A1:K1"/>
    <s:mergeCell ref="E4:G4"/>
    <s:mergeCell ref="A5:K5"/>
  </s:mergeCells>
  <s:conditionalFormatting sqref="F9:F32">
    <s:cfRule type="cellIs" priority="1" operator="equal" dxfId="0">
      <s:formula>0</s:formula>
    </s:cfRule>
  </s:conditionalFormatting>
  <s:conditionalFormatting sqref="G9:G32">
    <s:cfRule type="cellIs" priority="2" operator="greaterThan" dxfId="0">
      <s:formula>0</s:formula>
    </s:cfRule>
  </s:conditionalFormatting>
  <s:pageMargins left="0.75" right="0.75" top="1" bottom="1" header="0.5" footer="0.5"/>
</s:worksheet>
</file>

<file path=xl/worksheets/sheet7.xml><?xml version="1.0" encoding="utf-8"?>
<s:worksheet xmlns:s="http://schemas.openxmlformats.org/spreadsheetml/2006/main">
  <s:sheetPr>
    <s:tabColor rgb="001E7B4F"/>
    <s:outlinePr summaryBelow="1" summaryRight="1"/>
    <s:pageSetUpPr/>
  </s:sheetPr>
  <s:dimension ref="A1:D22"/>
  <s:sheetViews>
    <s:sheetView showGridLines="0" workbookViewId="0">
      <s:pane ySplit="4" topLeftCell="A5" activePane="bottomLeft" state="frozen"/>
      <s:selection pane="bottomLeft" activeCell="A1" sqref="A1"/>
    </s:sheetView>
  </s:sheetViews>
  <s:sheetFormatPr baseColWidth="8" defaultRowHeight="15"/>
  <s:cols>
    <s:col width="30" customWidth="1" min="1" max="1"/>
    <s:col width="14" customWidth="1" min="2" max="2"/>
    <s:col width="13" customWidth="1" min="3" max="3"/>
    <s:col width="56" customWidth="1" min="4" max="4"/>
  </s:cols>
  <s:sheetData>
    <s:row r="1" ht="26" customHeight="1">
      <s:c r="A1" s="1" t="inlineStr">
        <s:is>
          <s:t>BUDGET  —  what your life costs each month</s:t>
        </s:is>
      </s:c>
      <s:c r="B1" s="2" t="n"/>
      <s:c r="C1" s="2" t="n"/>
      <s:c r="D1" s="2" t="n"/>
    </s:row>
    <s:row r="2" ht="16" customHeight="1">
      <s:c r="A2" s="3" t="inlineStr">
        <s:is>
          <s:t>Pulled from Inputs. Change numbers there, not here.</s:t>
        </s:is>
      </s:c>
      <s:c r="B2" s="2" t="n"/>
      <s:c r="C2" s="2" t="n"/>
      <s:c r="D2" s="2" t="n"/>
    </s:row>
    <s:row r="4" ht="20" customHeight="1">
      <s:c r="A4" s="16" t="inlineStr">
        <s:is>
          <s:t>Line</s:t>
        </s:is>
      </s:c>
      <s:c r="B4" s="16" t="inlineStr">
        <s:is>
          <s:t>Per month</s:t>
        </s:is>
      </s:c>
      <s:c r="C4" s="16" t="inlineStr">
        <s:is>
          <s:t>Per year</s:t>
        </s:is>
      </s:c>
      <s:c r="D4" s="16" t="inlineStr">
        <s:is>
          <s:t>Note</s:t>
        </s:is>
      </s:c>
    </s:row>
    <s:row r="5">
      <s:c r="A5" s="84" t="inlineStr">
        <s:is>
          <s:t>Car payment</s:t>
        </s:is>
      </s:c>
      <s:c r="B5" s="67">
        <s:f>Inputs!$C$27</s:f>
        <s:v>475.69</s:v>
      </s:c>
      <s:c r="C5" s="76">
        <s:f>B5*12</s:f>
        <s:v>5708.28</s:v>
      </s:c>
      <s:c r="D5" s="20" t="inlineStr"/>
    </s:row>
    <s:row r="6">
      <s:c r="A6" s="85" t="inlineStr">
        <s:is>
          <s:t>Car insurance</s:t>
        </s:is>
      </s:c>
      <s:c r="B6" s="73">
        <s:f>Inputs!$C$28</s:f>
        <s:v>165.0</s:v>
      </s:c>
      <s:c r="C6" s="79">
        <s:f>B6*12</s:f>
        <s:v>1980.0</s:v>
      </s:c>
      <s:c r="D6" s="24" t="inlineStr">
        <s:is>
          <s:t>Estimated - confirm.</s:t>
        </s:is>
      </s:c>
    </s:row>
    <s:row r="7">
      <s:c r="A7" s="84" t="inlineStr">
        <s:is>
          <s:t>Gym (x2/mo)</s:t>
        </s:is>
      </s:c>
      <s:c r="B7" s="67">
        <s:f>Inputs!$C$29*2</s:f>
        <s:v>63.98</s:v>
      </s:c>
      <s:c r="C7" s="76">
        <s:f>B7*12</s:f>
        <s:v>767.76</s:v>
      </s:c>
      <s:c r="D7" s="20" t="inlineStr">
        <s:is>
          <s:t>x2</s:t>
        </s:is>
      </s:c>
    </s:row>
    <s:row r="8">
      <s:c r="A8" s="85" t="inlineStr">
        <s:is>
          <s:t>Amazon Prime</s:t>
        </s:is>
      </s:c>
      <s:c r="B8" s="73">
        <s:f>Inputs!$C$30</s:f>
        <s:v>15.0</s:v>
      </s:c>
      <s:c r="C8" s="79">
        <s:f>B8*12</s:f>
        <s:v>180.0</s:v>
      </s:c>
      <s:c r="D8" s="24" t="inlineStr">
        <s:is>
          <s:t>Annual plan saves ~$41/yr.</s:t>
        </s:is>
      </s:c>
    </s:row>
    <s:row r="9">
      <s:c r="A9" s="84" t="inlineStr">
        <s:is>
          <s:t>Phone</s:t>
        </s:is>
      </s:c>
      <s:c r="B9" s="67">
        <s:f>Inputs!$C$31</s:f>
        <s:v>60.0</s:v>
      </s:c>
      <s:c r="C9" s="76">
        <s:f>B9*12</s:f>
        <s:v>720.0</s:v>
      </s:c>
      <s:c r="D9" s="20" t="inlineStr">
        <s:is>
          <s:t>Estimated.</s:t>
        </s:is>
      </s:c>
    </s:row>
    <s:row r="10">
      <s:c r="A10" s="85" t="inlineStr">
        <s:is>
          <s:t>Fuel</s:t>
        </s:is>
      </s:c>
      <s:c r="B10" s="73">
        <s:f>Inputs!$C$35</s:f>
        <s:v>215.7894736842105</s:v>
      </s:c>
      <s:c r="C10" s="79">
        <s:f>B10*12</s:f>
        <s:v>2589.473684210526</s:v>
      </s:c>
      <s:c r="D10" s="24" t="inlineStr">
        <s:is>
          <s:t>1,000 mi at 19 mpg.</s:t>
        </s:is>
      </s:c>
    </s:row>
    <s:row r="11">
      <s:c r="A11" s="84" t="inlineStr">
        <s:is>
          <s:t>Coffee</s:t>
        </s:is>
      </s:c>
      <s:c r="B11" s="67">
        <s:f>Inputs!$C$38</s:f>
        <s:v>104.0</s:v>
      </s:c>
      <s:c r="C11" s="76">
        <s:f>B11*12</s:f>
        <s:v>1248.0</s:v>
      </s:c>
      <s:c r="D11" s="20" t="inlineStr"/>
    </s:row>
    <s:row r="12">
      <s:c r="A12" s="85" t="inlineStr">
        <s:is>
          <s:t>Food</s:t>
        </s:is>
      </s:c>
      <s:c r="B12" s="73">
        <s:f>Inputs!$C$39</s:f>
        <s:v>400.0</s:v>
      </s:c>
      <s:c r="C12" s="79">
        <s:f>B12*12</s:f>
        <s:v>4800.0</s:v>
      </s:c>
      <s:c r="D12" s="24" t="inlineStr">
        <s:is>
          <s:t>Estimated.</s:t>
        </s:is>
      </s:c>
    </s:row>
    <s:row r="13">
      <s:c r="A13" s="84" t="inlineStr">
        <s:is>
          <s:t>Fun / personal</s:t>
        </s:is>
      </s:c>
      <s:c r="B13" s="67">
        <s:f>Inputs!$C$40</s:f>
        <s:v>250.0</s:v>
      </s:c>
      <s:c r="C13" s="76">
        <s:f>B13*12</s:f>
        <s:v>3000.0</s:v>
      </s:c>
      <s:c r="D13" s="20" t="inlineStr">
        <s:is>
          <s:t>Estimated.</s:t>
        </s:is>
      </s:c>
    </s:row>
    <s:row r="14">
      <s:c r="A14" s="85" t="inlineStr">
        <s:is>
          <s:t>Car maintenance</s:t>
        </s:is>
      </s:c>
      <s:c r="B14" s="73">
        <s:f>Inputs!$C$41</s:f>
        <s:v>90.0</s:v>
      </s:c>
      <s:c r="C14" s="79">
        <s:f>B14*12</s:f>
        <s:v>1080.0</s:v>
      </s:c>
      <s:c r="D14" s="24" t="inlineStr">
        <s:is>
          <s:t>Estimated.</s:t>
        </s:is>
      </s:c>
    </s:row>
    <s:row r="15">
      <s:c r="A15" s="8" t="inlineStr">
        <s:is>
          <s:t>LIVING COSTS</s:t>
        </s:is>
      </s:c>
      <s:c r="B15" s="86">
        <s:f>SUM(B5:B14)</s:f>
        <s:v>1839.4594736842105</s:v>
      </s:c>
      <s:c r="C15" s="86">
        <s:f>B15*12</s:f>
        <s:v>22073.513684210528</s:v>
      </s:c>
    </s:row>
    <s:row r="16">
      <s:c r="A16" s="84" t="inlineStr">
        <s:is>
          <s:t>Marketing</s:t>
        </s:is>
      </s:c>
      <s:c r="B16" s="67">
        <s:f>Inputs!$C$42</s:f>
        <s:v>1000.0</s:v>
      </s:c>
      <s:c r="C16" s="76">
        <s:f>B16*12</s:f>
        <s:v>12000.0</s:v>
      </s:c>
      <s:c r="D16" s="78" t="inlineStr">
        <s:is>
          <s:t>Zero this if the company pays for it.</s:t>
        </s:is>
      </s:c>
    </s:row>
    <s:row r="17">
      <s:c r="A17" s="82" t="inlineStr">
        <s:is>
          <s:t>TOTAL OUT EACH MONTH</s:t>
        </s:is>
      </s:c>
      <s:c r="B17" s="87">
        <s:f>B15+B16</s:f>
        <s:v>2839.4594736842105</s:v>
      </s:c>
      <s:c r="C17" s="87">
        <s:f>B17*12</s:f>
        <s:v>34073.51368421053</s:v>
      </s:c>
    </s:row>
    <s:row r="19">
      <s:c r="A19" s="8" t="inlineStr">
        <s:is>
          <s:t>Your income right now (net draw)</s:t>
        </s:is>
      </s:c>
      <s:c r="B19" s="88">
        <s:f>Inputs!$C$10</s:f>
        <s:v>2463.16</s:v>
      </s:c>
      <s:c r="C19" s="89">
        <s:f>B19*12</s:f>
        <s:v>29557.92</s:v>
      </s:c>
      <s:c r="D19" s="20" t="inlineStr">
        <s:is>
          <s:t>Fixed at this until the advance clears - closing more loans does not change it.</s:t>
        </s:is>
      </s:c>
    </s:row>
    <s:row r="20">
      <s:c r="A20" s="82" t="inlineStr">
        <s:is>
          <s:t>LEFT OVER EACH MONTH</s:t>
        </s:is>
      </s:c>
      <s:c r="B20" s="90">
        <s:f>B19-B17</s:f>
        <s:v>-376.2994736842106</s:v>
      </s:c>
      <s:c r="C20" s="90">
        <s:f>B20*12</s:f>
        <s:v>-4515.5936842105275</s:v>
      </s:c>
      <s:c r="D20" s="91" t="inlineStr">
        <s:is>
          <s:t>Negative means the draw does not cover your life. Marketing is the swing factor.</s:t>
        </s:is>
      </s:c>
    </s:row>
    <s:row r="22">
      <s:c r="A22" s="84" t="inlineStr">
        <s:is>
          <s:t>Without marketing, left over is</s:t>
        </s:is>
      </s:c>
      <s:c r="B22" s="66">
        <s:f>B19-B15</s:f>
        <s:v>623.7005263157894</s:v>
      </s:c>
      <s:c r="D22" s="20" t="inlineStr">
        <s:is>
          <s:t>If Baxter funds marketing, this is your real monthly surplus.</s:t>
        </s:is>
      </s:c>
    </s:row>
  </s:sheetData>
  <s:mergeCells count="2">
    <s:mergeCell ref="A1:D1"/>
    <s:mergeCell ref="A2:D2"/>
  </s:mergeCells>
  <s:pageMargins left="0.75" right="0.75" top="1" bottom="1" header="0.5" footer="0.5"/>
</s:worksheet>
</file>

<file path=xl/worksheets/sheet8.xml><?xml version="1.0" encoding="utf-8"?>
<s:worksheet xmlns:r="http://schemas.openxmlformats.org/officeDocument/2006/relationships" xmlns:s="http://schemas.openxmlformats.org/spreadsheetml/2006/main">
  <s:sheetPr>
    <s:tabColor rgb="000F2B46"/>
    <s:outlinePr summaryBelow="1" summaryRight="1"/>
    <s:pageSetUpPr/>
  </s:sheetPr>
  <s:dimension ref="A1:I33"/>
  <s:sheetViews>
    <s:sheetView showGridLines="0" workbookViewId="0">
      <s:pane xSplit="1" ySplit="8" topLeftCell="B9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11" customWidth="1" min="1" max="1"/>
    <s:col width="14" customWidth="1" min="2" max="2"/>
    <s:col width="13" customWidth="1" min="3" max="3"/>
    <s:col width="13" customWidth="1" min="4" max="4"/>
    <s:col width="13" customWidth="1" min="5" max="5"/>
    <s:col width="14" customWidth="1" min="6" max="6"/>
    <s:col width="15" customWidth="1" min="7" max="7"/>
    <s:col width="13" customWidth="1" min="8" max="8"/>
    <s:col width="30" customWidth="1" min="9" max="9"/>
  </s:cols>
  <s:sheetData>
    <s:row r="1" ht="26" customHeight="1">
      <s:c r="A1" s="1" t="inlineStr">
        <s:is>
          <s:t>CASH FLOW  —  what is left after the bills, month by month</s:t>
        </s:is>
      </s:c>
      <s:c r="B1" s="2" t="n"/>
      <s:c r="C1" s="2" t="n"/>
      <s:c r="D1" s="2" t="n"/>
      <s:c r="E1" s="2" t="n"/>
      <s:c r="F1" s="2" t="n"/>
      <s:c r="G1" s="2" t="n"/>
      <s:c r="H1" s="2" t="n"/>
      <s:c r="I1" s="2" t="n"/>
    </s:row>
    <s:row r="2" ht="16" customHeight="1">
      <s:c r="A2" s="3" t="inlineStr">
        <s:is>
          <s:t>Income comes from 'Draw Payback'. Costs come from 'Budget'. Negative months are shaded red.</s:t>
        </s:is>
      </s:c>
      <s:c r="B2" s="2" t="n"/>
      <s:c r="C2" s="2" t="n"/>
      <s:c r="D2" s="2" t="n"/>
      <s:c r="E2" s="2" t="n"/>
      <s:c r="F2" s="2" t="n"/>
      <s:c r="G2" s="2" t="n"/>
      <s:c r="H2" s="2" t="n"/>
      <s:c r="I2" s="2" t="n"/>
    </s:row>
    <s:row r="4">
      <s:c r="A4" s="12" t="inlineStr">
        <s:is>
          <s:t>Average monthly surplus, next 12 months</s:t>
        </s:is>
      </s:c>
      <s:c r="D4" s="32">
        <s:f>AVERAGE(F9:F20)</s:f>
        <s:v>-278.7994736842107</s:v>
      </s:c>
      <s:c r="E4" s="12" t="inlineStr">
        <s:is>
          <s:t>Cash you will have built in 24 months</s:t>
        </s:is>
      </s:c>
      <s:c r="G4" s="31">
        <s:f>G32</s:f>
        <s:v>6178.812631578945</s:v>
      </s:c>
    </s:row>
    <s:row r="8" ht="30" customHeight="1">
      <s:c r="A8" s="16" t="inlineStr">
        <s:is>
          <s:t>Month</s:t>
        </s:is>
      </s:c>
      <s:c r="B8" s="16" t="inlineStr">
        <s:is>
          <s:t>Cash to you</s:t>
        </s:is>
      </s:c>
      <s:c r="C8" s="16" t="inlineStr">
        <s:is>
          <s:t>Living costs</s:t>
        </s:is>
      </s:c>
      <s:c r="D8" s="16" t="inlineStr">
        <s:is>
          <s:t>Marketing</s:t>
        </s:is>
      </s:c>
      <s:c r="E8" s="16" t="inlineStr">
        <s:is>
          <s:t>Total out</s:t>
        </s:is>
      </s:c>
      <s:c r="F8" s="16" t="inlineStr">
        <s:is>
          <s:t>SURPLUS</s:t>
        </s:is>
      </s:c>
      <s:c r="G8" s="16" t="inlineStr">
        <s:is>
          <s:t>Cumulative</s:t>
        </s:is>
      </s:c>
      <s:c r="H8" s="16" t="inlineStr">
        <s:is>
          <s:t>Cert transfer</s:t>
        </s:is>
      </s:c>
      <s:c r="I8" s="16" t="inlineStr">
        <s:is>
          <s:t>Note</s:t>
        </s:is>
      </s:c>
    </s:row>
    <s:row r="9">
      <s:c r="A9" s="92">
        <s:f>'Draw Payback'!A9</s:f>
        <s:v>46295.0</s:v>
      </s:c>
      <s:c r="B9" s="67">
        <s:f>'Draw Payback'!J9</s:f>
        <s:v>2463.16</s:v>
      </s:c>
      <s:c r="C9" s="67">
        <s:f>Budget!$B$15</s:f>
        <s:v>1839.4594736842105</s:v>
      </s:c>
      <s:c r="D9" s="67">
        <s:f>Budget!$B$16</s:f>
        <s:v>1000.0</s:v>
      </s:c>
      <s:c r="E9" s="76">
        <s:f>C9+D9</s:f>
        <s:v>2839.4594736842105</s:v>
      </s:c>
      <s:c r="F9" s="86">
        <s:f>B9-E9</s:f>
        <s:v>-376.2994736842106</s:v>
      </s:c>
      <s:c r="G9" s="77">
        <s:f>F9</s:f>
        <s:v>-376.2994736842106</s:v>
      </s:c>
      <s:c r="H9" s="67">
        <s:f>IF(MOD(0,3)=0,Inputs!$C$51,0)</s:f>
        <s:v>1250.0</s:v>
      </s:c>
      <s:c r="I9" s="78" t="str">
        <s:f>IF(F9&lt;0,"short - dipping into savings","")</s:f>
        <s:v>short - dipping into savings</s:v>
      </s:c>
    </s:row>
    <s:row r="10">
      <s:c r="A10" s="93">
        <s:f>'Draw Payback'!A10</s:f>
        <s:v>46326.0</s:v>
      </s:c>
      <s:c r="B10" s="73">
        <s:f>'Draw Payback'!J10</s:f>
        <s:v>2463.16</s:v>
      </s:c>
      <s:c r="C10" s="73">
        <s:f>Budget!$B$15</s:f>
        <s:v>1839.4594736842105</s:v>
      </s:c>
      <s:c r="D10" s="73">
        <s:f>Budget!$B$16</s:f>
        <s:v>1000.0</s:v>
      </s:c>
      <s:c r="E10" s="79">
        <s:f>C10+D10</s:f>
        <s:v>2839.4594736842105</s:v>
      </s:c>
      <s:c r="F10" s="86">
        <s:f>B10-E10</s:f>
        <s:v>-376.2994736842106</s:v>
      </s:c>
      <s:c r="G10" s="94">
        <s:f>G9+F10</s:f>
        <s:v>-752.5989473684212</s:v>
      </s:c>
      <s:c r="H10" s="73">
        <s:f>IF(MOD(1,3)=0,Inputs!$C$51,0)</s:f>
        <s:v>0.0</s:v>
      </s:c>
      <s:c r="I10" s="81" t="str">
        <s:f>IF(F10&lt;0,"short - dipping into savings","")</s:f>
        <s:v>short - dipping into savings</s:v>
      </s:c>
    </s:row>
    <s:row r="11">
      <s:c r="A11" s="92">
        <s:f>'Draw Payback'!A11</s:f>
        <s:v>46356.0</s:v>
      </s:c>
      <s:c r="B11" s="67">
        <s:f>'Draw Payback'!J11</s:f>
        <s:v>2463.16</s:v>
      </s:c>
      <s:c r="C11" s="67">
        <s:f>Budget!$B$15</s:f>
        <s:v>1839.4594736842105</s:v>
      </s:c>
      <s:c r="D11" s="67">
        <s:f>Budget!$B$16</s:f>
        <s:v>1000.0</s:v>
      </s:c>
      <s:c r="E11" s="76">
        <s:f>C11+D11</s:f>
        <s:v>2839.4594736842105</s:v>
      </s:c>
      <s:c r="F11" s="86">
        <s:f>B11-E11</s:f>
        <s:v>-376.2994736842106</s:v>
      </s:c>
      <s:c r="G11" s="77">
        <s:f>G10+F11</s:f>
        <s:v>-1128.8984210526319</s:v>
      </s:c>
      <s:c r="H11" s="67">
        <s:f>IF(MOD(2,3)=0,Inputs!$C$51,0)</s:f>
        <s:v>0.0</s:v>
      </s:c>
      <s:c r="I11" s="78" t="str">
        <s:f>IF(F11&lt;0,"short - dipping into savings","")</s:f>
        <s:v>short - dipping into savings</s:v>
      </s:c>
    </s:row>
    <s:row r="12">
      <s:c r="A12" s="93">
        <s:f>'Draw Payback'!A12</s:f>
        <s:v>46387.0</s:v>
      </s:c>
      <s:c r="B12" s="73">
        <s:f>'Draw Payback'!J12</s:f>
        <s:v>2463.16</s:v>
      </s:c>
      <s:c r="C12" s="73">
        <s:f>Budget!$B$15</s:f>
        <s:v>1839.4594736842105</s:v>
      </s:c>
      <s:c r="D12" s="73">
        <s:f>Budget!$B$16</s:f>
        <s:v>1000.0</s:v>
      </s:c>
      <s:c r="E12" s="79">
        <s:f>C12+D12</s:f>
        <s:v>2839.4594736842105</s:v>
      </s:c>
      <s:c r="F12" s="86">
        <s:f>B12-E12</s:f>
        <s:v>-376.2994736842106</s:v>
      </s:c>
      <s:c r="G12" s="94">
        <s:f>G11+F12</s:f>
        <s:v>-1505.1978947368425</s:v>
      </s:c>
      <s:c r="H12" s="73">
        <s:f>IF(MOD(3,3)=0,Inputs!$C$51,0)</s:f>
        <s:v>1250.0</s:v>
      </s:c>
      <s:c r="I12" s="81" t="str">
        <s:f>IF(F12&lt;0,"short - dipping into savings","")</s:f>
        <s:v>short - dipping into savings</s:v>
      </s:c>
    </s:row>
    <s:row r="13">
      <s:c r="A13" s="92">
        <s:f>'Draw Payback'!A13</s:f>
        <s:v>46418.0</s:v>
      </s:c>
      <s:c r="B13" s="67">
        <s:f>'Draw Payback'!J13</s:f>
        <s:v>2463.16</s:v>
      </s:c>
      <s:c r="C13" s="67">
        <s:f>Budget!$B$15</s:f>
        <s:v>1839.4594736842105</s:v>
      </s:c>
      <s:c r="D13" s="67">
        <s:f>Budget!$B$16</s:f>
        <s:v>1000.0</s:v>
      </s:c>
      <s:c r="E13" s="76">
        <s:f>C13+D13</s:f>
        <s:v>2839.4594736842105</s:v>
      </s:c>
      <s:c r="F13" s="86">
        <s:f>B13-E13</s:f>
        <s:v>-376.2994736842106</s:v>
      </s:c>
      <s:c r="G13" s="77">
        <s:f>G12+F13</s:f>
        <s:v>-1881.4973684210531</s:v>
      </s:c>
      <s:c r="H13" s="67">
        <s:f>IF(MOD(4,3)=0,Inputs!$C$51,0)</s:f>
        <s:v>0.0</s:v>
      </s:c>
      <s:c r="I13" s="78" t="str">
        <s:f>IF(F13&lt;0,"short - dipping into savings","")</s:f>
        <s:v>short - dipping into savings</s:v>
      </s:c>
    </s:row>
    <s:row r="14">
      <s:c r="A14" s="93">
        <s:f>'Draw Payback'!A14</s:f>
        <s:v>46446.0</s:v>
      </s:c>
      <s:c r="B14" s="73">
        <s:f>'Draw Payback'!J14</s:f>
        <s:v>2463.16</s:v>
      </s:c>
      <s:c r="C14" s="73">
        <s:f>Budget!$B$15</s:f>
        <s:v>1839.4594736842105</s:v>
      </s:c>
      <s:c r="D14" s="73">
        <s:f>Budget!$B$16</s:f>
        <s:v>1000.0</s:v>
      </s:c>
      <s:c r="E14" s="79">
        <s:f>C14+D14</s:f>
        <s:v>2839.4594736842105</s:v>
      </s:c>
      <s:c r="F14" s="86">
        <s:f>B14-E14</s:f>
        <s:v>-376.2994736842106</s:v>
      </s:c>
      <s:c r="G14" s="94">
        <s:f>G13+F14</s:f>
        <s:v>-2257.7968421052637</s:v>
      </s:c>
      <s:c r="H14" s="73">
        <s:f>IF(MOD(5,3)=0,Inputs!$C$51,0)</s:f>
        <s:v>0.0</s:v>
      </s:c>
      <s:c r="I14" s="81" t="str">
        <s:f>IF(F14&lt;0,"short - dipping into savings","")</s:f>
        <s:v>short - dipping into savings</s:v>
      </s:c>
    </s:row>
    <s:row r="15">
      <s:c r="A15" s="92">
        <s:f>'Draw Payback'!A15</s:f>
        <s:v>46477.0</s:v>
      </s:c>
      <s:c r="B15" s="67">
        <s:f>'Draw Payback'!J15</s:f>
        <s:v>2463.16</s:v>
      </s:c>
      <s:c r="C15" s="67">
        <s:f>Budget!$B$15</s:f>
        <s:v>1839.4594736842105</s:v>
      </s:c>
      <s:c r="D15" s="67">
        <s:f>Budget!$B$16</s:f>
        <s:v>1000.0</s:v>
      </s:c>
      <s:c r="E15" s="76">
        <s:f>C15+D15</s:f>
        <s:v>2839.4594736842105</s:v>
      </s:c>
      <s:c r="F15" s="86">
        <s:f>B15-E15</s:f>
        <s:v>-376.2994736842106</s:v>
      </s:c>
      <s:c r="G15" s="77">
        <s:f>G14+F15</s:f>
        <s:v>-2634.0963157894744</s:v>
      </s:c>
      <s:c r="H15" s="67">
        <s:f>IF(MOD(6,3)=0,Inputs!$C$51,0)</s:f>
        <s:v>1250.0</s:v>
      </s:c>
      <s:c r="I15" s="78" t="str">
        <s:f>IF(F15&lt;0,"short - dipping into savings","")</s:f>
        <s:v>short - dipping into savings</s:v>
      </s:c>
    </s:row>
    <s:row r="16">
      <s:c r="A16" s="93">
        <s:f>'Draw Payback'!A16</s:f>
        <s:v>46507.0</s:v>
      </s:c>
      <s:c r="B16" s="73">
        <s:f>'Draw Payback'!J16</s:f>
        <s:v>2463.16</s:v>
      </s:c>
      <s:c r="C16" s="73">
        <s:f>Budget!$B$15</s:f>
        <s:v>1839.4594736842105</s:v>
      </s:c>
      <s:c r="D16" s="73">
        <s:f>Budget!$B$16</s:f>
        <s:v>1000.0</s:v>
      </s:c>
      <s:c r="E16" s="79">
        <s:f>C16+D16</s:f>
        <s:v>2839.4594736842105</s:v>
      </s:c>
      <s:c r="F16" s="86">
        <s:f>B16-E16</s:f>
        <s:v>-376.2994736842106</s:v>
      </s:c>
      <s:c r="G16" s="94">
        <s:f>G15+F16</s:f>
        <s:v>-3010.395789473685</s:v>
      </s:c>
      <s:c r="H16" s="73">
        <s:f>IF(MOD(7,3)=0,Inputs!$C$51,0)</s:f>
        <s:v>0.0</s:v>
      </s:c>
      <s:c r="I16" s="81" t="str">
        <s:f>IF(F16&lt;0,"short - dipping into savings","")</s:f>
        <s:v>short - dipping into savings</s:v>
      </s:c>
    </s:row>
    <s:row r="17">
      <s:c r="A17" s="92">
        <s:f>'Draw Payback'!A17</s:f>
        <s:v>46538.0</s:v>
      </s:c>
      <s:c r="B17" s="67">
        <s:f>'Draw Payback'!J17</s:f>
        <s:v>2463.16</s:v>
      </s:c>
      <s:c r="C17" s="67">
        <s:f>Budget!$B$15</s:f>
        <s:v>1839.4594736842105</s:v>
      </s:c>
      <s:c r="D17" s="67">
        <s:f>Budget!$B$16</s:f>
        <s:v>1000.0</s:v>
      </s:c>
      <s:c r="E17" s="76">
        <s:f>C17+D17</s:f>
        <s:v>2839.4594736842105</s:v>
      </s:c>
      <s:c r="F17" s="86">
        <s:f>B17-E17</s:f>
        <s:v>-376.2994736842106</s:v>
      </s:c>
      <s:c r="G17" s="77">
        <s:f>G16+F17</s:f>
        <s:v>-3386.6952631578956</s:v>
      </s:c>
      <s:c r="H17" s="67">
        <s:f>IF(MOD(8,3)=0,Inputs!$C$51,0)</s:f>
        <s:v>0.0</s:v>
      </s:c>
      <s:c r="I17" s="78" t="str">
        <s:f>IF(F17&lt;0,"short - dipping into savings","")</s:f>
        <s:v>short - dipping into savings</s:v>
      </s:c>
    </s:row>
    <s:row r="18">
      <s:c r="A18" s="93">
        <s:f>'Draw Payback'!A18</s:f>
        <s:v>46568.0</s:v>
      </s:c>
      <s:c r="B18" s="73">
        <s:f>'Draw Payback'!J18</s:f>
        <s:v>2463.16</s:v>
      </s:c>
      <s:c r="C18" s="73">
        <s:f>Budget!$B$15</s:f>
        <s:v>1839.4594736842105</s:v>
      </s:c>
      <s:c r="D18" s="73">
        <s:f>Budget!$B$16</s:f>
        <s:v>1000.0</s:v>
      </s:c>
      <s:c r="E18" s="79">
        <s:f>C18+D18</s:f>
        <s:v>2839.4594736842105</s:v>
      </s:c>
      <s:c r="F18" s="86">
        <s:f>B18-E18</s:f>
        <s:v>-376.2994736842106</s:v>
      </s:c>
      <s:c r="G18" s="94">
        <s:f>G17+F18</s:f>
        <s:v>-3762.9947368421062</s:v>
      </s:c>
      <s:c r="H18" s="73">
        <s:f>IF(MOD(9,3)=0,Inputs!$C$51,0)</s:f>
        <s:v>1250.0</s:v>
      </s:c>
      <s:c r="I18" s="81" t="str">
        <s:f>IF(F18&lt;0,"short - dipping into savings","")</s:f>
        <s:v>short - dipping into savings</s:v>
      </s:c>
    </s:row>
    <s:row r="19">
      <s:c r="A19" s="92">
        <s:f>'Draw Payback'!A19</s:f>
        <s:v>46599.0</s:v>
      </s:c>
      <s:c r="B19" s="67">
        <s:f>'Draw Payback'!J19</s:f>
        <s:v>2463.16</s:v>
      </s:c>
      <s:c r="C19" s="67">
        <s:f>Budget!$B$15</s:f>
        <s:v>1839.4594736842105</s:v>
      </s:c>
      <s:c r="D19" s="67">
        <s:f>Budget!$B$16</s:f>
        <s:v>1000.0</s:v>
      </s:c>
      <s:c r="E19" s="76">
        <s:f>C19+D19</s:f>
        <s:v>2839.4594736842105</s:v>
      </s:c>
      <s:c r="F19" s="86">
        <s:f>B19-E19</s:f>
        <s:v>-376.2994736842106</s:v>
      </s:c>
      <s:c r="G19" s="77">
        <s:f>G18+F19</s:f>
        <s:v>-4139.294210526317</s:v>
      </s:c>
      <s:c r="H19" s="67">
        <s:f>IF(MOD(10,3)=0,Inputs!$C$51,0)</s:f>
        <s:v>0.0</s:v>
      </s:c>
      <s:c r="I19" s="78" t="str">
        <s:f>IF(F19&lt;0,"short - dipping into savings","")</s:f>
        <s:v>short - dipping into savings</s:v>
      </s:c>
    </s:row>
    <s:row r="20">
      <s:c r="A20" s="93">
        <s:f>'Draw Payback'!A20</s:f>
        <s:v>46630.0</s:v>
      </s:c>
      <s:c r="B20" s="73">
        <s:f>'Draw Payback'!J20</s:f>
        <s:v>3633.16</s:v>
      </s:c>
      <s:c r="C20" s="73">
        <s:f>Budget!$B$15</s:f>
        <s:v>1839.4594736842105</s:v>
      </s:c>
      <s:c r="D20" s="73">
        <s:f>Budget!$B$16</s:f>
        <s:v>1000.0</s:v>
      </s:c>
      <s:c r="E20" s="79">
        <s:f>C20+D20</s:f>
        <s:v>2839.4594736842105</s:v>
      </s:c>
      <s:c r="F20" s="86">
        <s:f>B20-E20</s:f>
        <s:v>793.7005263157894</s:v>
      </s:c>
      <s:c r="G20" s="94">
        <s:f>G19+F20</s:f>
        <s:v>-3345.593684210528</s:v>
      </s:c>
      <s:c r="H20" s="73">
        <s:f>IF(MOD(11,3)=0,Inputs!$C$51,0)</s:f>
        <s:v>0.0</s:v>
      </s:c>
      <s:c r="I20" s="81" t="str">
        <s:f>IF(F20&lt;0,"short - dipping into savings","")</s:f>
        <s:v/>
      </s:c>
    </s:row>
    <s:row r="21">
      <s:c r="A21" s="92">
        <s:f>'Draw Payback'!A21</s:f>
        <s:v>46660.0</s:v>
      </s:c>
      <s:c r="B21" s="67">
        <s:f>'Draw Payback'!J21</s:f>
        <s:v>3633.16</s:v>
      </s:c>
      <s:c r="C21" s="67">
        <s:f>Budget!$B$15</s:f>
        <s:v>1839.4594736842105</s:v>
      </s:c>
      <s:c r="D21" s="67">
        <s:f>Budget!$B$16</s:f>
        <s:v>1000.0</s:v>
      </s:c>
      <s:c r="E21" s="76">
        <s:f>C21+D21</s:f>
        <s:v>2839.4594736842105</s:v>
      </s:c>
      <s:c r="F21" s="86">
        <s:f>B21-E21</s:f>
        <s:v>793.7005263157894</s:v>
      </s:c>
      <s:c r="G21" s="77">
        <s:f>G20+F21</s:f>
        <s:v>-2551.8931578947386</s:v>
      </s:c>
      <s:c r="H21" s="67">
        <s:f>IF(MOD(12,3)=0,Inputs!$C$51,0)</s:f>
        <s:v>1250.0</s:v>
      </s:c>
      <s:c r="I21" s="78" t="str">
        <s:f>IF(F21&lt;0,"short - dipping into savings","")</s:f>
        <s:v/>
      </s:c>
    </s:row>
    <s:row r="22">
      <s:c r="A22" s="93">
        <s:f>'Draw Payback'!A22</s:f>
        <s:v>46691.0</s:v>
      </s:c>
      <s:c r="B22" s="73">
        <s:f>'Draw Payback'!J22</s:f>
        <s:v>3633.16</s:v>
      </s:c>
      <s:c r="C22" s="73">
        <s:f>Budget!$B$15</s:f>
        <s:v>1839.4594736842105</s:v>
      </s:c>
      <s:c r="D22" s="73">
        <s:f>Budget!$B$16</s:f>
        <s:v>1000.0</s:v>
      </s:c>
      <s:c r="E22" s="79">
        <s:f>C22+D22</s:f>
        <s:v>2839.4594736842105</s:v>
      </s:c>
      <s:c r="F22" s="86">
        <s:f>B22-E22</s:f>
        <s:v>793.7005263157894</s:v>
      </s:c>
      <s:c r="G22" s="94">
        <s:f>G21+F22</s:f>
        <s:v>-1758.1926315789492</s:v>
      </s:c>
      <s:c r="H22" s="73">
        <s:f>IF(MOD(13,3)=0,Inputs!$C$51,0)</s:f>
        <s:v>0.0</s:v>
      </s:c>
      <s:c r="I22" s="81" t="str">
        <s:f>IF(F22&lt;0,"short - dipping into savings","")</s:f>
        <s:v/>
      </s:c>
    </s:row>
    <s:row r="23">
      <s:c r="A23" s="92">
        <s:f>'Draw Payback'!A23</s:f>
        <s:v>46721.0</s:v>
      </s:c>
      <s:c r="B23" s="67">
        <s:f>'Draw Payback'!J23</s:f>
        <s:v>3633.16</s:v>
      </s:c>
      <s:c r="C23" s="67">
        <s:f>Budget!$B$15</s:f>
        <s:v>1839.4594736842105</s:v>
      </s:c>
      <s:c r="D23" s="67">
        <s:f>Budget!$B$16</s:f>
        <s:v>1000.0</s:v>
      </s:c>
      <s:c r="E23" s="76">
        <s:f>C23+D23</s:f>
        <s:v>2839.4594736842105</s:v>
      </s:c>
      <s:c r="F23" s="86">
        <s:f>B23-E23</s:f>
        <s:v>793.7005263157894</s:v>
      </s:c>
      <s:c r="G23" s="77">
        <s:f>G22+F23</s:f>
        <s:v>-964.4921052631598</s:v>
      </s:c>
      <s:c r="H23" s="67">
        <s:f>IF(MOD(14,3)=0,Inputs!$C$51,0)</s:f>
        <s:v>0.0</s:v>
      </s:c>
      <s:c r="I23" s="78" t="str">
        <s:f>IF(F23&lt;0,"short - dipping into savings","")</s:f>
        <s:v/>
      </s:c>
    </s:row>
    <s:row r="24">
      <s:c r="A24" s="93">
        <s:f>'Draw Payback'!A24</s:f>
        <s:v>46752.0</s:v>
      </s:c>
      <s:c r="B24" s="73">
        <s:f>'Draw Payback'!J24</s:f>
        <s:v>3633.16</s:v>
      </s:c>
      <s:c r="C24" s="73">
        <s:f>Budget!$B$15</s:f>
        <s:v>1839.4594736842105</s:v>
      </s:c>
      <s:c r="D24" s="73">
        <s:f>Budget!$B$16</s:f>
        <s:v>1000.0</s:v>
      </s:c>
      <s:c r="E24" s="79">
        <s:f>C24+D24</s:f>
        <s:v>2839.4594736842105</s:v>
      </s:c>
      <s:c r="F24" s="86">
        <s:f>B24-E24</s:f>
        <s:v>793.7005263157894</s:v>
      </s:c>
      <s:c r="G24" s="94">
        <s:f>G23+F24</s:f>
        <s:v>-170.79157894737045</s:v>
      </s:c>
      <s:c r="H24" s="73">
        <s:f>IF(MOD(15,3)=0,Inputs!$C$51,0)</s:f>
        <s:v>1250.0</s:v>
      </s:c>
      <s:c r="I24" s="81" t="str">
        <s:f>IF(F24&lt;0,"short - dipping into savings","")</s:f>
        <s:v/>
      </s:c>
    </s:row>
    <s:row r="25">
      <s:c r="A25" s="92">
        <s:f>'Draw Payback'!A25</s:f>
        <s:v>46783.0</s:v>
      </s:c>
      <s:c r="B25" s="67">
        <s:f>'Draw Payback'!J25</s:f>
        <s:v>3633.16</s:v>
      </s:c>
      <s:c r="C25" s="67">
        <s:f>Budget!$B$15</s:f>
        <s:v>1839.4594736842105</s:v>
      </s:c>
      <s:c r="D25" s="67">
        <s:f>Budget!$B$16</s:f>
        <s:v>1000.0</s:v>
      </s:c>
      <s:c r="E25" s="76">
        <s:f>C25+D25</s:f>
        <s:v>2839.4594736842105</s:v>
      </s:c>
      <s:c r="F25" s="86">
        <s:f>B25-E25</s:f>
        <s:v>793.7005263157894</s:v>
      </s:c>
      <s:c r="G25" s="77">
        <s:f>G24+F25</s:f>
        <s:v>622.9089473684189</s:v>
      </s:c>
      <s:c r="H25" s="67">
        <s:f>IF(MOD(16,3)=0,Inputs!$C$51,0)</s:f>
        <s:v>0.0</s:v>
      </s:c>
      <s:c r="I25" s="78" t="str">
        <s:f>IF(F25&lt;0,"short - dipping into savings","")</s:f>
        <s:v/>
      </s:c>
    </s:row>
    <s:row r="26">
      <s:c r="A26" s="93">
        <s:f>'Draw Payback'!A26</s:f>
        <s:v>46812.0</s:v>
      </s:c>
      <s:c r="B26" s="73">
        <s:f>'Draw Payback'!J26</s:f>
        <s:v>3633.16</s:v>
      </s:c>
      <s:c r="C26" s="73">
        <s:f>Budget!$B$15</s:f>
        <s:v>1839.4594736842105</s:v>
      </s:c>
      <s:c r="D26" s="73">
        <s:f>Budget!$B$16</s:f>
        <s:v>1000.0</s:v>
      </s:c>
      <s:c r="E26" s="79">
        <s:f>C26+D26</s:f>
        <s:v>2839.4594736842105</s:v>
      </s:c>
      <s:c r="F26" s="86">
        <s:f>B26-E26</s:f>
        <s:v>793.7005263157894</s:v>
      </s:c>
      <s:c r="G26" s="94">
        <s:f>G25+F26</s:f>
        <s:v>1416.6094736842083</s:v>
      </s:c>
      <s:c r="H26" s="73">
        <s:f>IF(MOD(17,3)=0,Inputs!$C$51,0)</s:f>
        <s:v>0.0</s:v>
      </s:c>
      <s:c r="I26" s="81" t="str">
        <s:f>IF(F26&lt;0,"short - dipping into savings","")</s:f>
        <s:v/>
      </s:c>
    </s:row>
    <s:row r="27">
      <s:c r="A27" s="92">
        <s:f>'Draw Payback'!A27</s:f>
        <s:v>46843.0</s:v>
      </s:c>
      <s:c r="B27" s="67">
        <s:f>'Draw Payback'!J27</s:f>
        <s:v>3633.16</s:v>
      </s:c>
      <s:c r="C27" s="67">
        <s:f>Budget!$B$15</s:f>
        <s:v>1839.4594736842105</s:v>
      </s:c>
      <s:c r="D27" s="67">
        <s:f>Budget!$B$16</s:f>
        <s:v>1000.0</s:v>
      </s:c>
      <s:c r="E27" s="76">
        <s:f>C27+D27</s:f>
        <s:v>2839.4594736842105</s:v>
      </s:c>
      <s:c r="F27" s="86">
        <s:f>B27-E27</s:f>
        <s:v>793.7005263157894</s:v>
      </s:c>
      <s:c r="G27" s="77">
        <s:f>G26+F27</s:f>
        <s:v>2210.3099999999977</s:v>
      </s:c>
      <s:c r="H27" s="67">
        <s:f>IF(MOD(18,3)=0,Inputs!$C$51,0)</s:f>
        <s:v>1250.0</s:v>
      </s:c>
      <s:c r="I27" s="78" t="str">
        <s:f>IF(F27&lt;0,"short - dipping into savings","")</s:f>
        <s:v/>
      </s:c>
    </s:row>
    <s:row r="28">
      <s:c r="A28" s="93">
        <s:f>'Draw Payback'!A28</s:f>
        <s:v>46873.0</s:v>
      </s:c>
      <s:c r="B28" s="73">
        <s:f>'Draw Payback'!J28</s:f>
        <s:v>3633.16</s:v>
      </s:c>
      <s:c r="C28" s="73">
        <s:f>Budget!$B$15</s:f>
        <s:v>1839.4594736842105</s:v>
      </s:c>
      <s:c r="D28" s="73">
        <s:f>Budget!$B$16</s:f>
        <s:v>1000.0</s:v>
      </s:c>
      <s:c r="E28" s="79">
        <s:f>C28+D28</s:f>
        <s:v>2839.4594736842105</s:v>
      </s:c>
      <s:c r="F28" s="86">
        <s:f>B28-E28</s:f>
        <s:v>793.7005263157894</s:v>
      </s:c>
      <s:c r="G28" s="94">
        <s:f>G27+F28</s:f>
        <s:v>3004.010526315787</s:v>
      </s:c>
      <s:c r="H28" s="73">
        <s:f>IF(MOD(19,3)=0,Inputs!$C$51,0)</s:f>
        <s:v>0.0</s:v>
      </s:c>
      <s:c r="I28" s="81" t="str">
        <s:f>IF(F28&lt;0,"short - dipping into savings","")</s:f>
        <s:v/>
      </s:c>
    </s:row>
    <s:row r="29">
      <s:c r="A29" s="92">
        <s:f>'Draw Payback'!A29</s:f>
        <s:v>46904.0</s:v>
      </s:c>
      <s:c r="B29" s="67">
        <s:f>'Draw Payback'!J29</s:f>
        <s:v>3633.16</s:v>
      </s:c>
      <s:c r="C29" s="67">
        <s:f>Budget!$B$15</s:f>
        <s:v>1839.4594736842105</s:v>
      </s:c>
      <s:c r="D29" s="67">
        <s:f>Budget!$B$16</s:f>
        <s:v>1000.0</s:v>
      </s:c>
      <s:c r="E29" s="76">
        <s:f>C29+D29</s:f>
        <s:v>2839.4594736842105</s:v>
      </s:c>
      <s:c r="F29" s="86">
        <s:f>B29-E29</s:f>
        <s:v>793.7005263157894</s:v>
      </s:c>
      <s:c r="G29" s="77">
        <s:f>G28+F29</s:f>
        <s:v>3797.7110526315764</s:v>
      </s:c>
      <s:c r="H29" s="67">
        <s:f>IF(MOD(20,3)=0,Inputs!$C$51,0)</s:f>
        <s:v>0.0</s:v>
      </s:c>
      <s:c r="I29" s="78" t="str">
        <s:f>IF(F29&lt;0,"short - dipping into savings","")</s:f>
        <s:v/>
      </s:c>
    </s:row>
    <s:row r="30">
      <s:c r="A30" s="93">
        <s:f>'Draw Payback'!A30</s:f>
        <s:v>46934.0</s:v>
      </s:c>
      <s:c r="B30" s="73">
        <s:f>'Draw Payback'!J30</s:f>
        <s:v>3633.16</s:v>
      </s:c>
      <s:c r="C30" s="73">
        <s:f>Budget!$B$15</s:f>
        <s:v>1839.4594736842105</s:v>
      </s:c>
      <s:c r="D30" s="73">
        <s:f>Budget!$B$16</s:f>
        <s:v>1000.0</s:v>
      </s:c>
      <s:c r="E30" s="79">
        <s:f>C30+D30</s:f>
        <s:v>2839.4594736842105</s:v>
      </s:c>
      <s:c r="F30" s="86">
        <s:f>B30-E30</s:f>
        <s:v>793.7005263157894</s:v>
      </s:c>
      <s:c r="G30" s="94">
        <s:f>G29+F30</s:f>
        <s:v>4591.411578947365</s:v>
      </s:c>
      <s:c r="H30" s="73">
        <s:f>IF(MOD(21,3)=0,Inputs!$C$51,0)</s:f>
        <s:v>1250.0</s:v>
      </s:c>
      <s:c r="I30" s="81" t="str">
        <s:f>IF(F30&lt;0,"short - dipping into savings","")</s:f>
        <s:v/>
      </s:c>
    </s:row>
    <s:row r="31">
      <s:c r="A31" s="92">
        <s:f>'Draw Payback'!A31</s:f>
        <s:v>46965.0</s:v>
      </s:c>
      <s:c r="B31" s="67">
        <s:f>'Draw Payback'!J31</s:f>
        <s:v>3633.16</s:v>
      </s:c>
      <s:c r="C31" s="67">
        <s:f>Budget!$B$15</s:f>
        <s:v>1839.4594736842105</s:v>
      </s:c>
      <s:c r="D31" s="67">
        <s:f>Budget!$B$16</s:f>
        <s:v>1000.0</s:v>
      </s:c>
      <s:c r="E31" s="76">
        <s:f>C31+D31</s:f>
        <s:v>2839.4594736842105</s:v>
      </s:c>
      <s:c r="F31" s="86">
        <s:f>B31-E31</s:f>
        <s:v>793.7005263157894</s:v>
      </s:c>
      <s:c r="G31" s="77">
        <s:f>G30+F31</s:f>
        <s:v>5385.112105263155</s:v>
      </s:c>
      <s:c r="H31" s="67">
        <s:f>IF(MOD(22,3)=0,Inputs!$C$51,0)</s:f>
        <s:v>0.0</s:v>
      </s:c>
      <s:c r="I31" s="78" t="str">
        <s:f>IF(F31&lt;0,"short - dipping into savings","")</s:f>
        <s:v/>
      </s:c>
    </s:row>
    <s:row r="32">
      <s:c r="A32" s="93">
        <s:f>'Draw Payback'!A32</s:f>
        <s:v>46996.0</s:v>
      </s:c>
      <s:c r="B32" s="73">
        <s:f>'Draw Payback'!J32</s:f>
        <s:v>3633.16</s:v>
      </s:c>
      <s:c r="C32" s="73">
        <s:f>Budget!$B$15</s:f>
        <s:v>1839.4594736842105</s:v>
      </s:c>
      <s:c r="D32" s="73">
        <s:f>Budget!$B$16</s:f>
        <s:v>1000.0</s:v>
      </s:c>
      <s:c r="E32" s="79">
        <s:f>C32+D32</s:f>
        <s:v>2839.4594736842105</s:v>
      </s:c>
      <s:c r="F32" s="86">
        <s:f>B32-E32</s:f>
        <s:v>793.7005263157894</s:v>
      </s:c>
      <s:c r="G32" s="94">
        <s:f>G31+F32</s:f>
        <s:v>6178.812631578945</s:v>
      </s:c>
      <s:c r="H32" s="73">
        <s:f>IF(MOD(23,3)=0,Inputs!$C$51,0)</s:f>
        <s:v>0.0</s:v>
      </s:c>
      <s:c r="I32" s="81" t="str">
        <s:f>IF(F32&lt;0,"short - dipping into savings","")</s:f>
        <s:v/>
      </s:c>
    </s:row>
    <s:row r="33">
      <s:c r="A33" s="82" t="inlineStr">
        <s:is>
          <s:t>24-MONTH TOTAL</s:t>
        </s:is>
      </s:c>
      <s:c r="B33" s="83">
        <s:f>SUM(B9:B32)</s:f>
        <s:v>74325.84</s:v>
      </s:c>
      <s:c r="C33" s="83">
        <s:f>SUM(C9:C32)</s:f>
        <s:v>44147.027368421055</s:v>
      </s:c>
      <s:c r="D33" s="83">
        <s:f>SUM(D9:D32)</s:f>
        <s:v>24000.0</s:v>
      </s:c>
      <s:c r="E33" s="83">
        <s:f>SUM(E9:E32)</s:f>
        <s:v>68147.02736842106</s:v>
      </s:c>
      <s:c r="F33" s="83">
        <s:f>SUM(F9:F32)</s:f>
        <s:v>6178.812631578945</s:v>
      </s:c>
    </s:row>
  </s:sheetData>
  <s:mergeCells count="4">
    <s:mergeCell ref="A1:I1"/>
    <s:mergeCell ref="A4:C4"/>
    <s:mergeCell ref="E4:F4"/>
    <s:mergeCell ref="A2:I2"/>
  </s:mergeCells>
  <s:conditionalFormatting sqref="F9:F32">
    <s:cfRule type="cellIs" priority="1" operator="lessThan" dxfId="1">
      <s:formula>0</s:formula>
    </s:cfRule>
  </s:conditionalFormatting>
  <s:pageMargins left="0.75" right="0.75" top="1" bottom="1" header="0.5" footer="0.5"/>
  <s:legacyDrawing r:id="anysvml"/>
</s:worksheet>
</file>

<file path=xl/worksheets/sheet9.xml><?xml version="1.0" encoding="utf-8"?>
<s:worksheet xmlns:r="http://schemas.openxmlformats.org/officeDocument/2006/relationships" xmlns:s="http://schemas.openxmlformats.org/spreadsheetml/2006/main">
  <s:sheetPr>
    <s:tabColor rgb="001E7B4F"/>
    <s:outlinePr summaryBelow="1" summaryRight="1"/>
    <s:pageSetUpPr/>
  </s:sheetPr>
  <s:dimension ref="A1:J32"/>
  <s:sheetViews>
    <s:sheetView showGridLines="0" workbookViewId="0">
      <s:pane xSplit="1" ySplit="8" topLeftCell="B9" activePane="bottomRight" state="frozen"/>
      <s:selection pane="topRight"/>
      <s:selection pane="bottomLeft"/>
      <s:selection pane="bottomRight" activeCell="A1" sqref="A1"/>
    </s:sheetView>
  </s:sheetViews>
  <s:sheetFormatPr baseColWidth="8" defaultRowHeight="15"/>
  <s:cols>
    <s:col width="11" customWidth="1" min="1" max="1"/>
    <s:col width="13" customWidth="1" min="2" max="2"/>
    <s:col width="13" customWidth="1" min="3" max="3"/>
    <s:col width="13" customWidth="1" min="4" max="4"/>
    <s:col width="13" customWidth="1" min="5" max="5"/>
    <s:col width="13" customWidth="1" min="6" max="6"/>
    <s:col width="13" customWidth="1" min="7" max="7"/>
    <s:col width="13" customWidth="1" min="8" max="8"/>
    <s:col width="15" customWidth="1" min="9" max="9"/>
    <s:col width="15" customWidth="1" min="10" max="10"/>
  </s:cols>
  <s:sheetData>
    <s:row r="1" ht="26" customHeight="1">
      <s:c r="A1" s="1" t="inlineStr">
        <s:is>
          <s:t>ACCOUNTS  —  where the money sits and how it grows</s:t>
        </s:is>
      </s:c>
      <s:c r="B1" s="2" t="n"/>
      <s:c r="C1" s="2" t="n"/>
      <s:c r="D1" s="2" t="n"/>
      <s:c r="E1" s="2" t="n"/>
      <s:c r="F1" s="2" t="n"/>
      <s:c r="G1" s="2" t="n"/>
      <s:c r="H1" s="2" t="n"/>
      <s:c r="I1" s="2" t="n"/>
      <s:c r="J1" s="2" t="n"/>
    </s:row>
    <s:row r="2" ht="16" customHeight="1">
      <s:c r="A2" s="3" t="inlineStr">
        <s:is>
          <s:t>Surplus flows in via the waterfall: checking cushion first, then emergency fund, then the split on 'Money Split'.</s:t>
        </s:is>
      </s:c>
      <s:c r="B2" s="2" t="n"/>
      <s:c r="C2" s="2" t="n"/>
      <s:c r="D2" s="2" t="n"/>
      <s:c r="E2" s="2" t="n"/>
      <s:c r="F2" s="2" t="n"/>
      <s:c r="G2" s="2" t="n"/>
      <s:c r="H2" s="2" t="n"/>
      <s:c r="I2" s="2" t="n"/>
      <s:c r="J2" s="2" t="n"/>
    </s:row>
    <s:row r="4">
      <s:c r="A4" s="12" t="inlineStr">
        <s:is>
          <s:t>Emergency fund target</s:t>
        </s:is>
      </s:c>
      <s:c r="B4" s="32">
        <s:f>Inputs!$C$60*Budget!B17</s:f>
        <s:v>17036.756842105264</s:v>
      </s:c>
      <s:c r="C4" s="53" t="str">
        <s:f>Inputs!$C$60&amp;" months of total costs"</s:f>
        <s:v>6 months of total costs</s:v>
      </s:c>
    </s:row>
    <s:row r="8" ht="30" customHeight="1">
      <s:c r="A8" s="16" t="inlineStr">
        <s:is>
          <s:t>Month</s:t>
        </s:is>
      </s:c>
      <s:c r="B8" s="16" t="inlineStr">
        <s:is>
          <s:t>Surplus</s:t>
        </s:is>
      </s:c>
      <s:c r="C8" s="16" t="inlineStr">
        <s:is>
          <s:t>Checking</s:t>
        </s:is>
      </s:c>
      <s:c r="D8" s="16" t="inlineStr">
        <s:is>
          <s:t>HYSA /
emergency</s:t>
        </s:is>
      </s:c>
      <s:c r="E8" s="16" t="inlineStr">
        <s:is>
          <s:t>Certificate</s:t>
        </s:is>
      </s:c>
      <s:c r="F8" s="16" t="inlineStr">
        <s:is>
          <s:t>Ring /
travel</s:t>
        </s:is>
      </s:c>
      <s:c r="G8" s="16" t="inlineStr">
        <s:is>
          <s:t>Roth IRA</s:t>
        </s:is>
      </s:c>
      <s:c r="H8" s="16" t="inlineStr">
        <s:is>
          <s:t>Auto loan</s:t>
        </s:is>
      </s:c>
      <s:c r="I8" s="16" t="inlineStr">
        <s:is>
          <s:t>TOTAL SAVED</s:t>
        </s:is>
      </s:c>
      <s:c r="J8" s="16" t="inlineStr">
        <s:is>
          <s:t>NET WORTH</s:t>
        </s:is>
      </s:c>
    </s:row>
    <s:row r="9">
      <s:c r="A9" s="92">
        <s:f>'Cash Flow'!A9</s:f>
        <s:v>46295.0</s:v>
      </s:c>
      <s:c r="B9" s="67">
        <s:f>'Cash Flow'!F9</s:f>
        <s:v>-376.2994736842106</s:v>
      </s:c>
      <s:c r="C9" s="77">
        <s:f>Inputs!$C$44+IF(B9&lt;0,B9,MIN(B9,Inputs!$C$45-Inputs!$C$44))</s:f>
        <s:v>19.100526315789352</s:v>
      </s:c>
      <s:c r="D9" s="77">
        <s:f>Inputs!$C$46*(1+Inputs!$C$47/12)+IF(Inputs!$C$46&lt;Inputs!$C$60*Budget!B17,MAX(0,B9-(C9-Inputs!$C$44)),MAX(0,B9-(C9-Inputs!$C$44))*0.30)-'Cash Flow'!H9</s:f>
        <s:v>7176.896333333334</s:v>
      </s:c>
      <s:c r="E9" s="77">
        <s:f>Inputs!$C$48*(1+Inputs!$C$49/12)+'Cash Flow'!H9</s:f>
        <s:v>7792.751026475</s:v>
      </s:c>
      <s:c r="F9" s="77">
        <s:f>Inputs!$C$52+IF(Inputs!$C$46&gt;=Inputs!$C$60*Budget!B17,MAX(0,B9-(C9-Inputs!$C$44))*0.25,0)</s:f>
        <s:v>0.0</s:v>
      </s:c>
      <s:c r="G9" s="77">
        <s:f>Inputs!$C$53+IF(Inputs!$C$46&gt;=Inputs!$C$60*Budget!B17,MAX(0,B9-(C9-Inputs!$C$44))*0.25,0)</s:f>
        <s:v>0.0</s:v>
      </s:c>
      <s:c r="H9" s="67">
        <s:f>'Car Loan'!F9</s:f>
        <s:v>24772.946024833334</s:v>
      </s:c>
      <s:c r="I9" s="66">
        <s:f>C9+D9+E9+F9+G9</s:f>
        <s:v>14988.747886124123</s:v>
      </s:c>
      <s:c r="J9" s="86">
        <s:f>I9-H9</s:f>
        <s:v>-9784.198138709211</s:v>
      </s:c>
    </s:row>
    <s:row r="10">
      <s:c r="A10" s="93">
        <s:f>'Cash Flow'!A10</s:f>
        <s:v>46326.0</s:v>
      </s:c>
      <s:c r="B10" s="73">
        <s:f>'Cash Flow'!F10</s:f>
        <s:v>-376.2994736842106</s:v>
      </s:c>
      <s:c r="C10" s="94">
        <s:f>C9+IF(B10&lt;0,B10,MIN(B10,Inputs!$C$45-C9))</s:f>
        <s:v>-357.1989473684213</s:v>
      </s:c>
      <s:c r="D10" s="94">
        <s:f>D9*(1+Inputs!$C$47/12)+IF(D9&lt;Inputs!$C$60*Budget!B17,MAX(0,B10-(C10-C9)),MAX(0,B10-(C10-C9))*0.30)-'Cash Flow'!H10</s:f>
        <s:v>7200.819321111112</s:v>
      </s:c>
      <s:c r="E10" s="94">
        <s:f>E9*(1+Inputs!$C$49/12)+'Cash Flow'!H10</s:f>
        <s:v>7816.694254003844</s:v>
      </s:c>
      <s:c r="F10" s="94">
        <s:f>F9+IF(D9&gt;=Inputs!$C$60*Budget!B17,MAX(0,B10-(C10-C9))*0.25,0)</s:f>
        <s:v>0.0</s:v>
      </s:c>
      <s:c r="G10" s="94">
        <s:f>G9*(1+0.08/12)+IF(D9&gt;=Inputs!$C$60*Budget!B17,MAX(0,B10-(C10-C9))*0.25,0)</s:f>
        <s:v>0.0</s:v>
      </s:c>
      <s:c r="H10" s="73">
        <s:f>'Car Loan'!F10</s:f>
        <s:v>24451.88049627167</s:v>
      </s:c>
      <s:c r="I10" s="66">
        <s:f>C10+D10+E10+F10+G10</s:f>
        <s:v>14660.314627746535</s:v>
      </s:c>
      <s:c r="J10" s="86">
        <s:f>I10-H10</s:f>
        <s:v>-9791.565868525136</s:v>
      </s:c>
    </s:row>
    <s:row r="11">
      <s:c r="A11" s="92">
        <s:f>'Cash Flow'!A11</s:f>
        <s:v>46356.0</s:v>
      </s:c>
      <s:c r="B11" s="67">
        <s:f>'Cash Flow'!F11</s:f>
        <s:v>-376.2994736842106</s:v>
      </s:c>
      <s:c r="C11" s="77">
        <s:f>C10+IF(B11&lt;0,B11,MIN(B11,Inputs!$C$45-C10))</s:f>
        <s:v>-733.4984210526319</s:v>
      </s:c>
      <s:c r="D11" s="77">
        <s:f>D10*(1+Inputs!$C$47/12)+IF(D10&lt;Inputs!$C$60*Budget!B17,MAX(0,B11-(C11-C10)),MAX(0,B11-(C11-C10))*0.30)-'Cash Flow'!H11</s:f>
        <s:v>7224.822052181483</s:v>
      </s:c>
      <s:c r="E11" s="77">
        <s:f>E10*(1+Inputs!$C$49/12)+'Cash Flow'!H11</s:f>
        <s:v>7840.711047099271</s:v>
      </s:c>
      <s:c r="F11" s="77">
        <s:f>F10+IF(D10&gt;=Inputs!$C$60*Budget!B17,MAX(0,B11-(C11-C10))*0.25,0)</s:f>
        <s:v>0.0</s:v>
      </s:c>
      <s:c r="G11" s="77">
        <s:f>G10*(1+0.08/12)+IF(D10&gt;=Inputs!$C$60*Budget!B17,MAX(0,B11-(C11-C10))*0.25,0)</s:f>
        <s:v>0.0</s:v>
      </s:c>
      <s:c r="H11" s="67">
        <s:f>'Car Loan'!F11</s:f>
        <s:v>24128.81098370257</s:v>
      </s:c>
      <s:c r="I11" s="66">
        <s:f>C11+D11+E11+F11+G11</s:f>
        <s:v>14332.034678228123</s:v>
      </s:c>
      <s:c r="J11" s="86">
        <s:f>I11-H11</s:f>
        <s:v>-9796.776305474446</s:v>
      </s:c>
    </s:row>
    <s:row r="12">
      <s:c r="A12" s="93">
        <s:f>'Cash Flow'!A12</s:f>
        <s:v>46387.0</s:v>
      </s:c>
      <s:c r="B12" s="73">
        <s:f>'Cash Flow'!F12</s:f>
        <s:v>-376.2994736842106</s:v>
      </s:c>
      <s:c r="C12" s="94">
        <s:f>C11+IF(B12&lt;0,B12,MIN(B12,Inputs!$C$45-C11))</s:f>
        <s:v>-1109.7978947368424</s:v>
      </s:c>
      <s:c r="D12" s="94">
        <s:f>D11*(1+Inputs!$C$47/12)+IF(D11&lt;Inputs!$C$60*Budget!B17,MAX(0,B12-(C12-C11)),MAX(0,B12-(C12-C11))*0.30)-'Cash Flow'!H12</s:f>
        <s:v>5998.904792355422</s:v>
      </s:c>
      <s:c r="E12" s="94">
        <s:f>E11*(1+Inputs!$C$49/12)+'Cash Flow'!H12</s:f>
        <s:v>9114.801631791484</s:v>
      </s:c>
      <s:c r="F12" s="94">
        <s:f>F11+IF(D11&gt;=Inputs!$C$60*Budget!B17,MAX(0,B12-(C12-C11))*0.25,0)</s:f>
        <s:v>0.0</s:v>
      </s:c>
      <s:c r="G12" s="94">
        <s:f>G11*(1+0.08/12)+IF(D11&gt;=Inputs!$C$60*Budget!B17,MAX(0,B12-(C12-C11))*0.25,0)</s:f>
        <s:v>0.0</s:v>
      </s:c>
      <s:c r="H12" s="73">
        <s:f>'Car Loan'!F12</s:f>
        <s:v>23803.72497892585</s:v>
      </s:c>
      <s:c r="I12" s="66">
        <s:f>C12+D12+E12+F12+G12</s:f>
        <s:v>14003.908529410064</s:v>
      </s:c>
      <s:c r="J12" s="86">
        <s:f>I12-H12</s:f>
        <s:v>-9799.816449515785</s:v>
      </s:c>
    </s:row>
    <s:row r="13">
      <s:c r="A13" s="92">
        <s:f>'Cash Flow'!A13</s:f>
        <s:v>46418.0</s:v>
      </s:c>
      <s:c r="B13" s="67">
        <s:f>'Cash Flow'!F13</s:f>
        <s:v>-376.2994736842106</s:v>
      </s:c>
      <s:c r="C13" s="77">
        <s:f>C12+IF(B13&lt;0,B13,MIN(B13,Inputs!$C$45-C12))</s:f>
        <s:v>-1486.097368421053</s:v>
      </s:c>
      <s:c r="D13" s="77">
        <s:f>D12*(1+Inputs!$C$47/12)+IF(D12&lt;Inputs!$C$60*Budget!B17,MAX(0,B13-(C13-C12)),MAX(0,B13-(C13-C12))*0.30)-'Cash Flow'!H13</s:f>
        <s:v>6018.901141663274</s:v>
      </s:c>
      <s:c r="E13" s="77">
        <s:f>E12*(1+Inputs!$C$49/12)+'Cash Flow'!H13</s:f>
        <s:v>9142.806859805163</s:v>
      </s:c>
      <s:c r="F13" s="77">
        <s:f>F12+IF(D12&gt;=Inputs!$C$60*Budget!B17,MAX(0,B13-(C13-C12))*0.25,0)</s:f>
        <s:v>0.0</s:v>
      </s:c>
      <s:c r="G13" s="77">
        <s:f>G12*(1+0.08/12)+IF(D12&gt;=Inputs!$C$60*Budget!B17,MAX(0,B13-(C13-C12))*0.25,0)</s:f>
        <s:v>0.0</s:v>
      </s:c>
      <s:c r="H13" s="67">
        <s:f>'Car Loan'!F13</s:f>
        <s:v>23476.609895669313</s:v>
      </s:c>
      <s:c r="I13" s="66">
        <s:f>C13+D13+E13+F13+G13</s:f>
        <s:v>13675.610633047385</s:v>
      </s:c>
      <s:c r="J13" s="86">
        <s:f>I13-H13</s:f>
        <s:v>-9800.999262621928</s:v>
      </s:c>
    </s:row>
    <s:row r="14">
      <s:c r="A14" s="93">
        <s:f>'Cash Flow'!A14</s:f>
        <s:v>46446.0</s:v>
      </s:c>
      <s:c r="B14" s="73">
        <s:f>'Cash Flow'!F14</s:f>
        <s:v>-376.2994736842106</s:v>
      </s:c>
      <s:c r="C14" s="94">
        <s:f>C13+IF(B14&lt;0,B14,MIN(B14,Inputs!$C$45-C13))</s:f>
        <s:v>-1862.3968421052637</s:v>
      </s:c>
      <s:c r="D14" s="94">
        <s:f>D13*(1+Inputs!$C$47/12)+IF(D13&lt;Inputs!$C$60*Budget!B17,MAX(0,B14-(C14-C13)),MAX(0,B14-(C14-C13))*0.30)-'Cash Flow'!H14</s:f>
        <s:v>6038.964145468819</s:v>
      </s:c>
      <s:c r="E14" s="94">
        <s:f>E13*(1+Inputs!$C$49/12)+'Cash Flow'!H14</s:f>
        <s:v>9170.898133881914</s:v>
      </s:c>
      <s:c r="F14" s="94">
        <s:f>F13+IF(D13&gt;=Inputs!$C$60*Budget!B17,MAX(0,B14-(C14-C13))*0.25,0)</s:f>
        <s:v>0.0</s:v>
      </s:c>
      <s:c r="G14" s="94">
        <s:f>G13*(1+0.08/12)+IF(D13&gt;=Inputs!$C$60*Budget!B17,MAX(0,B14-(C14-C13))*0.25,0)</s:f>
        <s:v>0.0</s:v>
      </s:c>
      <s:c r="H14" s="73">
        <s:f>'Car Loan'!F14</s:f>
        <s:v>23147.45306910145</s:v>
      </s:c>
      <s:c r="I14" s="66">
        <s:f>C14+D14+E14+F14+G14</s:f>
        <s:v>13347.46543724547</s:v>
      </s:c>
      <s:c r="J14" s="86">
        <s:f>I14-H14</s:f>
        <s:v>-9799.987631855982</s:v>
      </s:c>
    </s:row>
    <s:row r="15">
      <s:c r="A15" s="92">
        <s:f>'Cash Flow'!A15</s:f>
        <s:v>46477.0</s:v>
      </s:c>
      <s:c r="B15" s="67">
        <s:f>'Cash Flow'!F15</s:f>
        <s:v>-376.2994736842106</s:v>
      </s:c>
      <s:c r="C15" s="77">
        <s:f>C14+IF(B15&lt;0,B15,MIN(B15,Inputs!$C$45-C14))</s:f>
        <s:v>-2238.6963157894743</s:v>
      </s:c>
      <s:c r="D15" s="77">
        <s:f>D14*(1+Inputs!$C$47/12)+IF(D14&lt;Inputs!$C$60*Budget!B17,MAX(0,B15-(C15-C14)),MAX(0,B15-(C15-C14))*0.30)-'Cash Flow'!H15</s:f>
        <s:v>4809.094025953716</s:v>
      </s:c>
      <s:c r="E15" s="77">
        <s:f>E14*(1+Inputs!$C$49/12)+'Cash Flow'!H15</s:f>
        <s:v>10449.075718398266</s:v>
      </s:c>
      <s:c r="F15" s="77">
        <s:f>F14+IF(D14&gt;=Inputs!$C$60*Budget!B17,MAX(0,B15-(C15-C14))*0.25,0)</s:f>
        <s:v>0.0</s:v>
      </s:c>
      <s:c r="G15" s="77">
        <s:f>G14*(1+0.08/12)+IF(D14&gt;=Inputs!$C$60*Budget!B17,MAX(0,B15-(C15-C14))*0.25,0)</s:f>
        <s:v>0.0</s:v>
      </s:c>
      <s:c r="H15" s="67">
        <s:f>'Car Loan'!F15</s:f>
        <s:v>22816.241755341096</s:v>
      </s:c>
      <s:c r="I15" s="66">
        <s:f>C15+D15+E15+F15+G15</s:f>
        <s:v>13019.473428562507</s:v>
      </s:c>
      <s:c r="J15" s="86">
        <s:f>I15-H15</s:f>
        <s:v>-9796.768326778589</s:v>
      </s:c>
    </s:row>
    <s:row r="16">
      <s:c r="A16" s="93">
        <s:f>'Cash Flow'!A16</s:f>
        <s:v>46507.0</s:v>
      </s:c>
      <s:c r="B16" s="73">
        <s:f>'Cash Flow'!F16</s:f>
        <s:v>-376.2994736842106</s:v>
      </s:c>
      <s:c r="C16" s="94">
        <s:f>C15+IF(B16&lt;0,B16,MIN(B16,Inputs!$C$45-C15))</s:f>
        <s:v>-2614.995789473685</s:v>
      </s:c>
      <s:c r="D16" s="94">
        <s:f>D15*(1+Inputs!$C$47/12)+IF(D15&lt;Inputs!$C$60*Budget!B17,MAX(0,B16-(C16-C15)),MAX(0,B16-(C16-C15))*0.30)-'Cash Flow'!H16</s:f>
        <s:v>4825.124339373561</s:v>
      </s:c>
      <s:c r="E16" s="94">
        <s:f>E15*(1+Inputs!$C$49/12)+'Cash Flow'!H16</s:f>
        <s:v>10481.180503543044</s:v>
      </s:c>
      <s:c r="F16" s="94">
        <s:f>F15+IF(D15&gt;=Inputs!$C$60*Budget!B17,MAX(0,B16-(C16-C15))*0.25,0)</s:f>
        <s:v>0.0</s:v>
      </s:c>
      <s:c r="G16" s="94">
        <s:f>G15*(1+0.08/12)+IF(D15&gt;=Inputs!$C$60*Budget!B17,MAX(0,B16-(C16-C15))*0.25,0)</s:f>
        <s:v>0.0</s:v>
      </s:c>
      <s:c r="H16" s="73">
        <s:f>'Car Loan'!F16</s:f>
        <s:v>22482.963130964017</s:v>
      </s:c>
      <s:c r="I16" s="66">
        <s:f>C16+D16+E16+F16+G16</s:f>
        <s:v>12691.309053442921</s:v>
      </s:c>
      <s:c r="J16" s="86">
        <s:f>I16-H16</s:f>
        <s:v>-9791.654077521096</s:v>
      </s:c>
    </s:row>
    <s:row r="17">
      <s:c r="A17" s="92">
        <s:f>'Cash Flow'!A17</s:f>
        <s:v>46538.0</s:v>
      </s:c>
      <s:c r="B17" s="67">
        <s:f>'Cash Flow'!F17</s:f>
        <s:v>-376.2994736842106</s:v>
      </s:c>
      <s:c r="C17" s="77">
        <s:f>C16+IF(B17&lt;0,B17,MIN(B17,Inputs!$C$45-C16))</s:f>
        <s:v>-2991.2952631578955</s:v>
      </s:c>
      <s:c r="D17" s="77">
        <s:f>D16*(1+Inputs!$C$47/12)+IF(D16&lt;Inputs!$C$60*Budget!B17,MAX(0,B17-(C17-C16)),MAX(0,B17-(C17-C16))*0.30)-'Cash Flow'!H17</s:f>
        <s:v>4841.208087171473</s:v>
      </s:c>
      <s:c r="E17" s="77">
        <s:f>E16*(1+Inputs!$C$49/12)+'Cash Flow'!H17</s:f>
        <s:v>10513.38393064018</s:v>
      </s:c>
      <s:c r="F17" s="77">
        <s:f>F16+IF(D16&gt;=Inputs!$C$60*Budget!B17,MAX(0,B17-(C17-C16))*0.25,0)</s:f>
        <s:v>0.0</s:v>
      </s:c>
      <s:c r="G17" s="77">
        <s:f>G16*(1+0.08/12)+IF(D16&gt;=Inputs!$C$60*Budget!B17,MAX(0,B17-(C17-C16))*0.25,0)</s:f>
        <s:v>0.0</s:v>
      </s:c>
      <s:c r="H17" s="67">
        <s:f>'Car Loan'!F17</s:f>
        <s:v>22147.604292506454</s:v>
      </s:c>
      <s:c r="I17" s="66">
        <s:f>C17+D17+E17+F17+G17</s:f>
        <s:v>12363.296754653758</s:v>
      </s:c>
      <s:c r="J17" s="86">
        <s:f>I17-H17</s:f>
        <s:v>-9784.307537852696</s:v>
      </s:c>
    </s:row>
    <s:row r="18">
      <s:c r="A18" s="93">
        <s:f>'Cash Flow'!A18</s:f>
        <s:v>46568.0</s:v>
      </s:c>
      <s:c r="B18" s="73">
        <s:f>'Cash Flow'!F18</s:f>
        <s:v>-376.2994736842106</s:v>
      </s:c>
      <s:c r="C18" s="94">
        <s:f>C17+IF(B18&lt;0,B18,MIN(B18,Inputs!$C$45-C17))</s:f>
        <s:v>-3367.594736842106</s:v>
      </s:c>
      <s:c r="D18" s="94">
        <s:f>D17*(1+Inputs!$C$47/12)+IF(D17&lt;Inputs!$C$60*Budget!B17,MAX(0,B18-(C18-C17)),MAX(0,B18-(C18-C17))*0.30)-'Cash Flow'!H18</s:f>
        <s:v>3607.3454474620457</s:v>
      </s:c>
      <s:c r="E18" s="94">
        <s:f>E17*(1+Inputs!$C$49/12)+'Cash Flow'!H18</s:f>
        <s:v>11795.686302767073</s:v>
      </s:c>
      <s:c r="F18" s="94">
        <s:f>F17+IF(D17&gt;=Inputs!$C$60*Budget!B17,MAX(0,B18-(C18-C17))*0.25,0)</s:f>
        <s:v>0.0</s:v>
      </s:c>
      <s:c r="G18" s="94">
        <s:f>G17*(1+0.08/12)+IF(D17&gt;=Inputs!$C$60*Budget!B17,MAX(0,B18-(C18-C17))*0.25,0)</s:f>
        <s:v>0.0</s:v>
      </s:c>
      <s:c r="H18" s="73">
        <s:f>'Car Loan'!F18</s:f>
        <s:v>21810.152255965517</s:v>
      </s:c>
      <s:c r="I18" s="66">
        <s:f>C18+D18+E18+F18+G18</s:f>
        <s:v>12035.437013387012</s:v>
      </s:c>
      <s:c r="J18" s="86">
        <s:f>I18-H18</s:f>
        <s:v>-9774.715242578504</s:v>
      </s:c>
    </s:row>
    <s:row r="19">
      <s:c r="A19" s="92">
        <s:f>'Cash Flow'!A19</s:f>
        <s:v>46599.0</s:v>
      </s:c>
      <s:c r="B19" s="67">
        <s:f>'Cash Flow'!F19</s:f>
        <s:v>-376.2994736842106</s:v>
      </s:c>
      <s:c r="C19" s="77">
        <s:f>C18+IF(B19&lt;0,B19,MIN(B19,Inputs!$C$45-C18))</s:f>
        <s:v>-3743.894210526317</s:v>
      </s:c>
      <s:c r="D19" s="77">
        <s:f>D18*(1+Inputs!$C$47/12)+IF(D18&lt;Inputs!$C$60*Budget!B17,MAX(0,B19-(C19-C18)),MAX(0,B19-(C19-C18))*0.30)-'Cash Flow'!H19</s:f>
        <s:v>3619.3699322869197</s:v>
      </s:c>
      <s:c r="E19" s="77">
        <s:f>E18*(1+Inputs!$C$49/12)+'Cash Flow'!H19</s:f>
        <s:v>11831.928548932325</s:v>
      </s:c>
      <s:c r="F19" s="77">
        <s:f>F18+IF(D18&gt;=Inputs!$C$60*Budget!B17,MAX(0,B19-(C19-C18))*0.25,0)</s:f>
        <s:v>0.0</s:v>
      </s:c>
      <s:c r="G19" s="77">
        <s:f>G18*(1+0.08/12)+IF(D18&gt;=Inputs!$C$60*Budget!B17,MAX(0,B19-(C19-C18))*0.25,0)</s:f>
        <s:v>0.0</s:v>
      </s:c>
      <s:c r="H19" s="67">
        <s:f>'Car Loan'!F19</s:f>
        <s:v>21470.593956296503</s:v>
      </s:c>
      <s:c r="I19" s="66">
        <s:f>C19+D19+E19+F19+G19</s:f>
        <s:v>11707.404270692929</s:v>
      </s:c>
      <s:c r="J19" s="86">
        <s:f>I19-H19</s:f>
        <s:v>-9763.189685603575</s:v>
      </s:c>
    </s:row>
    <s:row r="20">
      <s:c r="A20" s="93">
        <s:f>'Cash Flow'!A20</s:f>
        <s:v>46630.0</s:v>
      </s:c>
      <s:c r="B20" s="73">
        <s:f>'Cash Flow'!F20</s:f>
        <s:v>793.7005263157894</s:v>
      </s:c>
      <s:c r="C20" s="94">
        <s:f>C19+IF(B20&lt;0,B20,MIN(B20,Inputs!$C$45-C19))</s:f>
        <s:v>-2950.1936842105274</s:v>
      </s:c>
      <s:c r="D20" s="94">
        <s:f>D19*(1+Inputs!$C$47/12)+IF(D19&lt;Inputs!$C$60*Budget!B17,MAX(0,B20-(C20-C19)),MAX(0,B20-(C20-C19))*0.30)-'Cash Flow'!H20</s:f>
        <s:v>3631.4344987278764</s:v>
      </s:c>
      <s:c r="E20" s="94">
        <s:f>E19*(1+Inputs!$C$49/12)+'Cash Flow'!H20</s:f>
        <s:v>11868.28214939892</s:v>
      </s:c>
      <s:c r="F20" s="94">
        <s:f>F19+IF(D19&gt;=Inputs!$C$60*Budget!B17,MAX(0,B20-(C20-C19))*0.25,0)</s:f>
        <s:v>0.0</s:v>
      </s:c>
      <s:c r="G20" s="94">
        <s:f>G19*(1+0.08/12)+IF(D19&gt;=Inputs!$C$60*Budget!B17,MAX(0,B20-(C20-C19))*0.25,0)</s:f>
        <s:v>0.0</s:v>
      </s:c>
      <s:c r="H20" s="73">
        <s:f>'Car Loan'!F20</s:f>
        <s:v>21128.916246907054</s:v>
      </s:c>
      <s:c r="I20" s="66">
        <s:f>C20+D20+E20+F20+G20</s:f>
        <s:v>12549.522963916268</s:v>
      </s:c>
      <s:c r="J20" s="86">
        <s:f>I20-H20</s:f>
        <s:v>-8579.393282990786</s:v>
      </s:c>
    </s:row>
    <s:row r="21">
      <s:c r="A21" s="92">
        <s:f>'Cash Flow'!A21</s:f>
        <s:v>46660.0</s:v>
      </s:c>
      <s:c r="B21" s="67">
        <s:f>'Cash Flow'!F21</s:f>
        <s:v>793.7005263157894</s:v>
      </s:c>
      <s:c r="C21" s="77">
        <s:f>C20+IF(B21&lt;0,B21,MIN(B21,Inputs!$C$45-C20))</s:f>
        <s:v>-2156.493157894738</s:v>
      </s:c>
      <s:c r="D21" s="77">
        <s:f>D20*(1+Inputs!$C$47/12)+IF(D20&lt;Inputs!$C$60*Budget!B17,MAX(0,B21-(C21-C20)),MAX(0,B21-(C21-C20))*0.30)-'Cash Flow'!H21</s:f>
        <s:v>2393.539280390303</s:v>
      </s:c>
      <s:c r="E21" s="77">
        <s:f>E20*(1+Inputs!$C$49/12)+'Cash Flow'!H21</s:f>
        <s:v>13154.747446302948</s:v>
      </s:c>
      <s:c r="F21" s="77">
        <s:f>F20+IF(D20&gt;=Inputs!$C$60*Budget!B17,MAX(0,B21-(C21-C20))*0.25,0)</s:f>
        <s:v>0.0</s:v>
      </s:c>
      <s:c r="G21" s="77">
        <s:f>G20*(1+0.08/12)+IF(D20&gt;=Inputs!$C$60*Budget!B17,MAX(0,B21-(C21-C20))*0.25,0)</s:f>
        <s:v>0.0</s:v>
      </s:c>
      <s:c r="H21" s="67">
        <s:f>'Car Loan'!F21</s:f>
        <s:v>20785.105899148166</s:v>
      </s:c>
      <s:c r="I21" s="66">
        <s:f>C21+D21+E21+F21+G21</s:f>
        <s:v>13391.793568798514</s:v>
      </s:c>
      <s:c r="J21" s="86">
        <s:f>I21-H21</s:f>
        <s:v>-7393.312330349652</s:v>
      </s:c>
    </s:row>
    <s:row r="22">
      <s:c r="A22" s="93">
        <s:f>'Cash Flow'!A22</s:f>
        <s:v>46691.0</s:v>
      </s:c>
      <s:c r="B22" s="73">
        <s:f>'Cash Flow'!F22</s:f>
        <s:v>793.7005263157894</s:v>
      </s:c>
      <s:c r="C22" s="94">
        <s:f>C21+IF(B22&lt;0,B22,MIN(B22,Inputs!$C$45-C21))</s:f>
        <s:v>-1362.7926315789487</s:v>
      </s:c>
      <s:c r="D22" s="94">
        <s:f>D21*(1+Inputs!$C$47/12)+IF(D21&lt;Inputs!$C$60*Budget!B17,MAX(0,B22-(C22-C21)),MAX(0,B22-(C22-C21))*0.30)-'Cash Flow'!H22</s:f>
        <s:v>2401.5177446582707</s:v>
      </s:c>
      <s:c r="E22" s="94">
        <s:f>E21*(1+Inputs!$C$49/12)+'Cash Flow'!H22</s:f>
        <s:v>13195.165407831715</s:v>
      </s:c>
      <s:c r="F22" s="94">
        <s:f>F21+IF(D21&gt;=Inputs!$C$60*Budget!B17,MAX(0,B22-(C22-C21))*0.25,0)</s:f>
        <s:v>0.0</s:v>
      </s:c>
      <s:c r="G22" s="94">
        <s:f>G21*(1+0.08/12)+IF(D21&gt;=Inputs!$C$60*Budget!B17,MAX(0,B22-(C22-C21))*0.25,0)</s:f>
        <s:v>0.0</s:v>
      </s:c>
      <s:c r="H22" s="73">
        <s:f>'Car Loan'!F22</s:f>
        <s:v>20439.149601802015</s:v>
      </s:c>
      <s:c r="I22" s="66">
        <s:f>C22+D22+E22+F22+G22</s:f>
        <s:v>14233.890520911038</s:v>
      </s:c>
      <s:c r="J22" s="86">
        <s:f>I22-H22</s:f>
        <s:v>-6205.259080890977</s:v>
      </s:c>
    </s:row>
    <s:row r="23">
      <s:c r="A23" s="92">
        <s:f>'Cash Flow'!A23</s:f>
        <s:v>46721.0</s:v>
      </s:c>
      <s:c r="B23" s="67">
        <s:f>'Cash Flow'!F23</s:f>
        <s:v>793.7005263157894</s:v>
      </s:c>
      <s:c r="C23" s="77">
        <s:f>C22+IF(B23&lt;0,B23,MIN(B23,Inputs!$C$45-C22))</s:f>
        <s:v>-569.0921052631593</s:v>
      </s:c>
      <s:c r="D23" s="77">
        <s:f>D22*(1+Inputs!$C$47/12)+IF(D22&lt;Inputs!$C$60*Budget!B17,MAX(0,B23-(C23-C22)),MAX(0,B23-(C23-C22))*0.30)-'Cash Flow'!H23</s:f>
        <s:v>2409.522803807132</s:v>
      </s:c>
      <s:c r="E23" s="77">
        <s:f>E22*(1+Inputs!$C$49/12)+'Cash Flow'!H23</s:f>
        <s:v>13235.707553547278</s:v>
      </s:c>
      <s:c r="F23" s="77">
        <s:f>F22+IF(D22&gt;=Inputs!$C$60*Budget!B17,MAX(0,B23-(C23-C22))*0.25,0)</s:f>
        <s:v>0.0</s:v>
      </s:c>
      <s:c r="G23" s="77">
        <s:f>G22*(1+0.08/12)+IF(D22&gt;=Inputs!$C$60*Budget!B17,MAX(0,B23-(C23-C22))*0.25,0)</s:f>
        <s:v>0.0</s:v>
      </s:c>
      <s:c r="H23" s="67">
        <s:f>'Car Loan'!F23</s:f>
        <s:v>20091.033960566598</s:v>
      </s:c>
      <s:c r="I23" s="66">
        <s:f>C23+D23+E23+F23+G23</s:f>
        <s:v>15076.13825209125</s:v>
      </s:c>
      <s:c r="J23" s="86">
        <s:f>I23-H23</s:f>
        <s:v>-5014.895708475347</s:v>
      </s:c>
    </s:row>
    <s:row r="24">
      <s:c r="A24" s="93">
        <s:f>'Cash Flow'!A24</s:f>
        <s:v>46752.0</s:v>
      </s:c>
      <s:c r="B24" s="73">
        <s:f>'Cash Flow'!F24</s:f>
        <s:v>793.7005263157894</s:v>
      </s:c>
      <s:c r="C24" s="94">
        <s:f>C23+IF(B24&lt;0,B24,MIN(B24,Inputs!$C$45-C23))</s:f>
        <s:v>224.6084210526301</s:v>
      </s:c>
      <s:c r="D24" s="94">
        <s:f>D23*(1+Inputs!$C$47/12)+IF(D23&lt;Inputs!$C$60*Budget!B17,MAX(0,B24-(C24-C23)),MAX(0,B24-(C24-C23))*0.30)-'Cash Flow'!H24</s:f>
        <s:v>1167.554546486489</s:v>
      </s:c>
      <s:c r="E24" s="94">
        <s:f>E23*(1+Inputs!$C$49/12)+'Cash Flow'!H24</s:f>
        <s:v>14526.374265005552</s:v>
      </s:c>
      <s:c r="F24" s="94">
        <s:f>F23+IF(D23&gt;=Inputs!$C$60*Budget!B17,MAX(0,B24-(C24-C23))*0.25,0)</s:f>
        <s:v>0.0</s:v>
      </s:c>
      <s:c r="G24" s="94">
        <s:f>G23*(1+0.08/12)+IF(D23&gt;=Inputs!$C$60*Budget!B17,MAX(0,B24-(C24-C23))*0.25,0)</s:f>
        <s:v>0.0</s:v>
      </s:c>
      <s:c r="H24" s="73">
        <s:f>'Car Loan'!F24</s:f>
        <s:v>19740.745497537137</s:v>
      </s:c>
      <s:c r="I24" s="66">
        <s:f>C24+D24+E24+F24+G24</s:f>
        <s:v>15918.537232544671</s:v>
      </s:c>
      <s:c r="J24" s="86">
        <s:f>I24-H24</s:f>
        <s:v>-3822.208264992465</s:v>
      </s:c>
    </s:row>
    <s:row r="25">
      <s:c r="A25" s="92">
        <s:f>'Cash Flow'!A25</s:f>
        <s:v>46783.0</s:v>
      </s:c>
      <s:c r="B25" s="67">
        <s:f>'Cash Flow'!F25</s:f>
        <s:v>793.7005263157894</s:v>
      </s:c>
      <s:c r="C25" s="77">
        <s:f>C24+IF(B25&lt;0,B25,MIN(B25,Inputs!$C$45-C24))</s:f>
        <s:v>1018.3089473684195</s:v>
      </s:c>
      <s:c r="D25" s="77">
        <s:f>D24*(1+Inputs!$C$47/12)+IF(D24&lt;Inputs!$C$60*Budget!B17,MAX(0,B25-(C25-C24)),MAX(0,B25-(C25-C24))*0.30)-'Cash Flow'!H25</s:f>
        <s:v>1171.4463949747774</s:v>
      </s:c>
      <s:c r="E25" s="77">
        <s:f>E24*(1+Inputs!$C$49/12)+'Cash Flow'!H25</s:f>
        <s:v>14571.006549934782</s:v>
      </s:c>
      <s:c r="F25" s="77">
        <s:f>F24+IF(D24&gt;=Inputs!$C$60*Budget!B17,MAX(0,B25-(C25-C24))*0.25,0)</s:f>
        <s:v>0.0</s:v>
      </s:c>
      <s:c r="G25" s="77">
        <s:f>G24*(1+0.08/12)+IF(D24&gt;=Inputs!$C$60*Budget!B17,MAX(0,B25-(C25-C24))*0.25,0)</s:f>
        <s:v>0.0</s:v>
      </s:c>
      <s:c r="H25" s="67">
        <s:f>'Car Loan'!F25</s:f>
        <s:v>19388.270650684266</s:v>
      </s:c>
      <s:c r="I25" s="66">
        <s:f>C25+D25+E25+F25+G25</s:f>
        <s:v>16760.76189227798</s:v>
      </s:c>
      <s:c r="J25" s="86">
        <s:f>I25-H25</s:f>
        <s:v>-2627.508758406286</s:v>
      </s:c>
    </s:row>
    <s:row r="26">
      <s:c r="A26" s="93">
        <s:f>'Cash Flow'!A26</s:f>
        <s:v>46812.0</s:v>
      </s:c>
      <s:c r="B26" s="73">
        <s:f>'Cash Flow'!F26</s:f>
        <s:v>793.7005263157894</s:v>
      </s:c>
      <s:c r="C26" s="94">
        <s:f>C25+IF(B26&lt;0,B26,MIN(B26,Inputs!$C$45-C25))</s:f>
        <s:v>1812.0094736842088</s:v>
      </s:c>
      <s:c r="D26" s="94">
        <s:f>D25*(1+Inputs!$C$47/12)+IF(D25&lt;Inputs!$C$60*Budget!B17,MAX(0,B26-(C26-C25)),MAX(0,B26-(C26-C25))*0.30)-'Cash Flow'!H26</s:f>
        <s:v>1175.35121629136</s:v>
      </s:c>
      <s:c r="E26" s="94">
        <s:f>E25*(1+Inputs!$C$49/12)+'Cash Flow'!H26</s:f>
        <s:v>14615.775967559457</s:v>
      </s:c>
      <s:c r="F26" s="94">
        <s:f>F25+IF(D25&gt;=Inputs!$C$60*Budget!B17,MAX(0,B26-(C26-C25))*0.25,0)</s:f>
        <s:v>0.0</s:v>
      </s:c>
      <s:c r="G26" s="94">
        <s:f>G25*(1+0.08/12)+IF(D25&gt;=Inputs!$C$60*Budget!B17,MAX(0,B26-(C26-C25))*0.25,0)</s:f>
        <s:v>0.0</s:v>
      </s:c>
      <s:c r="H26" s="73">
        <s:f>'Car Loan'!F26</s:f>
        <s:v>19033.595773328954</s:v>
      </s:c>
      <s:c r="I26" s="66">
        <s:f>C26+D26+E26+F26+G26</s:f>
        <s:v>17603.136657535026</s:v>
      </s:c>
      <s:c r="J26" s="86">
        <s:f>I26-H26</s:f>
        <s:v>-1430.4591157939285</s:v>
      </s:c>
    </s:row>
    <s:row r="27">
      <s:c r="A27" s="92">
        <s:f>'Cash Flow'!A27</s:f>
        <s:v>46843.0</s:v>
      </s:c>
      <s:c r="B27" s="67">
        <s:f>'Cash Flow'!F27</s:f>
        <s:v>793.7005263157894</s:v>
      </s:c>
      <s:c r="C27" s="77">
        <s:f>C26+IF(B27&lt;0,B27,MIN(B27,Inputs!$C$45-C26))</s:f>
        <s:v>2000.0</s:v>
      </s:c>
      <s:c r="D27" s="77">
        <s:f>D26*(1+Inputs!$C$47/12)+IF(D26&lt;Inputs!$C$60*Budget!B17,MAX(0,B27-(C27-C26)),MAX(0,B27-(C27-C26))*0.30)-'Cash Flow'!H27</s:f>
        <s:v>534.9790536789963</s:v>
      </s:c>
      <s:c r="E27" s="77">
        <s:f>E26*(1+Inputs!$C$49/12)+'Cash Flow'!H27</s:f>
        <s:v>15910.682939219783</s:v>
      </s:c>
      <s:c r="F27" s="77">
        <s:f>F26+IF(D26&gt;=Inputs!$C$60*Budget!B17,MAX(0,B27-(C27-C26))*0.25,0)</s:f>
        <s:v>0.0</s:v>
      </s:c>
      <s:c r="G27" s="77">
        <s:f>G26*(1+0.08/12)+IF(D26&gt;=Inputs!$C$60*Budget!B17,MAX(0,B27-(C27-C26))*0.25,0)</s:f>
        <s:v>0.0</s:v>
      </s:c>
      <s:c r="H27" s="67">
        <s:f>'Car Loan'!F27</s:f>
        <s:v>18676.70713361415</s:v>
      </s:c>
      <s:c r="I27" s="66">
        <s:f>C27+D27+E27+F27+G27</s:f>
        <s:v>18445.66199289878</s:v>
      </s:c>
      <s:c r="J27" s="86">
        <s:f>I27-H27</s:f>
        <s:v>-231.0451407153705</s:v>
      </s:c>
    </s:row>
    <s:row r="28">
      <s:c r="A28" s="93">
        <s:f>'Cash Flow'!A28</s:f>
        <s:v>46873.0</s:v>
      </s:c>
      <s:c r="B28" s="73">
        <s:f>'Cash Flow'!F28</s:f>
        <s:v>793.7005263157894</s:v>
      </s:c>
      <s:c r="C28" s="94">
        <s:f>C27+IF(B28&lt;0,B28,MIN(B28,Inputs!$C$45-C27))</s:f>
        <s:v>2000.0</s:v>
      </s:c>
      <s:c r="D28" s="94">
        <s:f>D27*(1+Inputs!$C$47/12)+IF(D27&lt;Inputs!$C$60*Budget!B17,MAX(0,B28-(C28-C27)),MAX(0,B28-(C28-C27))*0.30)-'Cash Flow'!H28</s:f>
        <s:v>1330.462843507049</s:v>
      </s:c>
      <s:c r="E28" s="94">
        <s:f>E27*(1+Inputs!$C$49/12)+'Cash Flow'!H28</s:f>
        <s:v>15959.568512550537</s:v>
      </s:c>
      <s:c r="F28" s="94">
        <s:f>F27+IF(D27&gt;=Inputs!$C$60*Budget!B17,MAX(0,B28-(C28-C27))*0.25,0)</s:f>
        <s:v>0.0</s:v>
      </s:c>
      <s:c r="G28" s="94">
        <s:f>G27*(1+0.08/12)+IF(D27&gt;=Inputs!$C$60*Budget!B17,MAX(0,B28-(C28-C27))*0.25,0)</s:f>
        <s:v>0.0</s:v>
      </s:c>
      <s:c r="H28" s="73">
        <s:f>'Car Loan'!F28</s:f>
        <s:v>18317.590913973127</s:v>
      </s:c>
      <s:c r="I28" s="66">
        <s:f>C28+D28+E28+F28+G28</s:f>
        <s:v>19290.031356057585</s:v>
      </s:c>
      <s:c r="J28" s="86">
        <s:f>I28-H28</s:f>
        <s:v>972.4404420844585</s:v>
      </s:c>
    </s:row>
    <s:row r="29">
      <s:c r="A29" s="92">
        <s:f>'Cash Flow'!A29</s:f>
        <s:v>46904.0</s:v>
      </s:c>
      <s:c r="B29" s="67">
        <s:f>'Cash Flow'!F29</s:f>
        <s:v>793.7005263157894</s:v>
      </s:c>
      <s:c r="C29" s="77">
        <s:f>C28+IF(B29&lt;0,B29,MIN(B29,Inputs!$C$45-C28))</s:f>
        <s:v>2000.0</s:v>
      </s:c>
      <s:c r="D29" s="77">
        <s:f>D28*(1+Inputs!$C$47/12)+IF(D28&lt;Inputs!$C$60*Budget!B17,MAX(0,B29-(C29-C28)),MAX(0,B29-(C29-C28))*0.30)-'Cash Flow'!H29</s:f>
        <s:v>2128.5982459678617</s:v>
      </s:c>
      <s:c r="E29" s="77">
        <s:f>E28*(1+Inputs!$C$49/12)+'Cash Flow'!H29</s:f>
        <s:v>16008.604286805348</s:v>
      </s:c>
      <s:c r="F29" s="77">
        <s:f>F28+IF(D28&gt;=Inputs!$C$60*Budget!B17,MAX(0,B29-(C29-C28))*0.25,0)</s:f>
        <s:v>0.0</s:v>
      </s:c>
      <s:c r="G29" s="77">
        <s:f>G28*(1+0.08/12)+IF(D28&gt;=Inputs!$C$60*Budget!B17,MAX(0,B29-(C29-C28))*0.25,0)</s:f>
        <s:v>0.0</s:v>
      </s:c>
      <s:c r="H29" s="67">
        <s:f>'Car Loan'!F29</s:f>
        <s:v>17956.23321059451</s:v>
      </s:c>
      <s:c r="I29" s="66">
        <s:f>C29+D29+E29+F29+G29</s:f>
        <s:v>20137.20253277321</s:v>
      </s:c>
      <s:c r="J29" s="86">
        <s:f>I29-H29</s:f>
        <s:v>2180.969322178702</s:v>
      </s:c>
    </s:row>
    <s:row r="30">
      <s:c r="A30" s="93">
        <s:f>'Cash Flow'!A30</s:f>
        <s:v>46934.0</s:v>
      </s:c>
      <s:c r="B30" s="73">
        <s:f>'Cash Flow'!F30</s:f>
        <s:v>793.7005263157894</s:v>
      </s:c>
      <s:c r="C30" s="94">
        <s:f>C29+IF(B30&lt;0,B30,MIN(B30,Inputs!$C$45-C29))</s:f>
        <s:v>2000.0</s:v>
      </s:c>
      <s:c r="D30" s="94">
        <s:f>D29*(1+Inputs!$C$47/12)+IF(D29&lt;Inputs!$C$60*Budget!B17,MAX(0,B30-(C30-C29)),MAX(0,B30-(C30-C29))*0.30)-'Cash Flow'!H30</s:f>
        <s:v>1679.3940997702107</s:v>
      </s:c>
      <s:c r="E30" s="94">
        <s:f>E29*(1+Inputs!$C$49/12)+'Cash Flow'!H30</s:f>
        <s:v>17307.79072347656</s:v>
      </s:c>
      <s:c r="F30" s="94">
        <s:f>F29+IF(D29&gt;=Inputs!$C$60*Budget!B17,MAX(0,B30-(C30-C29))*0.25,0)</s:f>
        <s:v>0.0</s:v>
      </s:c>
      <s:c r="G30" s="94">
        <s:f>G29*(1+0.08/12)+IF(D29&gt;=Inputs!$C$60*Budget!B17,MAX(0,B30-(C30-C29))*0.25,0)</s:f>
        <s:v>0.0</s:v>
      </s:c>
      <s:c r="H30" s="73">
        <s:f>'Car Loan'!F30</s:f>
        <s:v>17592.620032883973</s:v>
      </s:c>
      <s:c r="I30" s="66">
        <s:f>C30+D30+E30+F30+G30</s:f>
        <s:v>20987.18482324677</s:v>
      </s:c>
      <s:c r="J30" s="86">
        <s:f>I30-H30</s:f>
        <s:v>3394.564790362798</s:v>
      </s:c>
    </s:row>
    <s:row r="31">
      <s:c r="A31" s="92">
        <s:f>'Cash Flow'!A31</s:f>
        <s:v>46965.0</s:v>
      </s:c>
      <s:c r="B31" s="67">
        <s:f>'Cash Flow'!F31</s:f>
        <s:v>793.7005263157894</s:v>
      </s:c>
      <s:c r="C31" s="77">
        <s:f>C30+IF(B31&lt;0,B31,MIN(B31,Inputs!$C$45-C30))</s:f>
        <s:v>2000.0</s:v>
      </s:c>
      <s:c r="D31" s="77">
        <s:f>D30*(1+Inputs!$C$47/12)+IF(D30&lt;Inputs!$C$60*Budget!B17,MAX(0,B31-(C31-C30)),MAX(0,B31-(C31-C30))*0.30)-'Cash Flow'!H31</s:f>
        <s:v>2478.6926064185673</s:v>
      </s:c>
      <s:c r="E31" s="77">
        <s:f>E30*(1+Inputs!$C$49/12)+'Cash Flow'!H31</s:f>
        <s:v>17360.968910474443</s:v>
      </s:c>
      <s:c r="F31" s="77">
        <s:f>F30+IF(D30&gt;=Inputs!$C$60*Budget!B17,MAX(0,B31-(C31-C30))*0.25,0)</s:f>
        <s:v>0.0</s:v>
      </s:c>
      <s:c r="G31" s="77">
        <s:f>G30*(1+0.08/12)+IF(D30&gt;=Inputs!$C$60*Budget!B17,MAX(0,B31-(C31-C30))*0.25,0)</s:f>
        <s:v>0.0</s:v>
      </s:c>
      <s:c r="H31" s="67">
        <s:f>'Car Loan'!F31</s:f>
        <s:v>17226.73730292256</s:v>
      </s:c>
      <s:c r="I31" s="66">
        <s:f>C31+D31+E31+F31+G31</s:f>
        <s:v>21839.66151689301</s:v>
      </s:c>
      <s:c r="J31" s="86">
        <s:f>I31-H31</s:f>
        <s:v>4612.924213970451</s:v>
      </s:c>
    </s:row>
    <s:row r="32">
      <s:c r="A32" s="93">
        <s:f>'Cash Flow'!A32</s:f>
        <s:v>46996.0</s:v>
      </s:c>
      <s:c r="B32" s="73">
        <s:f>'Cash Flow'!F32</s:f>
        <s:v>793.7005263157894</s:v>
      </s:c>
      <s:c r="C32" s="94">
        <s:f>C31+IF(B32&lt;0,B32,MIN(B32,Inputs!$C$45-C31))</s:f>
        <s:v>2000.0</s:v>
      </s:c>
      <s:c r="D32" s="94">
        <s:f>D31*(1+Inputs!$C$47/12)+IF(D31&lt;Inputs!$C$60*Budget!B17,MAX(0,B32-(C32-C31)),MAX(0,B32-(C32-C31))*0.30)-'Cash Flow'!H32</s:f>
        <s:v>3280.655441422419</s:v>
      </s:c>
      <s:c r="E32" s="94">
        <s:f>E31*(1+Inputs!$C$49/12)+'Cash Flow'!H32</s:f>
        <s:v>17414.310487451876</s:v>
      </s:c>
      <s:c r="F32" s="94">
        <s:f>F31+IF(D31&gt;=Inputs!$C$60*Budget!B17,MAX(0,B32-(C32-C31))*0.25,0)</s:f>
        <s:v>0.0</s:v>
      </s:c>
      <s:c r="G32" s="94">
        <s:f>G31*(1+0.08/12)+IF(D31&gt;=Inputs!$C$60*Budget!B17,MAX(0,B32-(C32-C31))*0.25,0)</s:f>
        <s:v>0.0</s:v>
      </s:c>
      <s:c r="H32" s="73">
        <s:f>'Car Loan'!F32</s:f>
        <s:v>16858.570854921636</s:v>
      </s:c>
      <s:c r="I32" s="66">
        <s:f>C32+D32+E32+F32+G32</s:f>
        <s:v>22694.965928874295</s:v>
      </s:c>
      <s:c r="J32" s="86">
        <s:f>I32-H32</s:f>
        <s:v>5836.395073952659</s:v>
      </s:c>
    </s:row>
  </s:sheetData>
  <s:mergeCells count="3">
    <s:mergeCell ref="C4:F4"/>
    <s:mergeCell ref="A1:J1"/>
    <s:mergeCell ref="A2:J2"/>
  </s:mergeCells>
  <s:pageMargins left="0.75" right="0.75" top="1" bottom="1" header="0.5" footer="0.5"/>
  <s:legacyDrawing r:id="anysvml"/>
</s:worksheet>
</file>

<file path=xl/worksheets/sheet10.xml><?xml version="1.0" encoding="utf-8"?>
<s:worksheet xmlns:s="http://schemas.openxmlformats.org/spreadsheetml/2006/main">
  <s:sheetPr>
    <s:tabColor rgb="001E7B4F"/>
    <s:outlinePr summaryBelow="1" summaryRight="1"/>
    <s:pageSetUpPr/>
  </s:sheetPr>
  <s:dimension ref="A1:E19"/>
  <s:sheetViews>
    <s:sheetView showGridLines="0" workbookViewId="0">
      <s:pane ySplit="5" topLeftCell="A6" activePane="bottomLeft" state="frozen"/>
      <s:selection pane="bottomLeft" activeCell="A1" sqref="A1"/>
    </s:sheetView>
  </s:sheetViews>
  <s:sheetFormatPr baseColWidth="8" defaultRowHeight="15"/>
  <s:cols>
    <s:col width="34" customWidth="1" min="1" max="1"/>
    <s:col width="15" customWidth="1" min="2" max="2"/>
    <s:col width="15" customWidth="1" min="3" max="3"/>
    <s:col width="4" customWidth="1" min="4" max="4"/>
    <s:col width="58" customWidth="1" min="5" max="5"/>
  </s:cols>
  <s:sheetData>
    <s:row r="1" ht="26" customHeight="1">
      <s:c r="A1" s="1" t="inlineStr">
        <s:is>
          <s:t>MONEY SPLIT  —  what to do the day money lands</s:t>
        </s:is>
      </s:c>
      <s:c r="B1" s="2" t="n"/>
      <s:c r="C1" s="2" t="n"/>
      <s:c r="D1" s="2" t="n"/>
      <s:c r="E1" s="2" t="n"/>
    </s:row>
    <s:row r="2" ht="16" customHeight="1">
      <s:c r="A2" s="3" t="inlineStr">
        <s:is>
          <s:t>Two situations: while the advance is outstanding, and after it clears. Right now you are in the first one.</s:t>
        </s:is>
      </s:c>
      <s:c r="B2" s="2" t="n"/>
      <s:c r="C2" s="2" t="n"/>
      <s:c r="D2" s="2" t="n"/>
      <s:c r="E2" s="2" t="n"/>
    </s:row>
    <s:row r="4">
      <s:c r="A4" s="95" t="inlineStr">
        <s:is>
          <s:t>WHILE THE ADVANCE IS OUTSTANDING</s:t>
        </s:is>
      </s:c>
    </s:row>
    <s:row r="5" ht="30" customHeight="1">
      <s:c r="A5" s="38" t="str">
        <s:f>"Your paycheck is "&amp;TEXT(Inputs!$C$10,"$#,##0.00")&amp;" a month, every month, no matter what closes. Commission never touches your bank - it goes straight to the balance. So the only lever you have right now is spending, and the plan is simple:"</s:f>
        <s:v>Your paycheck is $2,463.16 a month, every month, no matter what closes. Commission never touches your bank - it goes straight to the balance. So the only lever you have right now is spending, and the plan is simple:</s:v>
      </s:c>
    </s:row>
    <s:row r="6" ht="28" customHeight="1">
      <s:c r="A6" s="8" t="inlineStr">
        <s:is>
          <s:t>1. Checking to $2,000</s:t>
        </s:is>
      </s:c>
      <s:c r="B6" s="86">
        <s:f>MAX(0,Inputs!$C$45-Inputs!$C$44)</s:f>
        <s:v>1604.6</s:v>
      </s:c>
      <s:c r="E6" s="20" t="inlineStr">
        <s:is>
          <s:t>You're at $395.40 with $865.84 due by 10/14. Nothing else matters until this is fixed.</s:t>
        </s:is>
      </s:c>
    </s:row>
    <s:row r="7" ht="28" customHeight="1">
      <s:c r="A7" s="21" t="inlineStr">
        <s:is>
          <s:t>2. Everything spare to the emergency fund</s:t>
        </s:is>
      </s:c>
      <s:c r="B7" s="86">
        <s:f>MAX(0,Budget!B20)</s:f>
        <s:v>0.0</s:v>
      </s:c>
      <s:c r="E7" s="24" t="inlineStr">
        <s:is>
          <s:t>Whatever the budget leaves over. If that is negative, cut marketing first - it is the only truly optional line.</s:t>
        </s:is>
      </s:c>
    </s:row>
    <s:row r="8" ht="28" customHeight="1">
      <s:c r="A8" s="8" t="inlineStr">
        <s:is>
          <s:t>3. Open the Roth and the ring account now</s:t>
        </s:is>
      </s:c>
      <s:c r="B8" s="86">
        <s:f>0</s:f>
        <s:v>0.0</s:v>
      </s:c>
      <s:c r="E8" s="20" t="inlineStr">
        <s:is>
          <s:t>Even at $25/month. Opening them is the hard part; funding them is easy later.</s:t>
        </s:is>
      </s:c>
    </s:row>
    <s:row r="10">
      <s:c r="A10" s="96" t="inlineStr">
        <s:is>
          <s:t>AFTER THE ADVANCE CLEARS  —  when a real commission check arrives</s:t>
        </s:is>
      </s:c>
    </s:row>
    <s:row r="11">
      <s:c r="A11" s="8" t="inlineStr">
        <s:is>
          <s:t>Commission check (gross)</s:t>
        </s:is>
      </s:c>
      <s:c r="B11" s="39" t="n">
        <s:v>4500</s:v>
      </s:c>
      <s:c r="C11" s="53" t="inlineStr">
        <s:is>
          <s:t>&lt;- type it here</s:t>
        </s:is>
      </s:c>
    </s:row>
    <s:row r="12" ht="20" customHeight="1">
      <s:c r="A12" s="16" t="inlineStr">
        <s:is>
          <s:t>Step</s:t>
        </s:is>
      </s:c>
      <s:c r="B12" s="16" t="inlineStr">
        <s:is>
          <s:t>Amount</s:t>
        </s:is>
      </s:c>
      <s:c r="C12" s="16" t="inlineStr">
        <s:is>
          <s:t>Running left</s:t>
        </s:is>
      </s:c>
      <s:c r="D12" s="16" t="inlineStr"/>
      <s:c r="E12" s="16" t="inlineStr">
        <s:is>
          <s:t>Why</s:t>
        </s:is>
      </s:c>
    </s:row>
    <s:row r="13" ht="30" customHeight="1">
      <s:c r="A13" s="8" t="inlineStr">
        <s:is>
          <s:t>Withholding (taken before you see it)</s:t>
        </s:is>
      </s:c>
      <s:c r="B13" s="86">
        <s:f>$B$11*Inputs!$C$13</s:f>
        <s:v>990.0</s:v>
      </s:c>
      <s:c r="C13" s="76">
        <s:f>$B$11-B13</s:f>
        <s:v>3510.0</s:v>
      </s:c>
      <s:c r="E13" s="20" t="inlineStr">
        <s:is>
          <s:t>22% federal supplemental plus state. Already gone - just don't count it as yours.</s:t>
        </s:is>
      </s:c>
    </s:row>
    <s:row r="14" ht="30" customHeight="1">
      <s:c r="A14" s="21" t="inlineStr">
        <s:is>
          <s:t>1. Top checking back to the cushion</s:t>
        </s:is>
      </s:c>
      <s:c r="B14" s="86">
        <s:f>MIN(C13,MAX(0,Inputs!$C$45-Inputs!$C$44))</s:f>
        <s:v>1604.6</s:v>
      </s:c>
      <s:c r="C14" s="79">
        <s:f>C13-B14</s:f>
        <s:v>1905.4</s:v>
      </s:c>
      <s:c r="E14" s="24" t="inlineStr">
        <s:is>
          <s:t>Every single time. It is the buffer that stops a slow month becoming credit card debt.</s:t>
        </s:is>
      </s:c>
    </s:row>
    <s:row r="15" ht="30" customHeight="1">
      <s:c r="A15" s="8" t="inlineStr">
        <s:is>
          <s:t>2. Emergency fund until full</s:t>
        </s:is>
      </s:c>
      <s:c r="B15" s="86">
        <s:f>MIN(C14,MAX(0,Accounts!$B$4-Inputs!$C$46))</s:f>
        <s:v>1905.4</s:v>
      </s:c>
      <s:c r="C15" s="76">
        <s:f>C14-B15</s:f>
        <s:v>0.0</s:v>
      </s:c>
      <s:c r="E15" s="20" t="inlineStr">
        <s:is>
          <s:t>6 months of costs. Your income has no floor above the draw, so this is your only shock absorber.</s:t>
        </s:is>
      </s:c>
    </s:row>
    <s:row r="16" ht="30" customHeight="1">
      <s:c r="A16" s="21" t="inlineStr">
        <s:is>
          <s:t>3. Roth IRA</s:t>
        </s:is>
      </s:c>
      <s:c r="B16" s="86">
        <s:f>C15*0.30</s:f>
        <s:v>0.0</s:v>
      </s:c>
      <s:c r="C16" s="79">
        <s:f>C15-B16</s:f>
        <s:v>0.0</s:v>
      </s:c>
      <s:c r="E16" s="24" t="inlineStr">
        <s:is>
          <s:t>You're 25 with $0 invested. $7,000/yr at 8% to age 65 is about $1.8M. One year of delay costs roughly $145,000.</s:t>
        </s:is>
      </s:c>
    </s:row>
    <s:row r="17" ht="30" customHeight="1">
      <s:c r="A17" s="8" t="inlineStr">
        <s:is>
          <s:t>4. Ring / travel</s:t>
        </s:is>
      </s:c>
      <s:c r="B17" s="86">
        <s:f>C16*0.30</s:f>
        <s:v>0.0</s:v>
      </s:c>
      <s:c r="C17" s="76">
        <s:f>C16-B17</s:f>
        <s:v>0.0</s:v>
      </s:c>
      <s:c r="E17" s="20" t="inlineStr">
        <s:is>
          <s:t>Dated goal ~2 years out. Cash only - never invest money you need inside three years.</s:t>
        </s:is>
      </s:c>
    </s:row>
    <s:row r="18" ht="30" customHeight="1">
      <s:c r="A18" s="21" t="inlineStr">
        <s:is>
          <s:t>5. House fund</s:t>
        </s:is>
      </s:c>
      <s:c r="B18" s="86">
        <s:f>C17*0.25</s:f>
        <s:v>0.0</s:v>
      </s:c>
      <s:c r="C18" s="79">
        <s:f>C17-B18</s:f>
        <s:v>0.0</s:v>
      </s:c>
      <s:c r="E18" s="24" t="inlineStr">
        <s:is>
          <s:t>Separate account so you can watch both clocks.</s:t>
        </s:is>
      </s:c>
    </s:row>
    <s:row r="19" ht="30" customHeight="1">
      <s:c r="A19" s="8" t="inlineStr">
        <s:is>
          <s:t>6. Guilt-free</s:t>
        </s:is>
      </s:c>
      <s:c r="B19" s="86">
        <s:f>C18*1.00</s:f>
        <s:v>0.0</s:v>
      </s:c>
      <s:c r="C19" s="76">
        <s:f>C18-B19</s:f>
        <s:v>0.0</s:v>
      </s:c>
      <s:c r="E19" s="20" t="inlineStr">
        <s:is>
          <s:t>Non-negotiable. A budget with no fun in it gets abandoned in about six weeks.</s:t>
        </s:is>
      </s:c>
    </s:row>
  </s:sheetData>
  <s:mergeCells count="5">
    <s:mergeCell ref="A4:E4"/>
    <s:mergeCell ref="A2:E2"/>
    <s:mergeCell ref="A10:E10"/>
    <s:mergeCell ref="A1:E1"/>
    <s:mergeCell ref="A5:E5"/>
  </s:mergeCells>
  <s:pageMargins left="0.75" right="0.75" top="1" bottom="1" header="0.5" footer="0.5"/>
</s:worksheet>
</file>

<file path=xl/worksheets/sheet11.xml><?xml version="1.0" encoding="utf-8"?>
<s:worksheet xmlns:s="http://schemas.openxmlformats.org/spreadsheetml/2006/main">
  <s:sheetPr>
    <s:tabColor rgb="00FFF2CC"/>
    <s:outlinePr summaryBelow="1" summaryRight="1"/>
    <s:pageSetUpPr/>
  </s:sheetPr>
  <s:dimension ref="A1:G14"/>
  <s:sheetViews>
    <s:sheetView showGridLines="0" workbookViewId="0">
      <s:pane ySplit="5" topLeftCell="A6" activePane="bottomLeft" state="frozen"/>
      <s:selection pane="bottomLeft" activeCell="A1" sqref="A1"/>
    </s:sheetView>
  </s:sheetViews>
  <s:sheetFormatPr baseColWidth="8" defaultRowHeight="15"/>
  <s:cols>
    <s:col width="24" customWidth="1" min="1" max="1"/>
    <s:col width="14" customWidth="1" min="2" max="2"/>
    <s:col width="13" customWidth="1" min="3" max="3"/>
    <s:col width="9" customWidth="1" min="4" max="4"/>
    <s:col width="13" customWidth="1" min="5" max="5"/>
    <s:col width="14" customWidth="1" min="6" max="6"/>
    <s:col width="46" customWidth="1" min="7" max="7"/>
  </s:cols>
  <s:sheetData>
    <s:row r="1" ht="26" customHeight="1">
      <s:c r="A1" s="1" t="inlineStr">
        <s:is>
          <s:t>GOALS</s:t>
        </s:is>
      </s:c>
      <s:c r="B1" s="2" t="n"/>
      <s:c r="C1" s="2" t="n"/>
      <s:c r="D1" s="2" t="n"/>
      <s:c r="E1" s="2" t="n"/>
      <s:c r="F1" s="2" t="n"/>
      <s:c r="G1" s="2" t="n"/>
    </s:row>
    <s:row r="2" ht="16" customHeight="1">
      <s:c r="A2" s="3" t="inlineStr">
        <s:is>
          <s:t>Set the target and the date; it tells you the monthly cost. The GAP row is the honest bit.</s:t>
        </s:is>
      </s:c>
      <s:c r="B2" s="2" t="n"/>
      <s:c r="C2" s="2" t="n"/>
      <s:c r="D2" s="2" t="n"/>
      <s:c r="E2" s="2" t="n"/>
      <s:c r="F2" s="2" t="n"/>
      <s:c r="G2" s="2" t="n"/>
    </s:row>
    <s:row r="5" ht="30" customHeight="1">
      <s:c r="A5" s="16" t="inlineStr">
        <s:is>
          <s:t>Goal</s:t>
        </s:is>
      </s:c>
      <s:c r="B5" s="16" t="inlineStr">
        <s:is>
          <s:t>Target</s:t>
        </s:is>
      </s:c>
      <s:c r="C5" s="16" t="inlineStr">
        <s:is>
          <s:t>By when</s:t>
        </s:is>
      </s:c>
      <s:c r="D5" s="16" t="inlineStr">
        <s:is>
          <s:t>Months</s:t>
        </s:is>
      </s:c>
      <s:c r="E5" s="16" t="inlineStr">
        <s:is>
          <s:t>Have now</s:t>
        </s:is>
      </s:c>
      <s:c r="F5" s="16" t="inlineStr">
        <s:is>
          <s:t>Need/month</s:t>
        </s:is>
      </s:c>
      <s:c r="G5" s="16" t="inlineStr">
        <s:is>
          <s:t>Note</s:t>
        </s:is>
      </s:c>
    </s:row>
    <s:row r="6" ht="30" customHeight="1">
      <s:c r="A6" s="8" t="inlineStr">
        <s:is>
          <s:t>Clear the draw advance</s:t>
        </s:is>
      </s:c>
      <s:c r="B6" s="76">
        <s:f>Inputs!$C$17</s:f>
        <s:v>16500.0</s:v>
      </s:c>
      <s:c r="C6" s="97">
        <s:f>EDATE(Inputs!$C$59,12)</s:f>
        <s:v>46640.0</s:v>
      </s:c>
      <s:c r="D6" s="98">
        <s:f>MAX(1,ROUND((C6-Inputs!$C$59)/30.44,0))</s:f>
        <s:v>12.0</s:v>
      </s:c>
      <s:c r="E6" s="67">
        <s:f>0</s:f>
        <s:v>0.0</s:v>
      </s:c>
      <s:c r="F6" s="86">
        <s:f>MAX(0,B6-E6)/D6</s:f>
        <s:v>1375.0</s:v>
      </s:c>
      <s:c r="G6" s="20" t="inlineStr">
        <s:is>
          <s:t>Comes out of commission, not out of your budget. It is the gate on everything else.</s:t>
        </s:is>
      </s:c>
    </s:row>
    <s:row r="7" ht="30" customHeight="1">
      <s:c r="A7" s="21" t="inlineStr">
        <s:is>
          <s:t>Checking cushion</s:t>
        </s:is>
      </s:c>
      <s:c r="B7" s="79">
        <s:f>Inputs!$C$45</s:f>
        <s:v>2000.0</s:v>
      </s:c>
      <s:c r="C7" s="99">
        <s:f>EDATE(Inputs!$C$59,2)</s:f>
        <s:v>46336.0</s:v>
      </s:c>
      <s:c r="D7" s="100">
        <s:f>MAX(1,ROUND((C7-Inputs!$C$59)/30.44,0))</s:f>
        <s:v>2.0</s:v>
      </s:c>
      <s:c r="E7" s="73">
        <s:f>Inputs!$C$44</s:f>
        <s:v>395.4</s:v>
      </s:c>
      <s:c r="F7" s="86">
        <s:f>MAX(0,B7-E7)/D7</s:f>
        <s:v>802.3</s:v>
      </s:c>
      <s:c r="G7" s="24" t="inlineStr">
        <s:is>
          <s:t>Most urgent thing on this page.</s:t>
        </s:is>
      </s:c>
    </s:row>
    <s:row r="8" ht="30" customHeight="1">
      <s:c r="A8" s="8" t="inlineStr">
        <s:is>
          <s:t>Emergency fund</s:t>
        </s:is>
      </s:c>
      <s:c r="B8" s="76">
        <s:f>Inputs!$C$60*Budget!B17</s:f>
        <s:v>17036.756842105264</s:v>
      </s:c>
      <s:c r="C8" s="97">
        <s:f>EDATE(Inputs!$C$59,18)</s:f>
        <s:v>46822.0</s:v>
      </s:c>
      <s:c r="D8" s="98">
        <s:f>MAX(1,ROUND((C8-Inputs!$C$59)/30.44,0))</s:f>
        <s:v>18.0</s:v>
      </s:c>
      <s:c r="E8" s="67">
        <s:f>Inputs!$C$46</s:f>
        <s:v>8398.9</s:v>
      </s:c>
      <s:c r="F8" s="86">
        <s:f>MAX(0,B8-E8)/D8</s:f>
        <s:v>479.8809356725147</s:v>
      </s:c>
      <s:c r="G8" s="20" t="inlineStr">
        <s:is>
          <s:t>Your HYSA already covers a lot of this.</s:t>
        </s:is>
      </s:c>
    </s:row>
    <s:row r="9" ht="30" customHeight="1">
      <s:c r="A9" s="21" t="inlineStr">
        <s:is>
          <s:t>Roth IRA (this year)</s:t>
        </s:is>
      </s:c>
      <s:c r="B9" s="79">
        <s:f>7000</s:f>
        <s:v>7000.0</s:v>
      </s:c>
      <s:c r="C9" s="99">
        <s:f>DATE(YEAR(Inputs!$C$59)+1,4,15)</s:f>
        <s:v>46492.0</s:v>
      </s:c>
      <s:c r="D9" s="100">
        <s:f>MAX(1,ROUND((C9-Inputs!$C$59)/30.44,0))</s:f>
        <s:v>7.0</s:v>
      </s:c>
      <s:c r="E9" s="73">
        <s:f>Inputs!$C$53</s:f>
        <s:v>0.0</s:v>
      </s:c>
      <s:c r="F9" s="86">
        <s:f>MAX(0,B9-E9)/D9</s:f>
        <s:v>1000.0</s:v>
      </s:c>
      <s:c r="G9" s="24" t="inlineStr">
        <s:is>
          <s:t>You have until tax day of the following year to fund the prior year. Verify the 2026 limit.</s:t>
        </s:is>
      </s:c>
    </s:row>
    <s:row r="10" ht="30" customHeight="1">
      <s:c r="A10" s="8" t="inlineStr">
        <s:is>
          <s:t>Ring + proposal</s:t>
        </s:is>
      </s:c>
      <s:c r="B10" s="76">
        <s:f>Inputs!$C$61</s:f>
        <s:v>12000.0</s:v>
      </s:c>
      <s:c r="C10" s="97">
        <s:f>Inputs!$C$62</s:f>
        <s:v>46997.0</s:v>
      </s:c>
      <s:c r="D10" s="98">
        <s:f>MAX(1,ROUND((C10-Inputs!$C$59)/30.44,0))</s:f>
        <s:v>24.0</s:v>
      </s:c>
      <s:c r="E10" s="67">
        <s:f>Inputs!$C$52</s:f>
        <s:v>0.0</s:v>
      </s:c>
      <s:c r="F10" s="86">
        <s:f>MAX(0,B10-E10)/D10</s:f>
        <s:v>500.0</s:v>
      </s:c>
      <s:c r="G10" s="20" t="inlineStr">
        <s:is>
          <s:t>Cash only.</s:t>
        </s:is>
      </s:c>
    </s:row>
    <s:row r="11" ht="30" customHeight="1">
      <s:c r="A11" s="21" t="inlineStr">
        <s:is>
          <s:t>House down payment</s:t>
        </s:is>
      </s:c>
      <s:c r="B11" s="79">
        <s:f>Inputs!$C$63*Inputs!$C$64+Inputs!$C$63*0.03</s:f>
        <s:v>32000.0</s:v>
      </s:c>
      <s:c r="C11" s="99">
        <s:f>Inputs!$C$65</s:f>
        <s:v>47178.0</s:v>
      </s:c>
      <s:c r="D11" s="100">
        <s:f>MAX(1,ROUND((C11-Inputs!$C$59)/30.44,0))</s:f>
        <s:v>30.0</s:v>
      </s:c>
      <s:c r="E11" s="73">
        <s:f>0</s:f>
        <s:v>0.0</s:v>
      </s:c>
      <s:c r="F11" s="86">
        <s:f>MAX(0,B11-E11)/D11</s:f>
        <s:v>1066.6666666666667</s:v>
      </s:c>
      <s:c r="G11" s="24" t="inlineStr">
        <s:is>
          <s:t>5% down + 3% costs. FHA at 3.5% cuts this.</s:t>
        </s:is>
      </s:c>
    </s:row>
    <s:row r="12">
      <s:c r="A12" s="82" t="inlineStr">
        <s:is>
          <s:t>TOTAL NEEDED PER MONTH</s:t>
        </s:is>
      </s:c>
      <s:c r="F12" s="87">
        <s:f>SUM(F7:F11)</s:f>
        <s:v>3848.8476023391813</s:v>
      </s:c>
    </s:row>
    <s:row r="13">
      <s:c r="A13" s="8" t="inlineStr">
        <s:is>
          <s:t>Your surplus per month</s:t>
        </s:is>
      </s:c>
      <s:c r="F13" s="86">
        <s:f>Budget!B20</s:f>
        <s:v>-376.2994736842106</s:v>
      </s:c>
    </s:row>
    <s:row r="14" ht="46" customHeight="1">
      <s:c r="A14" s="82" t="inlineStr">
        <s:is>
          <s:t>GAP</s:t>
        </s:is>
      </s:c>
      <s:c r="F14" s="90">
        <s:f>F13-F12</s:f>
        <s:v>-4225.1470760233915</s:v>
      </s:c>
      <s:c r="G14" s="91" t="inlineStr">
        <s:is>
          <s:t>Negative means these do not all fit yet. That is not a budgeting failure - it is the sheet telling you the answer is more closings, or a later date. Row 7 is excluded from your budget on purpose: the advance is repaid from commission, not from your paycheck.</s:t>
        </s:is>
      </s:c>
    </s:row>
  </s:sheetData>
  <s:mergeCells count="2">
    <s:mergeCell ref="A2:G2"/>
    <s:mergeCell ref="A1:G1"/>
  </s:mergeCells>
  <s:pageMargins left="0.75" right="0.75" top="1" bottom="1" header="0.5" footer="0.5"/>
</s:worksheet>
</file>

<file path=xl/worksheets/sheet12.xml><?xml version="1.0" encoding="utf-8"?>
<s:worksheet xmlns:s="http://schemas.openxmlformats.org/spreadsheetml/2006/main">
  <s:sheetPr>
    <s:tabColor rgb="001F4E79"/>
    <s:outlinePr summaryBelow="1" summaryRight="1"/>
    <s:pageSetUpPr/>
  </s:sheetPr>
  <s:dimension ref="A1:F41"/>
  <s:sheetViews>
    <s:sheetView showGridLines="0" workbookViewId="0">
      <s:pane ySplit="5" topLeftCell="A6" activePane="bottomLeft" state="frozen"/>
      <s:selection pane="bottomLeft" activeCell="A1" sqref="A1"/>
    </s:sheetView>
  </s:sheetViews>
  <s:sheetFormatPr baseColWidth="8" defaultRowHeight="15"/>
  <s:cols>
    <s:col width="4" customWidth="1" min="1" max="1"/>
    <s:col width="36" customWidth="1" min="2" max="2"/>
    <s:col width="16" customWidth="1" min="3" max="3"/>
    <s:col width="16" customWidth="1" min="4" max="4"/>
    <s:col width="4" customWidth="1" min="5" max="5"/>
    <s:col width="62" customWidth="1" min="6" max="6"/>
  </s:cols>
  <s:sheetData>
    <s:row r="1" ht="26" customHeight="1">
      <s:c r="A1" s="1" t="inlineStr">
        <s:is>
          <s:t>CREDIT &amp; HOME</s:t>
        </s:is>
      </s:c>
      <s:c r="B1" s="2" t="n"/>
      <s:c r="C1" s="2" t="n"/>
      <s:c r="D1" s="2" t="n"/>
      <s:c r="E1" s="2" t="n"/>
      <s:c r="F1" s="2" t="n"/>
    </s:row>
    <s:row r="2" ht="16" customHeight="1">
      <s:c r="A2" s="3" t="inlineStr">
        <s:is>
          <s:t>You asked whether to pay the card in full. Yes - but WHEN you pay changes your score. Then: what you can actually qualify for.</s:t>
        </s:is>
      </s:c>
      <s:c r="B2" s="2" t="n"/>
      <s:c r="C2" s="2" t="n"/>
      <s:c r="D2" s="2" t="n"/>
      <s:c r="E2" s="2" t="n"/>
      <s:c r="F2" s="2" t="n"/>
    </s:row>
    <s:row r="5" ht="19" customHeight="1">
      <s:c r="A5" s="4" t="inlineStr">
        <s:is>
          <s:t xml:space="preserve">  A.  THE CARD  —  pay in full, but pay twice</s:t>
        </s:is>
      </s:c>
      <s:c r="B5" s="5" t="n"/>
      <s:c r="C5" s="5" t="n"/>
      <s:c r="D5" s="5" t="n"/>
      <s:c r="E5" s="5" t="n"/>
      <s:c r="F5" s="5" t="n"/>
    </s:row>
    <s:row r="6" ht="30" customHeight="1">
      <s:c r="B6" s="101" t="inlineStr">
        <s:is>
          <s:t>The myth</s:t>
        </s:is>
      </s:c>
      <s:c r="C6" s="9" t="inlineStr">
        <s:is>
          <s:t>Carrying a balance 'builds credit'. It does not. It costs you interest and does nothing for your score.</s:t>
        </s:is>
      </s:c>
      <s:c r="D6" s="14" t="n"/>
      <s:c r="E6" s="14" t="n"/>
      <s:c r="F6" s="15" t="n"/>
    </s:row>
    <s:row r="7" ht="30" customHeight="1">
      <s:c r="B7" s="101" t="inlineStr">
        <s:is>
          <s:t>The mechanic</s:t>
        </s:is>
      </s:c>
      <s:c r="C7" s="9" t="inlineStr">
        <s:is>
          <s:t>Your issuer reports your balance on the STATEMENT CLOSING date, not the due date. Whatever the statement says is what the bureaus see for the next 30 days.</s:t>
        </s:is>
      </s:c>
      <s:c r="D7" s="14" t="n"/>
      <s:c r="E7" s="14" t="n"/>
      <s:c r="F7" s="15" t="n"/>
    </s:row>
    <s:row r="8" ht="30" customHeight="1">
      <s:c r="B8" s="101" t="inlineStr">
        <s:is>
          <s:t>So do this</s:t>
        </s:is>
      </s:c>
      <s:c r="C8" s="9" t="inlineStr">
        <s:is>
          <s:t>Pay it down to about 5% of your limit a few days BEFORE the statement closes. Let that small balance report. Then pay the remainder in full by the 7th. Zero interest, near-perfect utilization.</s:t>
        </s:is>
      </s:c>
      <s:c r="D8" s="14" t="n"/>
      <s:c r="E8" s="14" t="n"/>
      <s:c r="F8" s="15" t="n"/>
    </s:row>
    <s:row r="9" ht="30" customHeight="1">
      <s:c r="B9" s="101" t="inlineStr">
        <s:is>
          <s:t>Why not $0?</s:t>
        </s:is>
      </s:c>
      <s:c r="C9" s="9" t="inlineStr">
        <s:is>
          <s:t>Reporting all zeros can actually score slightly lower than one small balance. Let one card report 1-9% and everything else zero.</s:t>
        </s:is>
      </s:c>
      <s:c r="D9" s="14" t="n"/>
      <s:c r="E9" s="14" t="n"/>
      <s:c r="F9" s="15" t="n"/>
    </s:row>
    <s:row r="10" ht="30" customHeight="1">
      <s:c r="B10" s="101" t="inlineStr">
        <s:is>
          <s:t>On a $5,000 limit</s:t>
        </s:is>
      </s:c>
      <s:c r="C10" s="9" t="inlineStr">
        <s:is>
          <s:t>Let about $250 report, then clear it. That is the whole trick.</s:t>
        </s:is>
      </s:c>
      <s:c r="D10" s="14" t="n"/>
      <s:c r="E10" s="14" t="n"/>
      <s:c r="F10" s="15" t="n"/>
    </s:row>
    <s:row r="12" ht="19" customHeight="1">
      <s:c r="A12" s="4" t="inlineStr">
        <s:is>
          <s:t xml:space="preserve">  B.  YOU HAVE 2 LINES. HERE IS THE ORDER.</s:t>
        </s:is>
      </s:c>
      <s:c r="B12" s="5" t="n"/>
      <s:c r="C12" s="5" t="n"/>
      <s:c r="D12" s="5" t="n"/>
      <s:c r="E12" s="5" t="n"/>
      <s:c r="F12" s="5" t="n"/>
    </s:row>
    <s:row r="13" ht="30" customHeight="1">
      <s:c r="A13" s="16" t="inlineStr"/>
      <s:c r="B13" s="16" t="inlineStr">
        <s:is>
          <s:t>When</s:t>
        </s:is>
      </s:c>
      <s:c r="C13" s="16" t="inlineStr">
        <s:is>
          <s:t>Do this</s:t>
        </s:is>
      </s:c>
      <s:c r="D13" s="16" t="inlineStr"/>
      <s:c r="E13" s="16" t="inlineStr"/>
      <s:c r="F13" s="16" t="inlineStr">
        <s:is>
          <s:t>Why</s:t>
        </s:is>
      </s:c>
    </s:row>
    <s:row r="14" ht="30" customHeight="1">
      <s:c r="B14" s="8" t="inlineStr">
        <s:is>
          <s:t>Now</s:t>
        </s:is>
      </s:c>
      <s:c r="C14" s="9" t="inlineStr">
        <s:is>
          <s:t>Ask your issuer for a credit-limit increase.</s:t>
        </s:is>
      </s:c>
      <s:c r="D14" s="14" t="n"/>
      <s:c r="E14" s="15" t="n"/>
      <s:c r="F14" s="20" t="inlineStr">
        <s:is>
          <s:t>Usually a soft pull. Instantly lowers utilization. Free points.</s:t>
        </s:is>
      </s:c>
    </s:row>
    <s:row r="15" ht="30" customHeight="1">
      <s:c r="B15" s="21" t="inlineStr">
        <s:is>
          <s:t>Now</s:t>
        </s:is>
      </s:c>
      <s:c r="C15" s="102" t="inlineStr">
        <s:is>
          <s:t>Get added as an authorized user on a parent's oldest card.</s:t>
        </s:is>
      </s:c>
      <s:c r="D15" s="14" t="n"/>
      <s:c r="E15" s="15" t="n"/>
      <s:c r="F15" s="24" t="inlineStr">
        <s:is>
          <s:t>You inherit its age and limit. Nothing moves a thin file faster, and you live at home - just ask.</s:t>
        </s:is>
      </s:c>
    </s:row>
    <s:row r="16" ht="30" customHeight="1">
      <s:c r="B16" s="8" t="inlineStr">
        <s:is>
          <s:t>Q4 2026</s:t>
        </s:is>
      </s:c>
      <s:c r="C16" s="9" t="inlineStr">
        <s:is>
          <s:t>Open card #2 - one that pays 3-4% on gas.</s:t>
        </s:is>
      </s:c>
      <s:c r="D16" s="14" t="n"/>
      <s:c r="E16" s="15" t="n"/>
      <s:c r="F16" s="20" t="inlineStr">
        <s:is>
          <s:t>You spend ~$216/mo on fuel. That is ~$78/yr back, plus a third line.</s:t>
        </s:is>
      </s:c>
    </s:row>
    <s:row r="17" ht="30" customHeight="1">
      <s:c r="B17" s="21" t="inlineStr">
        <s:is>
          <s:t>Mid 2027</s:t>
        </s:is>
      </s:c>
      <s:c r="C17" s="102" t="inlineStr">
        <s:is>
          <s:t>Open card #3 or a small credit-builder loan.</s:t>
        </s:is>
      </s:c>
      <s:c r="D17" s="14" t="n"/>
      <s:c r="E17" s="15" t="n"/>
      <s:c r="F17" s="24" t="inlineStr">
        <s:is>
          <s:t>Gets you to 4-5 lines with real history before you apply.</s:t>
        </s:is>
      </s:c>
    </s:row>
    <s:row r="18" ht="30" customHeight="1">
      <s:c r="B18" s="6" t="inlineStr">
        <s:is>
          <s:t>From ~Mar 2028</s:t>
        </s:is>
      </s:c>
      <s:c r="C18" s="9" t="inlineStr">
        <s:is>
          <s:t>STOP. No new accounts, no new car.</s:t>
        </s:is>
      </s:c>
      <s:c r="D18" s="14" t="n"/>
      <s:c r="E18" s="15" t="n"/>
      <s:c r="F18" s="20" t="inlineStr">
        <s:is>
          <s:t>HARD RULE. New accounts within 12 months of a mortgage application lower your average age and add inquiries exactly when pricing matters.</s:t>
        </s:is>
      </s:c>
    </s:row>
    <s:row r="19" ht="30" customHeight="1">
      <s:c r="B19" s="21" t="inlineStr">
        <s:is>
          <s:t>Always</s:t>
        </s:is>
      </s:c>
      <s:c r="C19" s="102" t="inlineStr">
        <s:is>
          <s:t>Never miss a payment by even a day.</s:t>
        </s:is>
      </s:c>
      <s:c r="D19" s="14" t="n"/>
      <s:c r="E19" s="15" t="n"/>
      <s:c r="F19" s="24" t="inlineStr">
        <s:is>
          <s:t>35% of your score. One 30-day late can cost 60-100 points and takes 7 years to age off.</s:t>
        </s:is>
      </s:c>
    </s:row>
    <s:row r="21" ht="19" customHeight="1">
      <s:c r="A21" s="4" t="inlineStr">
        <s:is>
          <s:t xml:space="preserve">  C.  THE HOUSE  —  your real constraint is income history, not savings</s:t>
        </s:is>
      </s:c>
      <s:c r="B21" s="5" t="n"/>
      <s:c r="C21" s="5" t="n"/>
      <s:c r="D21" s="5" t="n"/>
      <s:c r="E21" s="5" t="n"/>
      <s:c r="F21" s="5" t="n"/>
    </s:row>
    <s:row r="22" ht="30" customHeight="1">
      <s:c r="B22" s="103" t="inlineStr">
        <s:is>
          <s:t>Commission income normally needs a 2-year history to count as qualifying income. You started 3/31/2026, so your first clean 2-year look is around APRIL 2028. Worse: while the advance is outstanding your W-2 shows the draw only. A lender looks at documented income - and right now that is about $36,000 gross. Verify against current agency guidelines and your AUS findings.</s:t>
        </s:is>
      </s:c>
    </s:row>
    <s:row r="23"/>
    <s:row r="24"/>
    <s:row r="26" ht="30" customHeight="1">
      <s:c r="A26" s="16" t="inlineStr"/>
      <s:c r="B26" s="16" t="inlineStr">
        <s:is>
          <s:t>Input</s:t>
        </s:is>
      </s:c>
      <s:c r="C26" s="16" t="inlineStr">
        <s:is>
          <s:t>Value</s:t>
        </s:is>
      </s:c>
      <s:c r="D26" s="16" t="inlineStr"/>
      <s:c r="E26" s="16" t="inlineStr"/>
      <s:c r="F26" s="16" t="inlineStr">
        <s:is>
          <s:t>Note</s:t>
        </s:is>
      </s:c>
    </s:row>
    <s:row r="27">
      <s:c r="B27" s="84" t="inlineStr">
        <s:is>
          <s:t>Qualifying monthly income</s:t>
        </s:is>
      </s:c>
      <s:c r="C27" s="104">
        <s:f>Inputs!$C$9</s:f>
        <s:v>3000.0</s:v>
      </s:c>
      <s:c r="F27" s="20" t="inlineStr">
        <s:is>
          <s:t>Gross draw. Once you have 2 years of history this becomes the average of draw + commission.</s:t>
        </s:is>
      </s:c>
    </s:row>
    <s:row r="28">
      <s:c r="B28" s="85" t="inlineStr">
        <s:is>
          <s:t>Max back-end DTI</s:t>
        </s:is>
      </s:c>
      <s:c r="C28" s="51" t="n">
        <s:v>0.45</s:v>
      </s:c>
      <s:c r="F28" s="24" t="inlineStr">
        <s:is>
          <s:t>45% conventional; AUS sometimes stretches further.</s:t>
        </s:is>
      </s:c>
    </s:row>
    <s:row r="29">
      <s:c r="B29" s="84" t="inlineStr">
        <s:is>
          <s:t>Auto payment</s:t>
        </s:is>
      </s:c>
      <s:c r="C29" s="104">
        <s:f>Inputs!$C$27</s:f>
        <s:v>475.69</s:v>
      </s:c>
      <s:c r="F29" s="20" t="inlineStr">
        <s:is>
          <s:t>This one payment is eating a big share of your buying power.</s:t>
        </s:is>
      </s:c>
    </s:row>
    <s:row r="30">
      <s:c r="B30" s="85" t="inlineStr">
        <s:is>
          <s:t>Credit card minimum</s:t>
        </s:is>
      </s:c>
      <s:c r="C30" s="104">
        <s:f>MAX(25,Inputs!$C$54*0.03)</s:f>
        <s:v>25.0</s:v>
      </s:c>
      <s:c r="F30" s="24" t="inlineStr">
        <s:is>
          <s:t>Counted even though you pay in full.</s:t>
        </s:is>
      </s:c>
    </s:row>
    <s:row r="31">
      <s:c r="B31" s="84" t="inlineStr">
        <s:is>
          <s:t>Mortgage rate</s:t>
        </s:is>
      </s:c>
      <s:c r="C31" s="42" t="n">
        <s:v>0.065</s:v>
      </s:c>
      <s:c r="F31" s="20" t="inlineStr">
        <s:is>
          <s:t>Use your live pricing.</s:t>
        </s:is>
      </s:c>
    </s:row>
    <s:row r="32">
      <s:c r="B32" s="85" t="inlineStr">
        <s:is>
          <s:t>Property tax rate</s:t>
        </s:is>
      </s:c>
      <s:c r="C32" s="42" t="n">
        <s:v>0.012</s:v>
      </s:c>
      <s:c r="F32" s="24" t="inlineStr">
        <s:is>
          <s:t>Maine mill rates vary a lot by town.</s:t>
        </s:is>
      </s:c>
    </s:row>
    <s:row r="33">
      <s:c r="B33" s="84" t="inlineStr">
        <s:is>
          <s:t>Insurance rate</s:t>
        </s:is>
      </s:c>
      <s:c r="C33" s="42" t="n">
        <s:v>0.0035</s:v>
      </s:c>
      <s:c r="F33" s="20" t="inlineStr">
        <s:is>
          <s:t>Annual, % of price.</s:t>
        </s:is>
      </s:c>
    </s:row>
    <s:row r="34">
      <s:c r="B34" s="85" t="inlineStr">
        <s:is>
          <s:t>PMI rate</s:t>
        </s:is>
      </s:c>
      <s:c r="C34" s="42" t="n">
        <s:v>0.005</s:v>
      </s:c>
      <s:c r="F34" s="24" t="inlineStr">
        <s:is>
          <s:t>Conventional under 20% down.</s:t>
        </s:is>
      </s:c>
    </s:row>
    <s:row r="35">
      <s:c r="B35" s="8" t="inlineStr">
        <s:is>
          <s:t>Max PITI available</s:t>
        </s:is>
      </s:c>
      <s:c r="C35" s="41">
        <s:f>MAX(0,C27*C28-C29-C30)</s:f>
        <s:v>849.31</s:v>
      </s:c>
    </s:row>
    <s:row r="37" ht="30" customHeight="1">
      <s:c r="A37" s="16" t="inlineStr"/>
      <s:c r="B37" s="16" t="inlineStr">
        <s:is>
          <s:t>Loan program</s:t>
        </s:is>
      </s:c>
      <s:c r="C37" s="16" t="inlineStr">
        <s:is>
          <s:t>Down</s:t>
        </s:is>
      </s:c>
      <s:c r="D37" s="16" t="inlineStr">
        <s:is>
          <s:t>Max purchase price</s:t>
        </s:is>
      </s:c>
      <s:c r="E37" s="16" t="inlineStr">
        <s:is>
          <s:t>Cash to close</s:t>
        </s:is>
      </s:c>
      <s:c r="F37" s="16" t="inlineStr">
        <s:is>
          <s:t>Note</s:t>
        </s:is>
      </s:c>
    </s:row>
    <s:row r="38">
      <s:c r="B38" s="84" t="inlineStr">
        <s:is>
          <s:t>Conventional 5%</s:t>
        </s:is>
      </s:c>
      <s:c r="C38" s="51" t="n">
        <s:v>0.05</s:v>
      </s:c>
      <s:c r="D38" s="105">
        <s:f>IFERROR($C$35/((1-C38)*(C31/12)/(1-(1+C31/12)^-360)+C32/12+C33/12+IF(C38&lt;0.2,(1-C38)*C34/12*1,0)),0)</s:f>
        <s:v>110412.61766973247</s:v>
      </s:c>
      <s:c r="E38" s="25">
        <s:f>D38*C38+D38*0.03</s:f>
        <s:v>8833.009413578598</s:v>
      </s:c>
      <s:c r="F38" s="20" t="inlineStr">
        <s:is>
          <s:t>PMI until 78% LTV.</s:t>
        </s:is>
      </s:c>
    </s:row>
    <s:row r="39">
      <s:c r="B39" s="85" t="inlineStr">
        <s:is>
          <s:t>FHA 3.5%</s:t>
        </s:is>
      </s:c>
      <s:c r="C39" s="51" t="n">
        <s:v>0.035</s:v>
      </s:c>
      <s:c r="D39" s="105">
        <s:f>IFERROR($C$35/((1-C39)*(C31/12)/(1-(1+C31/12)^-360)+C32/12+C33/12+IF(C39&lt;0.2,(1-C39)*C34/12*1,0)),0)</s:f>
        <s:v>108980.81655959178</s:v>
      </s:c>
      <s:c r="E39" s="22">
        <s:f>D39*C39+D39*0.03</s:f>
        <s:v>7083.753076373467</s:v>
      </s:c>
      <s:c r="F39" s="24" t="inlineStr">
        <s:is>
          <s:t>Easier DTI; MIP generally for the life of the loan.</s:t>
        </s:is>
      </s:c>
    </s:row>
    <s:row r="40">
      <s:c r="B40" s="84" t="inlineStr">
        <s:is>
          <s:t>USDA 0%</s:t>
        </s:is>
      </s:c>
      <s:c r="C40" s="51" t="n">
        <s:v>0</s:v>
      </s:c>
      <s:c r="D40" s="105">
        <s:f>IFERROR($C$35/((1-C40)*(C31/12)/(1-(1+C31/12)^-360)+C32/12+C33/12+IF(C40&lt;0.2,(1-C40)*C34/12*0,0)),0)</s:f>
        <s:v>111570.05992749732</s:v>
      </s:c>
      <s:c r="E40" s="25">
        <s:f>D40*C40+D40*0.03</s:f>
        <s:v>3347.1017978249197</s:v>
      </s:c>
      <s:c r="F40" s="20" t="inlineStr">
        <s:is>
          <s:t>Big in Maine - most of the state outside the Portland/Bangor cores qualifies. Income limits apply.</s:t>
        </s:is>
      </s:c>
    </s:row>
    <s:row r="41">
      <s:c r="B41" s="85" t="inlineStr">
        <s:is>
          <s:t>MaineHousing First Home</s:t>
        </s:is>
      </s:c>
      <s:c r="C41" s="51" t="n">
        <s:v>0.035</s:v>
      </s:c>
      <s:c r="D41" s="105">
        <s:f>IFERROR($C$35/((1-C41)*(C31/12)/(1-(1+C31/12)^-360)+C32/12+C33/12+IF(C41&lt;0.2,(1-C41)*C34/12*1,0)),0)</s:f>
        <s:v>108980.81655959178</s:v>
      </s:c>
      <s:c r="E41" s="22">
        <s:f>D41*C41+D41*0.03</s:f>
        <s:v>7083.753076373467</s:v>
      </s:c>
      <s:c r="F41" s="24" t="inlineStr">
        <s:is>
          <s:t>Below-market rate plus the Advantage down-payment grant. You sell these - use one. Verify current limits.</s:t>
        </s:is>
      </s:c>
    </s:row>
  </s:sheetData>
  <s:mergeCells count="17">
    <s:mergeCell ref="C16:E16"/>
    <s:mergeCell ref="A2:F2"/>
    <s:mergeCell ref="C9:F9"/>
    <s:mergeCell ref="B22:F24"/>
    <s:mergeCell ref="C14:E14"/>
    <s:mergeCell ref="C19:E19"/>
    <s:mergeCell ref="C8:F8"/>
    <s:mergeCell ref="A1:F1"/>
    <s:mergeCell ref="A5:F5"/>
    <s:mergeCell ref="C6:F6"/>
    <s:mergeCell ref="C7:F7"/>
    <s:mergeCell ref="C18:E18"/>
    <s:mergeCell ref="C17:E17"/>
    <s:mergeCell ref="A12:F12"/>
    <s:mergeCell ref="C10:F10"/>
    <s:mergeCell ref="A21:F21"/>
    <s:mergeCell ref="C15:E15"/>
  </s:mergeCells>
  <s:pageMargins left="0.75" right="0.75" top="1" bottom="1" header="0.5" footer="0.5"/>
</s:worksheet>
</file>

<file path=xl/worksheets/sheet13.xml><?xml version="1.0" encoding="utf-8"?>
<s:worksheet xmlns:s="http://schemas.openxmlformats.org/spreadsheetml/2006/main">
  <s:sheetPr>
    <s:tabColor rgb="007F6000"/>
    <s:outlinePr summaryBelow="1" summaryRight="1"/>
    <s:pageSetUpPr/>
  </s:sheetPr>
  <s:dimension ref="A1:G23"/>
  <s:sheetViews>
    <s:sheetView showGridLines="0" workbookViewId="0">
      <s:pane ySplit="5" topLeftCell="A6" activePane="bottomLeft" state="frozen"/>
      <s:selection pane="bottomLeft" activeCell="A1" sqref="A1"/>
    </s:sheetView>
  </s:sheetViews>
  <s:sheetFormatPr baseColWidth="8" defaultRowHeight="15"/>
  <s:cols>
    <s:col width="4" customWidth="1" min="1" max="1"/>
    <s:col width="34" customWidth="1" min="2" max="2"/>
    <s:col width="15" customWidth="1" min="3" max="3"/>
    <s:col width="15" customWidth="1" min="4" max="4"/>
    <s:col width="15" customWidth="1" min="5" max="5"/>
    <s:col width="4" customWidth="1" min="6" max="6"/>
    <s:col width="56" customWidth="1" min="7" max="7"/>
  </s:cols>
  <s:sheetData>
    <s:row r="1" ht="26" customHeight="1">
      <s:c r="A1" s="1" t="inlineStr">
        <s:is>
          <s:t>SAVINGS &amp; RETIREMENT</s:t>
        </s:is>
      </s:c>
      <s:c r="B1" s="2" t="n"/>
      <s:c r="C1" s="2" t="n"/>
      <s:c r="D1" s="2" t="n"/>
      <s:c r="E1" s="2" t="n"/>
      <s:c r="F1" s="2" t="n"/>
      <s:c r="G1" s="2" t="n"/>
    </s:row>
    <s:row r="2" ht="16" customHeight="1">
      <s:c r="A2" s="3" t="inlineStr">
        <s:is>
          <s:t>Two questions: is your certificate the right account, and what does starting a Roth at 25 actually do?</s:t>
        </s:is>
      </s:c>
      <s:c r="B2" s="2" t="n"/>
      <s:c r="C2" s="2" t="n"/>
      <s:c r="D2" s="2" t="n"/>
      <s:c r="E2" s="2" t="n"/>
      <s:c r="F2" s="2" t="n"/>
      <s:c r="G2" s="2" t="n"/>
    </s:row>
    <s:row r="5" ht="19" customHeight="1">
      <s:c r="A5" s="4" t="inlineStr">
        <s:is>
          <s:t xml:space="preserve">  A.  IS THE CERTIFICATE WORTH IT?</s:t>
        </s:is>
      </s:c>
      <s:c r="B5" s="5" t="n"/>
      <s:c r="C5" s="5" t="n"/>
      <s:c r="D5" s="5" t="n"/>
      <s:c r="E5" s="5" t="n"/>
      <s:c r="F5" s="5" t="n"/>
      <s:c r="G5" s="5" t="n"/>
    </s:row>
    <s:row r="6" ht="30" customHeight="1">
      <s:c r="A6" s="16" t="inlineStr"/>
      <s:c r="B6" s="16" t="inlineStr"/>
      <s:c r="C6" s="16" t="inlineStr">
        <s:is>
          <s:t>Certificate</s:t>
        </s:is>
      </s:c>
      <s:c r="D6" s="16" t="inlineStr">
        <s:is>
          <s:t>If it stayed in savings</s:t>
        </s:is>
      </s:c>
      <s:c r="E6" s="16" t="inlineStr">
        <s:is>
          <s:t>Difference</s:t>
        </s:is>
      </s:c>
      <s:c r="F6" s="16" t="inlineStr"/>
      <s:c r="G6" s="16" t="inlineStr">
        <s:is>
          <s:t>Note</s:t>
        </s:is>
      </s:c>
    </s:row>
    <s:row r="7">
      <s:c r="B7" s="84" t="inlineStr">
        <s:is>
          <s:t>Rate</s:t>
        </s:is>
      </s:c>
      <s:c r="C7" s="106">
        <s:f>Inputs!$C$49</s:f>
        <s:v>0.03687</s:v>
      </s:c>
      <s:c r="D7" s="107">
        <s:f>Inputs!$C$47</s:f>
        <s:v>0.04</s:v>
      </s:c>
      <s:c r="E7" s="108">
        <s:f>C7-D7</s:f>
        <s:v>-0.003130000000000001</s:v>
      </s:c>
      <s:c r="G7" s="20" t="inlineStr">
        <s:is>
          <s:t>If the savings rate is HIGHER, the auto-roll is moving money to the worse account AND locking it for 3 months.</s:t>
        </s:is>
      </s:c>
    </s:row>
    <s:row r="8">
      <s:c r="B8" s="84" t="inlineStr">
        <s:is>
          <s:t>Value in 2 years</s:t>
        </s:is>
      </s:c>
      <s:c r="C8" s="77">
        <s:f>FV(Inputs!$C$49/4,8,-Inputs!$C$51,-Inputs!$C$48)</s:f>
        <s:v>17348.130074097193</s:v>
      </s:c>
      <s:c r="D8" s="77">
        <s:f>FV(Inputs!$C$47/4,8,-Inputs!$C$51,-Inputs!$C$48)</s:f>
        <s:v>17420.24846587736</s:v>
      </s:c>
      <s:c r="E8" s="109">
        <s:f>C8-D8</s:f>
        <s:v>-72.11839178016817</s:v>
      </s:c>
      <s:c r="G8" s="20" t="inlineStr">
        <s:is>
          <s:t>Same money, same $1,250 every quarter, both ways. Negative difference = stop the auto-roll.</s:t>
        </s:is>
      </s:c>
    </s:row>
    <s:row r="10" ht="19" customHeight="1">
      <s:c r="A10" s="4" t="inlineStr">
        <s:is>
          <s:t xml:space="preserve">  B.  THE ROTH  —  the one number that makes the case</s:t>
        </s:is>
      </s:c>
      <s:c r="B10" s="5" t="n"/>
      <s:c r="C10" s="5" t="n"/>
      <s:c r="D10" s="5" t="n"/>
      <s:c r="E10" s="5" t="n"/>
      <s:c r="F10" s="5" t="n"/>
      <s:c r="G10" s="5" t="n"/>
    </s:row>
    <s:row r="11">
      <s:c r="B11" s="84" t="inlineStr">
        <s:is>
          <s:t>Annual contribution</s:t>
        </s:is>
      </s:c>
      <s:c r="C11" s="36" t="n">
        <s:v>7000</s:v>
      </s:c>
      <s:c r="G11" s="53" t="inlineStr">
        <s:is>
          <s:t>VERIFY the 2026 limit - it was $7,000 for 2025 and the IRS indexes it.</s:t>
        </s:is>
      </s:c>
    </s:row>
    <s:row r="12">
      <s:c r="B12" s="84" t="inlineStr">
        <s:is>
          <s:t>Expected return</s:t>
        </s:is>
      </s:c>
      <s:c r="C12" s="51" t="n">
        <s:v>0.08</s:v>
      </s:c>
      <s:c r="G12" s="53" t="inlineStr">
        <s:is>
          <s:t>Deliberately conservative; long-run US equity average is nearer 10% nominal.</s:t>
        </s:is>
      </s:c>
    </s:row>
    <s:row r="13">
      <s:c r="B13" s="84" t="inlineStr">
        <s:is>
          <s:t>Years to 65</s:t>
        </s:is>
      </s:c>
      <s:c r="C13" s="110">
        <s:f>65-25</s:f>
        <s:v>40.0</s:v>
      </s:c>
    </s:row>
    <s:row r="14">
      <s:c r="B14" s="8" t="inlineStr">
        <s:is>
          <s:t>VALUE AT 65 IF YOU START NOW</s:t>
        </s:is>
      </s:c>
      <s:c r="C14" s="33">
        <s:f>FV(C12,C13,-C11,0)</s:f>
        <s:v>1813395.6309699914</s:v>
      </s:c>
    </s:row>
    <s:row r="15">
      <s:c r="B15" s="84" t="inlineStr">
        <s:is>
          <s:t>...of which growth you never pay tax on</s:t>
        </s:is>
      </s:c>
      <s:c r="C15" s="111">
        <s:f>C14-C11*C13</s:f>
        <s:v>1533395.6309699914</s:v>
      </s:c>
    </s:row>
    <s:row r="17" ht="30" customHeight="1">
      <s:c r="A17" s="16" t="inlineStr"/>
      <s:c r="B17" s="16" t="inlineStr">
        <s:is>
          <s:t>Start at age</s:t>
        </s:is>
      </s:c>
      <s:c r="C17" s="16" t="inlineStr">
        <s:is>
          <s:t>Years</s:t>
        </s:is>
      </s:c>
      <s:c r="D17" s="16" t="inlineStr">
        <s:is>
          <s:t>Value at 65</s:t>
        </s:is>
      </s:c>
      <s:c r="E17" s="16" t="inlineStr">
        <s:is>
          <s:t>Cost of waiting</s:t>
        </s:is>
      </s:c>
      <s:c r="F17" s="16" t="inlineStr"/>
      <s:c r="G17" s="16" t="inlineStr">
        <s:is>
          <s:t>Note</s:t>
        </s:is>
      </s:c>
    </s:row>
    <s:row r="18">
      <s:c r="B18" s="112" t="n">
        <s:v>25</s:v>
      </s:c>
      <s:c r="C18" s="98">
        <s:f>65-B18</s:f>
        <s:v>40.0</s:v>
      </s:c>
      <s:c r="D18" s="105">
        <s:f>FV($C$12,C18,-$C$11,0)</s:f>
        <s:v>1813395.6309699914</s:v>
      </s:c>
      <s:c r="E18" s="113">
        <s:f>$D$18-D18</s:f>
        <s:v>0.0</s:v>
      </s:c>
      <s:c r="G18" s="20" t="inlineStr">
        <s:is>
          <s:t>Waiting ONE year is the most expensive year in this table, because the year you skip is the one that would have compounded longest.</s:t>
        </s:is>
      </s:c>
    </s:row>
    <s:row r="19">
      <s:c r="B19" s="100" t="n">
        <s:v>26</s:v>
      </s:c>
      <s:c r="C19" s="100">
        <s:f>65-B19</s:f>
        <s:v>39.0</s:v>
      </s:c>
      <s:c r="D19" s="114">
        <s:f>FV($C$12,C19,-$C$11,0)</s:f>
        <s:v>1672588.547194436</s:v>
      </s:c>
      <s:c r="E19" s="115">
        <s:f>$D$18-D19</s:f>
        <s:v>140807.08377555548</s:v>
      </s:c>
    </s:row>
    <s:row r="20">
      <s:c r="B20" s="98" t="n">
        <s:v>27</s:v>
      </s:c>
      <s:c r="C20" s="98">
        <s:f>65-B20</s:f>
        <s:v>38.0</s:v>
      </s:c>
      <s:c r="D20" s="113">
        <s:f>FV($C$12,C20,-$C$11,0)</s:f>
        <s:v>1542211.6177726262</s:v>
      </s:c>
      <s:c r="E20" s="115">
        <s:f>$D$18-D20</s:f>
        <s:v>271184.0131973652</s:v>
      </s:c>
    </s:row>
    <s:row r="21">
      <s:c r="B21" s="100" t="n">
        <s:v>30</s:v>
      </s:c>
      <s:c r="C21" s="100">
        <s:f>65-B21</s:f>
        <s:v>35.0</s:v>
      </s:c>
      <s:c r="D21" s="114">
        <s:f>FV($C$12,C21,-$C$11,0)</s:f>
        <s:v>1206217.6257530497</s:v>
      </s:c>
      <s:c r="E21" s="115">
        <s:f>$D$18-D21</s:f>
        <s:v>607178.0052169417</s:v>
      </s:c>
    </s:row>
    <s:row r="23">
      <s:c r="B23" s="116" t="inlineStr">
        <s:is>
          <s:t>Also ask: does Baxter offer a 401(k) with a match? If yes, it outranks everything here - a match is an instant 50-100% return.</s:t>
        </s:is>
      </s:c>
    </s:row>
  </s:sheetData>
  <s:mergeCells count="5">
    <s:mergeCell ref="A1:G1"/>
    <s:mergeCell ref="B23:G23"/>
    <s:mergeCell ref="A2:G2"/>
    <s:mergeCell ref="A10:G10"/>
    <s:mergeCell ref="A5:G5"/>
  </s:mergeCells>
  <s:pageMargins left="0.75" right="0.75" top="1" bottom="1" header="0.5" footer="0.5"/>
</s:worksheet>
</file>

<file path=xl/worksheets/sheet14.xml><?xml version="1.0" encoding="utf-8"?>
<s:worksheet xmlns:s="http://schemas.openxmlformats.org/spreadsheetml/2006/main">
  <s:sheetPr>
    <s:tabColor rgb="00C00000"/>
    <s:outlinePr summaryBelow="1" summaryRight="1"/>
    <s:pageSetUpPr/>
  </s:sheetPr>
  <s:dimension ref="A1:H32"/>
  <s:sheetViews>
    <s:sheetView showGridLines="0" workbookViewId="0">
      <s:pane ySplit="8" topLeftCell="A9" activePane="bottomLeft" state="frozen"/>
      <s:selection pane="bottomLeft" activeCell="A1" sqref="A1"/>
    </s:sheetView>
  </s:sheetViews>
  <s:sheetFormatPr baseColWidth="8" defaultRowHeight="15"/>
  <s:cols>
    <s:col width="6" customWidth="1" min="1" max="1"/>
    <s:col width="12" customWidth="1" min="2" max="2"/>
    <s:col width="13" customWidth="1" min="3" max="3"/>
    <s:col width="12" customWidth="1" min="4" max="4"/>
    <s:col width="12" customWidth="1" min="5" max="5"/>
    <s:col width="13" customWidth="1" min="6" max="6"/>
    <s:col width="13" customWidth="1" min="7" max="7"/>
    <s:col width="36" customWidth="1" min="8" max="8"/>
  </s:cols>
  <s:sheetData>
    <s:row r="1" ht="26" customHeight="1">
      <s:c r="A1" s="1" t="inlineStr">
        <s:is>
          <s:t>AUTO LOAN</s:t>
        </s:is>
      </s:c>
      <s:c r="B1" s="2" t="n"/>
      <s:c r="C1" s="2" t="n"/>
      <s:c r="D1" s="2" t="n"/>
      <s:c r="E1" s="2" t="n"/>
      <s:c r="F1" s="2" t="n"/>
      <s:c r="G1" s="2" t="n"/>
      <s:c r="H1" s="2" t="n"/>
    </s:row>
    <s:row r="2" ht="16" customHeight="1">
      <s:c r="A2" s="3" t="inlineStr">
        <s:is>
          <s:t>Put the real APR on Inputs - it was not provided, so the payoff date is only as good as that cell.</s:t>
        </s:is>
      </s:c>
      <s:c r="B2" s="2" t="n"/>
      <s:c r="C2" s="2" t="n"/>
      <s:c r="D2" s="2" t="n"/>
      <s:c r="E2" s="2" t="n"/>
      <s:c r="F2" s="2" t="n"/>
      <s:c r="G2" s="2" t="n"/>
      <s:c r="H2" s="2" t="n"/>
    </s:row>
    <s:row r="4">
      <s:c r="A4" s="12" t="inlineStr">
        <s:is>
          <s:t>Extra principal per month</s:t>
        </s:is>
      </s:c>
      <s:c r="C4" s="39" t="n">
        <s:v>0</s:v>
      </s:c>
      <s:c r="D4" s="53" t="inlineStr">
        <s:is>
          <s:t>&lt;- try a number</s:t>
        </s:is>
      </s:c>
      <s:c r="E4" s="12" t="inlineStr">
        <s:is>
          <s:t>Months to payoff</s:t>
        </s:is>
      </s:c>
      <s:c r="F4" s="26">
        <s:f>IFERROR(NPER(Inputs!$C$57/12,-(Inputs!$C$27+C4),Inputs!$C$56),0)</s:f>
        <s:v>64.17971701350336</s:v>
      </s:c>
    </s:row>
    <s:row r="5">
      <s:c r="A5" s="12" t="inlineStr">
        <s:is>
          <s:t>Total interest you will pay</s:t>
        </s:is>
      </s:c>
      <s:c r="C5" s="29">
        <s:f>(Inputs!$C$27+C4)*F4-Inputs!$C$56</s:f>
        <s:v>5437.629586153416</s:v>
      </s:c>
      <s:c r="E5" s="12" t="inlineStr">
        <s:is>
          <s:t>Payoff date</s:t>
        </s:is>
      </s:c>
      <s:c r="F5" s="27">
        <s:f>EDATE(Inputs!$C$59,ROUNDUP(F4,0))</s:f>
        <s:v>48254.0</s:v>
      </s:c>
    </s:row>
    <s:row r="7">
      <s:c r="A7" s="53" t="inlineStr">
        <s:is>
          <s:t>Prepay only if the APR beats your savings rate. But pay it OFF before a mortgage application either way - see 'Credit &amp; Home'.</s:t>
        </s:is>
      </s:c>
    </s:row>
    <s:row r="8" ht="30" customHeight="1">
      <s:c r="A8" s="16" t="inlineStr">
        <s:is>
          <s:t>#</s:t>
        </s:is>
      </s:c>
      <s:c r="B8" s="16" t="inlineStr">
        <s:is>
          <s:t>Date</s:t>
        </s:is>
      </s:c>
      <s:c r="C8" s="16" t="inlineStr">
        <s:is>
          <s:t>Opening</s:t>
        </s:is>
      </s:c>
      <s:c r="D8" s="16" t="inlineStr">
        <s:is>
          <s:t>Payment</s:t>
        </s:is>
      </s:c>
      <s:c r="E8" s="16" t="inlineStr">
        <s:is>
          <s:t>Interest</s:t>
        </s:is>
      </s:c>
      <s:c r="F8" s="16" t="inlineStr">
        <s:is>
          <s:t>Closing</s:t>
        </s:is>
      </s:c>
      <s:c r="G8" s="16" t="inlineStr">
        <s:is>
          <s:t>Cum. interest</s:t>
        </s:is>
      </s:c>
      <s:c r="H8" s="16" t="inlineStr">
        <s:is>
          <s:t>Note</s:t>
        </s:is>
      </s:c>
    </s:row>
    <s:row r="9">
      <s:c r="A9" s="98" t="n">
        <s:v>1</s:v>
      </s:c>
      <s:c r="B9" s="97">
        <s:f>EDATE(Inputs!$C$59,1)</s:f>
        <s:v>46305.0</s:v>
      </s:c>
      <s:c r="C9" s="67">
        <s:f>Inputs!$C$56</s:f>
        <s:v>25092.02</s:v>
      </s:c>
      <s:c r="D9" s="76">
        <s:f>IF(C9&lt;=0,0,MIN(Inputs!$C$27+$C$4,C9+E9))</s:f>
        <s:v>475.69</s:v>
      </s:c>
      <s:c r="E9" s="76">
        <s:f>IF(C9&lt;=0,0,C9*Inputs!$C$57/12)</s:f>
        <s:v>156.61602483333334</s:v>
      </s:c>
      <s:c r="F9" s="77">
        <s:f>MAX(0,C9+E9-D9)</s:f>
        <s:v>24772.946024833334</s:v>
      </s:c>
      <s:c r="G9" s="76">
        <s:f>E9</s:f>
        <s:v>156.61602483333334</s:v>
      </s:c>
      <s:c r="H9" s="117" t="str">
        <s:f>IF(AND(F9=0,C9&gt;0),"PAID OFF","")</s:f>
        <s:v/>
      </s:c>
    </s:row>
    <s:row r="10">
      <s:c r="A10" s="100" t="n">
        <s:v>2</s:v>
      </s:c>
      <s:c r="B10" s="99">
        <s:f>EDATE(B9,1)</s:f>
        <s:v>46336.0</s:v>
      </s:c>
      <s:c r="C10" s="79">
        <s:f>F9</s:f>
        <s:v>24772.946024833334</s:v>
      </s:c>
      <s:c r="D10" s="79">
        <s:f>IF(C10&lt;=0,0,MIN(Inputs!$C$27+$C$4,C10+E10))</s:f>
        <s:v>475.69</s:v>
      </s:c>
      <s:c r="E10" s="79">
        <s:f>IF(C10&lt;=0,0,C10*Inputs!$C$57/12)</s:f>
        <s:v>154.62447143833472</s:v>
      </s:c>
      <s:c r="F10" s="94">
        <s:f>MAX(0,C10+E10-D10)</s:f>
        <s:v>24451.88049627167</s:v>
      </s:c>
      <s:c r="G10" s="79">
        <s:f>G9+E10</s:f>
        <s:v>311.24049627166806</s:v>
      </s:c>
      <s:c r="H10" s="118" t="str">
        <s:f>IF(AND(F10=0,C10&gt;0),"PAID OFF","")</s:f>
        <s:v/>
      </s:c>
    </s:row>
    <s:row r="11">
      <s:c r="A11" s="98" t="n">
        <s:v>3</s:v>
      </s:c>
      <s:c r="B11" s="97">
        <s:f>EDATE(B10,1)</s:f>
        <s:v>46366.0</s:v>
      </s:c>
      <s:c r="C11" s="76">
        <s:f>F10</s:f>
        <s:v>24451.88049627167</s:v>
      </s:c>
      <s:c r="D11" s="76">
        <s:f>IF(C11&lt;=0,0,MIN(Inputs!$C$27+$C$4,C11+E11))</s:f>
        <s:v>475.69</s:v>
      </s:c>
      <s:c r="E11" s="76">
        <s:f>IF(C11&lt;=0,0,C11*Inputs!$C$57/12)</s:f>
        <s:v>152.62048743089568</s:v>
      </s:c>
      <s:c r="F11" s="77">
        <s:f>MAX(0,C11+E11-D11)</s:f>
        <s:v>24128.81098370257</s:v>
      </s:c>
      <s:c r="G11" s="76">
        <s:f>G10+E11</s:f>
        <s:v>463.8609837025638</s:v>
      </s:c>
      <s:c r="H11" s="117" t="str">
        <s:f>IF(AND(F11=0,C11&gt;0),"PAID OFF","")</s:f>
        <s:v/>
      </s:c>
    </s:row>
    <s:row r="12">
      <s:c r="A12" s="100" t="n">
        <s:v>4</s:v>
      </s:c>
      <s:c r="B12" s="99">
        <s:f>EDATE(B11,1)</s:f>
        <s:v>46397.0</s:v>
      </s:c>
      <s:c r="C12" s="79">
        <s:f>F11</s:f>
        <s:v>24128.81098370257</s:v>
      </s:c>
      <s:c r="D12" s="79">
        <s:f>IF(C12&lt;=0,0,MIN(Inputs!$C$27+$C$4,C12+E12))</s:f>
        <s:v>475.69</s:v>
      </s:c>
      <s:c r="E12" s="79">
        <s:f>IF(C12&lt;=0,0,C12*Inputs!$C$57/12)</s:f>
        <s:v>150.60399522327685</s:v>
      </s:c>
      <s:c r="F12" s="94">
        <s:f>MAX(0,C12+E12-D12)</s:f>
        <s:v>23803.72497892585</s:v>
      </s:c>
      <s:c r="G12" s="79">
        <s:f>G11+E12</s:f>
        <s:v>614.4649789258406</s:v>
      </s:c>
      <s:c r="H12" s="118" t="str">
        <s:f>IF(AND(F12=0,C12&gt;0),"PAID OFF","")</s:f>
        <s:v/>
      </s:c>
    </s:row>
    <s:row r="13">
      <s:c r="A13" s="98" t="n">
        <s:v>5</s:v>
      </s:c>
      <s:c r="B13" s="97">
        <s:f>EDATE(B12,1)</s:f>
        <s:v>46428.0</s:v>
      </s:c>
      <s:c r="C13" s="76">
        <s:f>F12</s:f>
        <s:v>23803.72497892585</s:v>
      </s:c>
      <s:c r="D13" s="76">
        <s:f>IF(C13&lt;=0,0,MIN(Inputs!$C$27+$C$4,C13+E13))</s:f>
        <s:v>475.69</s:v>
      </s:c>
      <s:c r="E13" s="76">
        <s:f>IF(C13&lt;=0,0,C13*Inputs!$C$57/12)</s:f>
        <s:v>148.57491674346218</s:v>
      </s:c>
      <s:c r="F13" s="77">
        <s:f>MAX(0,C13+E13-D13)</s:f>
        <s:v>23476.609895669313</s:v>
      </s:c>
      <s:c r="G13" s="76">
        <s:f>G12+E13</s:f>
        <s:v>763.0398956693027</s:v>
      </s:c>
      <s:c r="H13" s="117" t="str">
        <s:f>IF(AND(F13=0,C13&gt;0),"PAID OFF","")</s:f>
        <s:v/>
      </s:c>
    </s:row>
    <s:row r="14">
      <s:c r="A14" s="100" t="n">
        <s:v>6</s:v>
      </s:c>
      <s:c r="B14" s="99">
        <s:f>EDATE(B13,1)</s:f>
        <s:v>46456.0</s:v>
      </s:c>
      <s:c r="C14" s="79">
        <s:f>F13</s:f>
        <s:v>23476.609895669313</s:v>
      </s:c>
      <s:c r="D14" s="79">
        <s:f>IF(C14&lt;=0,0,MIN(Inputs!$C$27+$C$4,C14+E14))</s:f>
        <s:v>475.69</s:v>
      </s:c>
      <s:c r="E14" s="79">
        <s:f>IF(C14&lt;=0,0,C14*Inputs!$C$57/12)</s:f>
        <s:v>146.53317343213595</s:v>
      </s:c>
      <s:c r="F14" s="94">
        <s:f>MAX(0,C14+E14-D14)</s:f>
        <s:v>23147.45306910145</s:v>
      </s:c>
      <s:c r="G14" s="79">
        <s:f>G13+E14</s:f>
        <s:v>909.5730691014387</s:v>
      </s:c>
      <s:c r="H14" s="118" t="str">
        <s:f>IF(AND(F14=0,C14&gt;0),"PAID OFF","")</s:f>
        <s:v/>
      </s:c>
    </s:row>
    <s:row r="15">
      <s:c r="A15" s="98" t="n">
        <s:v>7</s:v>
      </s:c>
      <s:c r="B15" s="97">
        <s:f>EDATE(B14,1)</s:f>
        <s:v>46487.0</s:v>
      </s:c>
      <s:c r="C15" s="76">
        <s:f>F14</s:f>
        <s:v>23147.45306910145</s:v>
      </s:c>
      <s:c r="D15" s="76">
        <s:f>IF(C15&lt;=0,0,MIN(Inputs!$C$27+$C$4,C15+E15))</s:f>
        <s:v>475.69</s:v>
      </s:c>
      <s:c r="E15" s="76">
        <s:f>IF(C15&lt;=0,0,C15*Inputs!$C$57/12)</s:f>
        <s:v>144.47868623964155</s:v>
      </s:c>
      <s:c r="F15" s="77">
        <s:f>MAX(0,C15+E15-D15)</s:f>
        <s:v>22816.241755341096</s:v>
      </s:c>
      <s:c r="G15" s="76">
        <s:f>G14+E15</s:f>
        <s:v>1054.0517553410803</s:v>
      </s:c>
      <s:c r="H15" s="117" t="str">
        <s:f>IF(AND(F15=0,C15&gt;0),"PAID OFF","")</s:f>
        <s:v/>
      </s:c>
    </s:row>
    <s:row r="16">
      <s:c r="A16" s="100" t="n">
        <s:v>8</s:v>
      </s:c>
      <s:c r="B16" s="99">
        <s:f>EDATE(B15,1)</s:f>
        <s:v>46517.0</s:v>
      </s:c>
      <s:c r="C16" s="79">
        <s:f>F15</s:f>
        <s:v>22816.241755341096</s:v>
      </s:c>
      <s:c r="D16" s="79">
        <s:f>IF(C16&lt;=0,0,MIN(Inputs!$C$27+$C$4,C16+E16))</s:f>
        <s:v>475.69</s:v>
      </s:c>
      <s:c r="E16" s="79">
        <s:f>IF(C16&lt;=0,0,C16*Inputs!$C$57/12)</s:f>
        <s:v>142.41137562292067</s:v>
      </s:c>
      <s:c r="F16" s="94">
        <s:f>MAX(0,C16+E16-D16)</s:f>
        <s:v>22482.963130964017</s:v>
      </s:c>
      <s:c r="G16" s="79">
        <s:f>G15+E16</s:f>
        <s:v>1196.4631309640008</s:v>
      </s:c>
      <s:c r="H16" s="118" t="str">
        <s:f>IF(AND(F16=0,C16&gt;0),"PAID OFF","")</s:f>
        <s:v/>
      </s:c>
    </s:row>
    <s:row r="17">
      <s:c r="A17" s="98" t="n">
        <s:v>9</s:v>
      </s:c>
      <s:c r="B17" s="97">
        <s:f>EDATE(B16,1)</s:f>
        <s:v>46548.0</s:v>
      </s:c>
      <s:c r="C17" s="76">
        <s:f>F16</s:f>
        <s:v>22482.963130964017</s:v>
      </s:c>
      <s:c r="D17" s="76">
        <s:f>IF(C17&lt;=0,0,MIN(Inputs!$C$27+$C$4,C17+E17))</s:f>
        <s:v>475.69</s:v>
      </s:c>
      <s:c r="E17" s="76">
        <s:f>IF(C17&lt;=0,0,C17*Inputs!$C$57/12)</s:f>
        <s:v>140.33116154243373</s:v>
      </s:c>
      <s:c r="F17" s="77">
        <s:f>MAX(0,C17+E17-D17)</s:f>
        <s:v>22147.604292506454</s:v>
      </s:c>
      <s:c r="G17" s="76">
        <s:f>G16+E17</s:f>
        <s:v>1336.7942925064344</s:v>
      </s:c>
      <s:c r="H17" s="117" t="str">
        <s:f>IF(AND(F17=0,C17&gt;0),"PAID OFF","")</s:f>
        <s:v/>
      </s:c>
    </s:row>
    <s:row r="18">
      <s:c r="A18" s="100" t="n">
        <s:v>10</s:v>
      </s:c>
      <s:c r="B18" s="99">
        <s:f>EDATE(B17,1)</s:f>
        <s:v>46578.0</s:v>
      </s:c>
      <s:c r="C18" s="79">
        <s:f>F17</s:f>
        <s:v>22147.604292506454</s:v>
      </s:c>
      <s:c r="D18" s="79">
        <s:f>IF(C18&lt;=0,0,MIN(Inputs!$C$27+$C$4,C18+E18))</s:f>
        <s:v>475.69</s:v>
      </s:c>
      <s:c r="E18" s="79">
        <s:f>IF(C18&lt;=0,0,C18*Inputs!$C$57/12)</s:f>
        <s:v>138.2379634590611</s:v>
      </s:c>
      <s:c r="F18" s="94">
        <s:f>MAX(0,C18+E18-D18)</s:f>
        <s:v>21810.152255965517</s:v>
      </s:c>
      <s:c r="G18" s="79">
        <s:f>G17+E18</s:f>
        <s:v>1475.0322559654956</s:v>
      </s:c>
      <s:c r="H18" s="118" t="str">
        <s:f>IF(AND(F18=0,C18&gt;0),"PAID OFF","")</s:f>
        <s:v/>
      </s:c>
    </s:row>
    <s:row r="19">
      <s:c r="A19" s="98" t="n">
        <s:v>11</s:v>
      </s:c>
      <s:c r="B19" s="97">
        <s:f>EDATE(B18,1)</s:f>
        <s:v>46609.0</s:v>
      </s:c>
      <s:c r="C19" s="76">
        <s:f>F18</s:f>
        <s:v>21810.152255965517</s:v>
      </s:c>
      <s:c r="D19" s="76">
        <s:f>IF(C19&lt;=0,0,MIN(Inputs!$C$27+$C$4,C19+E19))</s:f>
        <s:v>475.69</s:v>
      </s:c>
      <s:c r="E19" s="76">
        <s:f>IF(C19&lt;=0,0,C19*Inputs!$C$57/12)</s:f>
        <s:v>136.13170033098476</s:v>
      </s:c>
      <s:c r="F19" s="77">
        <s:f>MAX(0,C19+E19-D19)</s:f>
        <s:v>21470.593956296503</s:v>
      </s:c>
      <s:c r="G19" s="76">
        <s:f>G18+E19</s:f>
        <s:v>1611.1639562964804</s:v>
      </s:c>
      <s:c r="H19" s="117" t="str">
        <s:f>IF(AND(F19=0,C19&gt;0),"PAID OFF","")</s:f>
        <s:v/>
      </s:c>
    </s:row>
    <s:row r="20">
      <s:c r="A20" s="100" t="n">
        <s:v>12</s:v>
      </s:c>
      <s:c r="B20" s="99">
        <s:f>EDATE(B19,1)</s:f>
        <s:v>46640.0</s:v>
      </s:c>
      <s:c r="C20" s="79">
        <s:f>F19</s:f>
        <s:v>21470.593956296503</s:v>
      </s:c>
      <s:c r="D20" s="79">
        <s:f>IF(C20&lt;=0,0,MIN(Inputs!$C$27+$C$4,C20+E20))</s:f>
        <s:v>475.69</s:v>
      </s:c>
      <s:c r="E20" s="79">
        <s:f>IF(C20&lt;=0,0,C20*Inputs!$C$57/12)</s:f>
        <s:v>134.01229061055065</s:v>
      </s:c>
      <s:c r="F20" s="94">
        <s:f>MAX(0,C20+E20-D20)</s:f>
        <s:v>21128.916246907054</s:v>
      </s:c>
      <s:c r="G20" s="79">
        <s:f>G19+E20</s:f>
        <s:v>1745.176246907031</s:v>
      </s:c>
      <s:c r="H20" s="118" t="str">
        <s:f>IF(AND(F20=0,C20&gt;0),"PAID OFF","")</s:f>
        <s:v/>
      </s:c>
    </s:row>
    <s:row r="21">
      <s:c r="A21" s="98" t="n">
        <s:v>13</s:v>
      </s:c>
      <s:c r="B21" s="97">
        <s:f>EDATE(B20,1)</s:f>
        <s:v>46670.0</s:v>
      </s:c>
      <s:c r="C21" s="76">
        <s:f>F20</s:f>
        <s:v>21128.916246907054</s:v>
      </s:c>
      <s:c r="D21" s="76">
        <s:f>IF(C21&lt;=0,0,MIN(Inputs!$C$27+$C$4,C21+E21))</s:f>
        <s:v>475.69</s:v>
      </s:c>
      <s:c r="E21" s="76">
        <s:f>IF(C21&lt;=0,0,C21*Inputs!$C$57/12)</s:f>
        <s:v>131.87965224111153</s:v>
      </s:c>
      <s:c r="F21" s="77">
        <s:f>MAX(0,C21+E21-D21)</s:f>
        <s:v>20785.105899148166</s:v>
      </s:c>
      <s:c r="G21" s="76">
        <s:f>G20+E21</s:f>
        <s:v>1877.0558991481425</s:v>
      </s:c>
      <s:c r="H21" s="117" t="str">
        <s:f>IF(AND(F21=0,C21&gt;0),"PAID OFF","")</s:f>
        <s:v/>
      </s:c>
    </s:row>
    <s:row r="22">
      <s:c r="A22" s="100" t="n">
        <s:v>14</s:v>
      </s:c>
      <s:c r="B22" s="99">
        <s:f>EDATE(B21,1)</s:f>
        <s:v>46701.0</s:v>
      </s:c>
      <s:c r="C22" s="79">
        <s:f>F21</s:f>
        <s:v>20785.105899148166</s:v>
      </s:c>
      <s:c r="D22" s="79">
        <s:f>IF(C22&lt;=0,0,MIN(Inputs!$C$27+$C$4,C22+E22))</s:f>
        <s:v>475.69</s:v>
      </s:c>
      <s:c r="E22" s="79">
        <s:f>IF(C22&lt;=0,0,C22*Inputs!$C$57/12)</s:f>
        <s:v>129.7337026538498</s:v>
      </s:c>
      <s:c r="F22" s="94">
        <s:f>MAX(0,C22+E22-D22)</s:f>
        <s:v>20439.149601802015</s:v>
      </s:c>
      <s:c r="G22" s="79">
        <s:f>G21+E22</s:f>
        <s:v>2006.7896018019924</s:v>
      </s:c>
      <s:c r="H22" s="118" t="str">
        <s:f>IF(AND(F22=0,C22&gt;0),"PAID OFF","")</s:f>
        <s:v/>
      </s:c>
    </s:row>
    <s:row r="23">
      <s:c r="A23" s="98" t="n">
        <s:v>15</s:v>
      </s:c>
      <s:c r="B23" s="97">
        <s:f>EDATE(B22,1)</s:f>
        <s:v>46731.0</s:v>
      </s:c>
      <s:c r="C23" s="76">
        <s:f>F22</s:f>
        <s:v>20439.149601802015</s:v>
      </s:c>
      <s:c r="D23" s="76">
        <s:f>IF(C23&lt;=0,0,MIN(Inputs!$C$27+$C$4,C23+E23))</s:f>
        <s:v>475.69</s:v>
      </s:c>
      <s:c r="E23" s="76">
        <s:f>IF(C23&lt;=0,0,C23*Inputs!$C$57/12)</s:f>
        <s:v>127.5743587645809</s:v>
      </s:c>
      <s:c r="F23" s="77">
        <s:f>MAX(0,C23+E23-D23)</s:f>
        <s:v>20091.033960566598</s:v>
      </s:c>
      <s:c r="G23" s="76">
        <s:f>G22+E23</s:f>
        <s:v>2134.363960566573</s:v>
      </s:c>
      <s:c r="H23" s="117" t="str">
        <s:f>IF(AND(F23=0,C23&gt;0),"PAID OFF","")</s:f>
        <s:v/>
      </s:c>
    </s:row>
    <s:row r="24">
      <s:c r="A24" s="100" t="n">
        <s:v>16</s:v>
      </s:c>
      <s:c r="B24" s="99">
        <s:f>EDATE(B23,1)</s:f>
        <s:v>46762.0</s:v>
      </s:c>
      <s:c r="C24" s="79">
        <s:f>F23</s:f>
        <s:v>20091.033960566598</s:v>
      </s:c>
      <s:c r="D24" s="79">
        <s:f>IF(C24&lt;=0,0,MIN(Inputs!$C$27+$C$4,C24+E24))</s:f>
        <s:v>475.69</s:v>
      </s:c>
      <s:c r="E24" s="79">
        <s:f>IF(C24&lt;=0,0,C24*Inputs!$C$57/12)</s:f>
        <s:v>125.4015369705365</s:v>
      </s:c>
      <s:c r="F24" s="94">
        <s:f>MAX(0,C24+E24-D24)</s:f>
        <s:v>19740.745497537137</s:v>
      </s:c>
      <s:c r="G24" s="79">
        <s:f>G23+E24</s:f>
        <s:v>2259.7654975371097</s:v>
      </s:c>
      <s:c r="H24" s="118" t="str">
        <s:f>IF(AND(F24=0,C24&gt;0),"PAID OFF","")</s:f>
        <s:v/>
      </s:c>
    </s:row>
    <s:row r="25">
      <s:c r="A25" s="98" t="n">
        <s:v>17</s:v>
      </s:c>
      <s:c r="B25" s="97">
        <s:f>EDATE(B24,1)</s:f>
        <s:v>46793.0</s:v>
      </s:c>
      <s:c r="C25" s="76">
        <s:f>F24</s:f>
        <s:v>19740.745497537137</s:v>
      </s:c>
      <s:c r="D25" s="76">
        <s:f>IF(C25&lt;=0,0,MIN(Inputs!$C$27+$C$4,C25+E25))</s:f>
        <s:v>475.69</s:v>
      </s:c>
      <s:c r="E25" s="76">
        <s:f>IF(C25&lt;=0,0,C25*Inputs!$C$57/12)</s:f>
        <s:v>123.21515314712762</s:v>
      </s:c>
      <s:c r="F25" s="77">
        <s:f>MAX(0,C25+E25-D25)</s:f>
        <s:v>19388.270650684266</s:v>
      </s:c>
      <s:c r="G25" s="76">
        <s:f>G24+E25</s:f>
        <s:v>2382.9806506842374</s:v>
      </s:c>
      <s:c r="H25" s="117" t="str">
        <s:f>IF(AND(F25=0,C25&gt;0),"PAID OFF","")</s:f>
        <s:v/>
      </s:c>
    </s:row>
    <s:row r="26">
      <s:c r="A26" s="100" t="n">
        <s:v>18</s:v>
      </s:c>
      <s:c r="B26" s="99">
        <s:f>EDATE(B25,1)</s:f>
        <s:v>46822.0</s:v>
      </s:c>
      <s:c r="C26" s="79">
        <s:f>F25</s:f>
        <s:v>19388.270650684266</s:v>
      </s:c>
      <s:c r="D26" s="79">
        <s:f>IF(C26&lt;=0,0,MIN(Inputs!$C$27+$C$4,C26+E26))</s:f>
        <s:v>475.69</s:v>
      </s:c>
      <s:c r="E26" s="79">
        <s:f>IF(C26&lt;=0,0,C26*Inputs!$C$57/12)</s:f>
        <s:v>121.01512264468762</s:v>
      </s:c>
      <s:c r="F26" s="94">
        <s:f>MAX(0,C26+E26-D26)</s:f>
        <s:v>19033.595773328954</s:v>
      </s:c>
      <s:c r="G26" s="79">
        <s:f>G25+E26</s:f>
        <s:v>2503.995773328925</s:v>
      </s:c>
      <s:c r="H26" s="118" t="str">
        <s:f>IF(AND(F26=0,C26&gt;0),"PAID OFF","")</s:f>
        <s:v/>
      </s:c>
    </s:row>
    <s:row r="27">
      <s:c r="A27" s="98" t="n">
        <s:v>19</s:v>
      </s:c>
      <s:c r="B27" s="97">
        <s:f>EDATE(B26,1)</s:f>
        <s:v>46853.0</s:v>
      </s:c>
      <s:c r="C27" s="76">
        <s:f>F26</s:f>
        <s:v>19033.595773328954</s:v>
      </s:c>
      <s:c r="D27" s="76">
        <s:f>IF(C27&lt;=0,0,MIN(Inputs!$C$27+$C$4,C27+E27))</s:f>
        <s:v>475.69</s:v>
      </s:c>
      <s:c r="E27" s="76">
        <s:f>IF(C27&lt;=0,0,C27*Inputs!$C$57/12)</s:f>
        <s:v>118.80136028519489</s:v>
      </s:c>
      <s:c r="F27" s="77">
        <s:f>MAX(0,C27+E27-D27)</s:f>
        <s:v>18676.70713361415</s:v>
      </s:c>
      <s:c r="G27" s="76">
        <s:f>G26+E27</s:f>
        <s:v>2622.79713361412</s:v>
      </s:c>
      <s:c r="H27" s="117" t="str">
        <s:f>IF(AND(F27=0,C27&gt;0),"PAID OFF","")</s:f>
        <s:v/>
      </s:c>
    </s:row>
    <s:row r="28">
      <s:c r="A28" s="100" t="n">
        <s:v>20</s:v>
      </s:c>
      <s:c r="B28" s="99">
        <s:f>EDATE(B27,1)</s:f>
        <s:v>46883.0</s:v>
      </s:c>
      <s:c r="C28" s="79">
        <s:f>F27</s:f>
        <s:v>18676.70713361415</s:v>
      </s:c>
      <s:c r="D28" s="79">
        <s:f>IF(C28&lt;=0,0,MIN(Inputs!$C$27+$C$4,C28+E28))</s:f>
        <s:v>475.69</s:v>
      </s:c>
      <s:c r="E28" s="79">
        <s:f>IF(C28&lt;=0,0,C28*Inputs!$C$57/12)</s:f>
        <s:v>116.57378035897496</s:v>
      </s:c>
      <s:c r="F28" s="94">
        <s:f>MAX(0,C28+E28-D28)</s:f>
        <s:v>18317.590913973127</s:v>
      </s:c>
      <s:c r="G28" s="79">
        <s:f>G27+E28</s:f>
        <s:v>2739.370913973095</s:v>
      </s:c>
      <s:c r="H28" s="118" t="str">
        <s:f>IF(AND(F28=0,C28&gt;0),"PAID OFF","")</s:f>
        <s:v/>
      </s:c>
    </s:row>
    <s:row r="29">
      <s:c r="A29" s="98" t="n">
        <s:v>21</s:v>
      </s:c>
      <s:c r="B29" s="97">
        <s:f>EDATE(B28,1)</s:f>
        <s:v>46914.0</s:v>
      </s:c>
      <s:c r="C29" s="76">
        <s:f>F28</s:f>
        <s:v>18317.590913973127</s:v>
      </s:c>
      <s:c r="D29" s="76">
        <s:f>IF(C29&lt;=0,0,MIN(Inputs!$C$27+$C$4,C29+E29))</s:f>
        <s:v>475.69</s:v>
      </s:c>
      <s:c r="E29" s="76">
        <s:f>IF(C29&lt;=0,0,C29*Inputs!$C$57/12)</s:f>
        <s:v>114.33229662138227</s:v>
      </s:c>
      <s:c r="F29" s="77">
        <s:f>MAX(0,C29+E29-D29)</s:f>
        <s:v>17956.23321059451</s:v>
      </s:c>
      <s:c r="G29" s="76">
        <s:f>G28+E29</s:f>
        <s:v>2853.7032105944772</s:v>
      </s:c>
      <s:c r="H29" s="117" t="str">
        <s:f>IF(AND(F29=0,C29&gt;0),"PAID OFF","")</s:f>
        <s:v/>
      </s:c>
    </s:row>
    <s:row r="30">
      <s:c r="A30" s="100" t="n">
        <s:v>22</s:v>
      </s:c>
      <s:c r="B30" s="99">
        <s:f>EDATE(B29,1)</s:f>
        <s:v>46944.0</s:v>
      </s:c>
      <s:c r="C30" s="79">
        <s:f>F29</s:f>
        <s:v>17956.23321059451</s:v>
      </s:c>
      <s:c r="D30" s="79">
        <s:f>IF(C30&lt;=0,0,MIN(Inputs!$C$27+$C$4,C30+E30))</s:f>
        <s:v>475.69</s:v>
      </s:c>
      <s:c r="E30" s="79">
        <s:f>IF(C30&lt;=0,0,C30*Inputs!$C$57/12)</s:f>
        <s:v>112.07682228946072</s:v>
      </s:c>
      <s:c r="F30" s="94">
        <s:f>MAX(0,C30+E30-D30)</s:f>
        <s:v>17592.620032883973</s:v>
      </s:c>
      <s:c r="G30" s="79">
        <s:f>G29+E30</s:f>
        <s:v>2965.780032883938</s:v>
      </s:c>
      <s:c r="H30" s="118" t="str">
        <s:f>IF(AND(F30=0,C30&gt;0),"PAID OFF","")</s:f>
        <s:v/>
      </s:c>
    </s:row>
    <s:row r="31">
      <s:c r="A31" s="98" t="n">
        <s:v>23</s:v>
      </s:c>
      <s:c r="B31" s="97">
        <s:f>EDATE(B30,1)</s:f>
        <s:v>46975.0</s:v>
      </s:c>
      <s:c r="C31" s="76">
        <s:f>F30</s:f>
        <s:v>17592.620032883973</s:v>
      </s:c>
      <s:c r="D31" s="76">
        <s:f>IF(C31&lt;=0,0,MIN(Inputs!$C$27+$C$4,C31+E31))</s:f>
        <s:v>475.69</s:v>
      </s:c>
      <s:c r="E31" s="76">
        <s:f>IF(C31&lt;=0,0,C31*Inputs!$C$57/12)</s:f>
        <s:v>109.80727003858412</s:v>
      </s:c>
      <s:c r="F31" s="77">
        <s:f>MAX(0,C31+E31-D31)</s:f>
        <s:v>17226.73730292256</s:v>
      </s:c>
      <s:c r="G31" s="76">
        <s:f>G30+E31</s:f>
        <s:v>3075.587302922522</s:v>
      </s:c>
      <s:c r="H31" s="117" t="str">
        <s:f>IF(AND(F31=0,C31&gt;0),"PAID OFF","")</s:f>
        <s:v/>
      </s:c>
    </s:row>
    <s:row r="32">
      <s:c r="A32" s="100" t="n">
        <s:v>24</s:v>
      </s:c>
      <s:c r="B32" s="99">
        <s:f>EDATE(B31,1)</s:f>
        <s:v>47006.0</s:v>
      </s:c>
      <s:c r="C32" s="79">
        <s:f>F31</s:f>
        <s:v>17226.73730292256</s:v>
      </s:c>
      <s:c r="D32" s="79">
        <s:f>IF(C32&lt;=0,0,MIN(Inputs!$C$27+$C$4,C32+E32))</s:f>
        <s:v>475.69</s:v>
      </s:c>
      <s:c r="E32" s="79">
        <s:f>IF(C32&lt;=0,0,C32*Inputs!$C$57/12)</s:f>
        <s:v>107.52355199907497</s:v>
      </s:c>
      <s:c r="F32" s="94">
        <s:f>MAX(0,C32+E32-D32)</s:f>
        <s:v>16858.570854921636</s:v>
      </s:c>
      <s:c r="G32" s="79">
        <s:f>G31+E32</s:f>
        <s:v>3183.1108549215974</s:v>
      </s:c>
      <s:c r="H32" s="118" t="str">
        <s:f>IF(AND(F32=0,C32&gt;0),"PAID OFF","")</s:f>
        <s:v/>
      </s:c>
    </s:row>
  </s:sheetData>
  <s:mergeCells count="5">
    <s:mergeCell ref="A4:B4"/>
    <s:mergeCell ref="A7:H7"/>
    <s:mergeCell ref="A2:H2"/>
    <s:mergeCell ref="A5:B5"/>
    <s:mergeCell ref="A1:H1"/>
  </s:mergeCells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2026-09-10T14:46:32Z</dcterms:created>
  <dcterms:modified xsi:type="dcterms:W3CDTF">2026-09-10T14:46:32Z</dcterms:modified>
</cp:coreProperties>
</file>