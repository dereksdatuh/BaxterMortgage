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2.xml" ContentType="application/vnd.openxmlformats-officedocument.spreadsheetml.comments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admap" sheetId="2" state="visible" r:id="rId2"/>
    <sheet name="Dashboard" sheetId="3" state="visible" r:id="rId3"/>
    <sheet name="Inputs" sheetId="4" state="visible" r:id="rId4"/>
    <sheet name="Sphere of Influence" sheetId="5" state="visible" r:id="rId5"/>
    <sheet name="Follow-Up Queue" sheetId="6" state="visible" r:id="rId6"/>
    <sheet name="Weekly Rhythm" sheetId="7" state="visible" r:id="rId7"/>
    <sheet name="Newsletter Planner" sheetId="8" state="visible" r:id="rId8"/>
    <sheet name="Content Log" sheetId="9" state="visible" r:id="rId9"/>
    <sheet name="CRM Playbook" sheetId="10" state="visible" r:id="rId10"/>
    <sheet name="Deal Log" sheetId="11" state="visible" r:id="rId11"/>
    <sheet name="Draw Payback" sheetId="12" state="visible" r:id="rId12"/>
    <sheet name="Budget" sheetId="13" state="visible" r:id="rId13"/>
    <sheet name="Cash Flow" sheetId="14" state="visible" r:id="rId14"/>
    <sheet name="Accounts" sheetId="15" state="visible" r:id="rId15"/>
    <sheet name="Money Split" sheetId="16" state="visible" r:id="rId16"/>
    <sheet name="Goals" sheetId="17" state="visible" r:id="rId17"/>
    <sheet name="Credit &amp; Home" sheetId="18" state="visible" r:id="rId18"/>
    <sheet name="Savings &amp; Retirement" sheetId="19" state="visible" r:id="rId19"/>
    <sheet name="Car Loan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.00;($#,##0.00);&quot;-&quot;"/>
    <numFmt numFmtId="165" formatCode="0.0%"/>
    <numFmt numFmtId="166" formatCode="$#,##0;($#,##0);&quot;-&quot;"/>
    <numFmt numFmtId="167" formatCode="#,##0.0"/>
    <numFmt numFmtId="168" formatCode="yyyy-mm-dd"/>
    <numFmt numFmtId="169" formatCode="mm/dd/yyyy"/>
    <numFmt numFmtId="170" formatCode="mmm yyyy"/>
    <numFmt numFmtId="171" formatCode="0.00000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6E4EF"/>
      <sz val="10"/>
    </font>
    <font>
      <name val="Arial"/>
      <b val="1"/>
      <color rgb="00FFFFFF"/>
      <sz val="10"/>
    </font>
    <font>
      <name val="Arial"/>
      <sz val="11"/>
    </font>
    <font>
      <name val="Arial"/>
      <b val="1"/>
      <color rgb="000000FF"/>
      <sz val="11"/>
    </font>
    <font>
      <name val="Arial"/>
      <i val="1"/>
      <color rgb="00595959"/>
      <sz val="9"/>
    </font>
    <font>
      <name val="Arial"/>
      <b val="1"/>
      <sz val="11"/>
    </font>
    <font>
      <name val="Arial"/>
      <b val="1"/>
      <color rgb="000F2B46"/>
      <sz val="14"/>
    </font>
    <font>
      <name val="Arial"/>
      <i val="1"/>
      <color rgb="00404040"/>
      <sz val="10"/>
    </font>
    <font>
      <name val="Arial"/>
      <i val="1"/>
      <color rgb="00808080"/>
      <sz val="10"/>
    </font>
    <font>
      <name val="Arial"/>
      <color rgb="00008000"/>
      <sz val="11"/>
    </font>
    <font>
      <name val="Courier New"/>
      <b val="1"/>
      <color rgb="001E7B4F"/>
      <sz val="10"/>
    </font>
    <font>
      <name val="Arial"/>
      <b val="1"/>
      <color rgb="00006100"/>
      <sz val="10"/>
    </font>
    <font>
      <name val="Arial"/>
      <color rgb="009C0006"/>
      <sz val="10"/>
    </font>
    <font>
      <name val="Arial"/>
      <b val="1"/>
      <color rgb="00404040"/>
      <sz val="9"/>
    </font>
    <font>
      <name val="Arial"/>
      <b val="1"/>
      <color rgb="001E7B4F"/>
      <sz val="13"/>
    </font>
    <font>
      <name val="Arial"/>
      <color rgb="00BFBFBF"/>
      <sz val="8"/>
    </font>
  </fonts>
  <fills count="11">
    <fill>
      <patternFill/>
    </fill>
    <fill>
      <patternFill patternType="gray125"/>
    </fill>
    <fill>
      <patternFill patternType="solid">
        <fgColor rgb="000F2B46"/>
      </patternFill>
    </fill>
    <fill>
      <patternFill patternType="solid">
        <fgColor rgb="001E7B4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3F4EA"/>
      </patternFill>
    </fill>
    <fill>
      <patternFill patternType="solid">
        <fgColor rgb="00FCE4E4"/>
      </patternFill>
    </fill>
    <fill>
      <patternFill patternType="solid">
        <fgColor rgb="00EDEDED"/>
      </patternFill>
    </fill>
    <fill>
      <patternFill patternType="solid">
        <fgColor rgb="00F2F5F7"/>
      </patternFill>
    </fill>
    <fill>
      <patternFill patternType="solid">
        <fgColor rgb="00DCE3E8"/>
      </patternFill>
    </fill>
  </fills>
  <borders count="7">
    <border>
      <left/>
      <right/>
      <top/>
      <bottom/>
      <diagonal/>
    </border>
    <border>
      <left style="thin">
        <color rgb="00B7C2CC"/>
      </left>
      <right style="thin">
        <color rgb="00B7C2CC"/>
      </right>
      <top style="thin">
        <color rgb="00B7C2CC"/>
      </top>
      <bottom style="thin">
        <color rgb="00B7C2CC"/>
      </bottom>
    </border>
    <border>
      <top style="thin">
        <color rgb="000F2B46"/>
      </top>
      <bottom style="double">
        <color rgb="000F2B46"/>
      </bottom>
    </border>
    <border>
      <left/>
      <right/>
      <top style="thin">
        <color rgb="00B7C2CC"/>
      </top>
      <bottom/>
      <diagonal/>
    </border>
    <border>
      <left/>
      <right style="thin">
        <color rgb="00B7C2CC"/>
      </right>
      <top style="thin">
        <color rgb="00B7C2CC"/>
      </top>
      <bottom/>
      <diagonal/>
    </border>
    <border>
      <left/>
      <right/>
      <top style="thin">
        <color rgb="00B7C2CC"/>
      </top>
      <bottom style="thin">
        <color rgb="00B7C2CC"/>
      </bottom>
      <diagonal/>
    </border>
    <border>
      <left/>
      <right style="thin">
        <color rgb="00B7C2CC"/>
      </right>
      <top style="thin">
        <color rgb="00B7C2CC"/>
      </top>
      <bottom style="thin">
        <color rgb="00B7C2CC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wrapText="1" indent="1"/>
    </xf>
    <xf numFmtId="0" fontId="3" fillId="3" borderId="0" pivotButton="0" quotePrefix="0" xfId="0"/>
    <xf numFmtId="0" fontId="0" fillId="3" borderId="0" pivotButton="0" quotePrefix="0" xfId="0"/>
    <xf numFmtId="0" fontId="7" fillId="7" borderId="1" pivotButton="0" quotePrefix="0" xfId="0"/>
    <xf numFmtId="0" fontId="4" fillId="7" borderId="1" applyAlignment="1" pivotButton="0" quotePrefix="0" xfId="0">
      <alignment vertical="center" wrapText="1"/>
    </xf>
    <xf numFmtId="0" fontId="7" fillId="0" borderId="1" pivotButton="0" quotePrefix="0" xfId="0"/>
    <xf numFmtId="0" fontId="4" fillId="0" borderId="1" applyAlignment="1" pivotButton="0" quotePrefix="0" xfId="0">
      <alignment vertical="center" wrapText="1"/>
    </xf>
    <xf numFmtId="0" fontId="7" fillId="4" borderId="1" pivotButton="0" quotePrefix="0" xfId="0"/>
    <xf numFmtId="0" fontId="4" fillId="4" borderId="1" applyAlignment="1" pivotButton="0" quotePrefix="0" xfId="0">
      <alignment vertical="center" wrapText="1"/>
    </xf>
    <xf numFmtId="0" fontId="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3" fillId="3" borderId="1" applyAlignment="1" pivotButton="0" quotePrefix="0" xfId="0">
      <alignment horizontal="center" vertical="center" wrapText="1"/>
    </xf>
    <xf numFmtId="167" fontId="4" fillId="0" borderId="1" pivotButton="0" quotePrefix="0" xfId="0"/>
    <xf numFmtId="165" fontId="7" fillId="6" borderId="1" applyAlignment="1" pivotButton="0" quotePrefix="0" xfId="0">
      <alignment horizontal="center" vertical="center"/>
    </xf>
    <xf numFmtId="0" fontId="12" fillId="0" borderId="1" pivotButton="0" quotePrefix="0" xfId="0"/>
    <xf numFmtId="0" fontId="6" fillId="0" borderId="1" applyAlignment="1" pivotButton="0" quotePrefix="0" xfId="0">
      <alignment vertical="center" wrapText="1"/>
    </xf>
    <xf numFmtId="0" fontId="7" fillId="9" borderId="1" pivotButton="0" quotePrefix="0" xfId="0"/>
    <xf numFmtId="166" fontId="4" fillId="9" borderId="1" pivotButton="0" quotePrefix="0" xfId="0"/>
    <xf numFmtId="0" fontId="12" fillId="9" borderId="1" pivotButton="0" quotePrefix="0" xfId="0"/>
    <xf numFmtId="0" fontId="6" fillId="9" borderId="1" applyAlignment="1" pivotButton="0" quotePrefix="0" xfId="0">
      <alignment vertical="center" wrapText="1"/>
    </xf>
    <xf numFmtId="166" fontId="4" fillId="0" borderId="1" pivotButton="0" quotePrefix="0" xfId="0"/>
    <xf numFmtId="167" fontId="8" fillId="5" borderId="1" applyAlignment="1" pivotButton="0" quotePrefix="0" xfId="0">
      <alignment horizontal="center" vertical="center"/>
    </xf>
    <xf numFmtId="169" fontId="8" fillId="5" borderId="1" applyAlignment="1" pivotButton="0" quotePrefix="0" xfId="0">
      <alignment horizontal="center" vertical="center"/>
    </xf>
    <xf numFmtId="0" fontId="15" fillId="10" borderId="1" pivotButton="0" quotePrefix="0" xfId="0"/>
    <xf numFmtId="164" fontId="8" fillId="7" borderId="1" applyAlignment="1" pivotButton="0" quotePrefix="0" xfId="0">
      <alignment horizontal="center" vertical="center"/>
    </xf>
    <xf numFmtId="167" fontId="8" fillId="7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6" fontId="8" fillId="6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 wrapText="1"/>
    </xf>
    <xf numFmtId="3" fontId="8" fillId="6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3" fontId="8" fillId="7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 wrapText="1"/>
    </xf>
    <xf numFmtId="164" fontId="5" fillId="5" borderId="1" applyAlignment="1" pivotButton="0" quotePrefix="0" xfId="0">
      <alignment horizontal="center" vertical="center"/>
    </xf>
    <xf numFmtId="3" fontId="5" fillId="5" borderId="1" applyAlignment="1" pivotButton="0" quotePrefix="0" xfId="0">
      <alignment horizontal="center" vertical="center"/>
    </xf>
    <xf numFmtId="164" fontId="7" fillId="6" borderId="1" applyAlignment="1" pivotButton="0" quotePrefix="0" xfId="0">
      <alignment horizontal="center" vertical="center"/>
    </xf>
    <xf numFmtId="10" fontId="5" fillId="5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4" fontId="7" fillId="7" borderId="1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167" fontId="5" fillId="5" borderId="1" applyAlignment="1" pivotButton="0" quotePrefix="0" xfId="0">
      <alignment horizontal="center" vertical="center"/>
    </xf>
    <xf numFmtId="167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10" fontId="5" fillId="4" borderId="1" applyAlignment="1" pivotButton="0" quotePrefix="0" xfId="0">
      <alignment horizontal="center" vertical="center"/>
    </xf>
    <xf numFmtId="169" fontId="5" fillId="5" borderId="1" applyAlignment="1" pivotButton="0" quotePrefix="0" xfId="0">
      <alignment horizontal="center" vertical="center"/>
    </xf>
    <xf numFmtId="165" fontId="5" fillId="5" borderId="1" applyAlignment="1" pivotButton="0" quotePrefix="0" xfId="0">
      <alignment horizontal="center" vertical="center"/>
    </xf>
    <xf numFmtId="0" fontId="6" fillId="0" borderId="0" pivotButton="0" quotePrefix="0" xfId="0"/>
    <xf numFmtId="0" fontId="10" fillId="8" borderId="1" pivotButton="0" quotePrefix="0" xfId="0"/>
    <xf numFmtId="166" fontId="10" fillId="8" borderId="1" pivotButton="0" quotePrefix="0" xfId="0"/>
    <xf numFmtId="164" fontId="11" fillId="0" borderId="1" pivotButton="0" quotePrefix="0" xfId="0"/>
    <xf numFmtId="169" fontId="10" fillId="8" borderId="1" applyAlignment="1" pivotButton="0" quotePrefix="0" xfId="0">
      <alignment horizontal="center" vertical="center"/>
    </xf>
    <xf numFmtId="3" fontId="4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5" fillId="0" borderId="1" pivotButton="0" quotePrefix="0" xfId="0"/>
    <xf numFmtId="171" fontId="17" fillId="0" borderId="1" applyAlignment="1" pivotButton="0" quotePrefix="0" xfId="0">
      <alignment horizontal="center" vertical="center"/>
    </xf>
    <xf numFmtId="0" fontId="5" fillId="9" borderId="1" pivotButton="0" quotePrefix="0" xfId="0"/>
    <xf numFmtId="166" fontId="5" fillId="9" borderId="1" pivotButton="0" quotePrefix="0" xfId="0"/>
    <xf numFmtId="164" fontId="11" fillId="9" borderId="1" pivotButton="0" quotePrefix="0" xfId="0"/>
    <xf numFmtId="169" fontId="5" fillId="9" borderId="1" pivotButton="0" quotePrefix="0" xfId="0"/>
    <xf numFmtId="3" fontId="4" fillId="9" borderId="1" applyAlignment="1" pivotButton="0" quotePrefix="0" xfId="0">
      <alignment horizontal="center" vertical="center"/>
    </xf>
    <xf numFmtId="3" fontId="11" fillId="9" borderId="1" applyAlignment="1" pivotButton="0" quotePrefix="0" xfId="0">
      <alignment horizontal="center" vertical="center"/>
    </xf>
    <xf numFmtId="169" fontId="4" fillId="9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71" fontId="17" fillId="9" borderId="1" applyAlignment="1" pivotButton="0" quotePrefix="0" xfId="0">
      <alignment horizontal="center" vertical="center"/>
    </xf>
    <xf numFmtId="166" fontId="5" fillId="0" borderId="1" pivotButton="0" quotePrefix="0" xfId="0"/>
    <xf numFmtId="169" fontId="5" fillId="0" borderId="1" pivotButton="0" quotePrefix="0" xfId="0"/>
    <xf numFmtId="0" fontId="4" fillId="9" borderId="1" applyAlignment="1" pivotButton="0" quotePrefix="0" xfId="0">
      <alignment horizontal="center" vertical="center"/>
    </xf>
    <xf numFmtId="0" fontId="4" fillId="9" borderId="1" pivotButton="0" quotePrefix="0" xfId="0"/>
    <xf numFmtId="164" fontId="4" fillId="9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164" fontId="4" fillId="0" borderId="1" pivotButton="0" quotePrefix="0" xfId="0"/>
    <xf numFmtId="3" fontId="8" fillId="8" borderId="1" applyAlignment="1" pivotButton="0" quotePrefix="0" xfId="0">
      <alignment horizontal="center" vertical="center"/>
    </xf>
    <xf numFmtId="3" fontId="5" fillId="0" borderId="1" applyAlignment="1" pivotButton="0" quotePrefix="0" xfId="0">
      <alignment horizontal="center" vertical="center"/>
    </xf>
    <xf numFmtId="3" fontId="4" fillId="8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3" fontId="5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3" fontId="7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3" fontId="5" fillId="0" borderId="1" pivotButton="0" quotePrefix="0" xfId="0"/>
    <xf numFmtId="3" fontId="5" fillId="9" borderId="1" pivotButton="0" quotePrefix="0" xfId="0"/>
    <xf numFmtId="0" fontId="4" fillId="9" borderId="1" applyAlignment="1" pivotButton="0" quotePrefix="0" xfId="0">
      <alignment vertical="center" wrapText="1"/>
    </xf>
    <xf numFmtId="0" fontId="7" fillId="0" borderId="2" pivotButton="0" quotePrefix="0" xfId="0"/>
    <xf numFmtId="0" fontId="6" fillId="0" borderId="2" pivotButton="0" quotePrefix="0" xfId="0"/>
    <xf numFmtId="0" fontId="6" fillId="7" borderId="1" applyAlignment="1" pivotButton="0" quotePrefix="0" xfId="0">
      <alignment vertical="center" wrapText="1"/>
    </xf>
    <xf numFmtId="0" fontId="16" fillId="0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166" fontId="7" fillId="6" borderId="1" applyAlignment="1" pivotButton="0" quotePrefix="0" xfId="0">
      <alignment horizontal="center" vertical="center"/>
    </xf>
    <xf numFmtId="0" fontId="9" fillId="5" borderId="0" pivotButton="0" quotePrefix="0" xfId="0"/>
    <xf numFmtId="10" fontId="10" fillId="8" borderId="1" applyAlignment="1" pivotButton="0" quotePrefix="0" xfId="0">
      <alignment horizontal="center" vertical="center"/>
    </xf>
    <xf numFmtId="164" fontId="10" fillId="8" borderId="1" pivotButton="0" quotePrefix="0" xfId="0"/>
    <xf numFmtId="0" fontId="10" fillId="8" borderId="1" applyAlignment="1" pivotButton="0" quotePrefix="0" xfId="0">
      <alignment horizontal="center" vertical="center"/>
    </xf>
    <xf numFmtId="170" fontId="10" fillId="8" borderId="1" applyAlignment="1" pivotButton="0" quotePrefix="0" xfId="0">
      <alignment horizontal="center" vertical="center"/>
    </xf>
    <xf numFmtId="10" fontId="5" fillId="0" borderId="1" pivotButton="0" quotePrefix="0" xfId="0"/>
    <xf numFmtId="164" fontId="7" fillId="6" borderId="1" pivotButton="0" quotePrefix="0" xfId="0"/>
    <xf numFmtId="170" fontId="4" fillId="0" borderId="1" applyAlignment="1" pivotButton="0" quotePrefix="0" xfId="0">
      <alignment horizontal="center" vertical="center"/>
    </xf>
    <xf numFmtId="10" fontId="5" fillId="9" borderId="1" pivotButton="0" quotePrefix="0" xfId="0"/>
    <xf numFmtId="170" fontId="4" fillId="9" borderId="1" applyAlignment="1" pivotButton="0" quotePrefix="0" xfId="0">
      <alignment horizontal="center" vertical="center"/>
    </xf>
    <xf numFmtId="170" fontId="8" fillId="6" borderId="1" applyAlignment="1" pivotButton="0" quotePrefix="0" xfId="0">
      <alignment horizontal="center" vertical="center"/>
    </xf>
    <xf numFmtId="164" fontId="7" fillId="0" borderId="1" pivotButton="0" quotePrefix="0" xfId="0"/>
    <xf numFmtId="0" fontId="6" fillId="0" borderId="1" pivotButton="0" quotePrefix="0" xfId="0"/>
    <xf numFmtId="164" fontId="7" fillId="7" borderId="1" pivotButton="0" quotePrefix="0" xfId="0"/>
    <xf numFmtId="0" fontId="6" fillId="9" borderId="1" pivotButton="0" quotePrefix="0" xfId="0"/>
    <xf numFmtId="164" fontId="7" fillId="0" borderId="2" pivotButton="0" quotePrefix="0" xfId="0"/>
    <xf numFmtId="164" fontId="7" fillId="5" borderId="1" pivotButton="0" quotePrefix="0" xfId="0"/>
    <xf numFmtId="164" fontId="7" fillId="7" borderId="2" pivotButton="0" quotePrefix="0" xfId="0"/>
    <xf numFmtId="164" fontId="11" fillId="6" borderId="1" pivotButton="0" quotePrefix="0" xfId="0"/>
    <xf numFmtId="164" fontId="4" fillId="6" borderId="1" pivotButton="0" quotePrefix="0" xfId="0"/>
    <xf numFmtId="164" fontId="7" fillId="4" borderId="2" pivotButton="0" quotePrefix="0" xfId="0"/>
    <xf numFmtId="0" fontId="6" fillId="0" borderId="2" applyAlignment="1" pivotButton="0" quotePrefix="0" xfId="0">
      <alignment vertical="center" wrapText="1"/>
    </xf>
    <xf numFmtId="170" fontId="11" fillId="0" borderId="1" applyAlignment="1" pivotButton="0" quotePrefix="0" xfId="0">
      <alignment horizontal="center" vertical="center"/>
    </xf>
    <xf numFmtId="170" fontId="11" fillId="9" borderId="1" applyAlignment="1" pivotButton="0" quotePrefix="0" xfId="0">
      <alignment horizontal="center" vertical="center"/>
    </xf>
    <xf numFmtId="164" fontId="7" fillId="9" borderId="1" pivotButton="0" quotePrefix="0" xfId="0"/>
    <xf numFmtId="0" fontId="7" fillId="7" borderId="0" pivotButton="0" quotePrefix="0" xfId="0"/>
    <xf numFmtId="0" fontId="7" fillId="6" borderId="0" pivotButton="0" quotePrefix="0" xfId="0"/>
    <xf numFmtId="0" fontId="7" fillId="5" borderId="1" pivotButton="0" quotePrefix="0" xfId="0"/>
    <xf numFmtId="0" fontId="14" fillId="0" borderId="0" applyAlignment="1" pivotButton="0" quotePrefix="0" xfId="0">
      <alignment vertical="center" wrapText="1"/>
    </xf>
    <xf numFmtId="164" fontId="11" fillId="5" borderId="1" applyAlignment="1" pivotButton="0" quotePrefix="0" xfId="0">
      <alignment horizontal="center" vertical="center"/>
    </xf>
    <xf numFmtId="166" fontId="7" fillId="6" borderId="1" pivotButton="0" quotePrefix="0" xfId="0"/>
    <xf numFmtId="10" fontId="11" fillId="0" borderId="1" applyAlignment="1" pivotButton="0" quotePrefix="0" xfId="0">
      <alignment horizontal="center" vertical="center"/>
    </xf>
    <xf numFmtId="10" fontId="11" fillId="4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4" fontId="7" fillId="4" borderId="1" pivotButton="0" quotePrefix="0" xfId="0"/>
    <xf numFmtId="166" fontId="7" fillId="5" borderId="1" applyAlignment="1" pivotButton="0" quotePrefix="0" xfId="0">
      <alignment horizontal="center" vertical="center"/>
    </xf>
    <xf numFmtId="3" fontId="5" fillId="6" borderId="1" applyAlignment="1" pivotButton="0" quotePrefix="0" xfId="0">
      <alignment horizontal="center" vertical="center"/>
    </xf>
    <xf numFmtId="166" fontId="7" fillId="0" borderId="1" pivotButton="0" quotePrefix="0" xfId="0"/>
    <xf numFmtId="166" fontId="7" fillId="9" borderId="1" pivotButton="0" quotePrefix="0" xfId="0"/>
    <xf numFmtId="166" fontId="7" fillId="7" borderId="1" pivotButton="0" quotePrefix="0" xfId="0"/>
    <xf numFmtId="0" fontId="7" fillId="5" borderId="0" pivotButton="0" quotePrefix="0" xfId="0"/>
    <xf numFmtId="0" fontId="13" fillId="0" borderId="1" pivotButton="0" quotePrefix="0" xfId="0"/>
    <xf numFmtId="0" fontId="13" fillId="9" borderId="1" pivotButton="0" quotePrefix="0" xfId="0"/>
  </cellXfs>
  <cellStyles count="1">
    <cellStyle name="Normal" xfId="0" builtinId="0" hidden="0"/>
  </cellStyles>
  <dxfs count="7">
    <dxf>
      <font>
        <b val="1"/>
      </font>
      <fill>
        <patternFill patternType="solid">
          <bgColor rgb="00FFC7CE"/>
        </patternFill>
      </fill>
    </dxf>
    <dxf>
      <font>
        <b val="1"/>
      </font>
      <fill>
        <patternFill patternType="solid">
          <bgColor rgb="00FFEB9C"/>
        </patternFill>
      </fill>
    </dxf>
    <dxf>
      <font>
        <b val="1"/>
      </font>
      <fill>
        <patternFill patternType="solid">
          <bgColor rgb="00C6EFCE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ont>
        <color rgb="009C0006"/>
      </font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ont>
        <b val="1"/>
        <color rgb="009C0006"/>
      </font>
      <fill>
        <patternFill patternType="solid"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Advance balance - months to zero</a:t>
            </a:r>
          </a:p>
        </rich>
      </tx>
    </title>
    <plotArea>
      <lineChart>
        <grouping val="standard"/>
        <ser>
          <idx val="0"/>
          <order val="0"/>
          <tx>
            <strRef>
              <f>'Draw Payback'!F8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'Draw Payback'!$A$9:$A$32</f>
            </numRef>
          </cat>
          <val>
            <numRef>
              <f>'Draw Payback'!$F$9:$F$32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Cash to you vs. what you spend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'Cash Flow'!B8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Flow'!$B$9:$B$32</f>
            </numRef>
          </val>
        </ser>
        <ser>
          <idx val="1"/>
          <order val="1"/>
          <tx>
            <strRef>
              <f>'Cash Flow'!E8</f>
            </strRef>
          </tx>
          <spPr>
            <a:ln>
              <a:prstDash val="solid"/>
            </a:ln>
          </spPr>
          <cat>
            <numRef>
              <f>'Cash Flow'!$A$9:$A$32</f>
            </numRef>
          </cat>
          <val>
            <numRef>
              <f>'Cash Flow'!$E$9:$E$32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notes</author>
  </authors>
  <commentList>
    <comment ref="D7" authorId="0" shapeId="0">
      <text>
        <t>The company's check on the deal - what Baxter collects. Log it if you know it: it shows the owner what a rate cut from 275 to 150 bps costs the shop. It does NOT change your 75 bps.</t>
      </text>
    </comment>
    <comment ref="G7" authorId="0" shapeId="0">
      <text>
        <t>100% of your commission is applied to the draw balance. Your example - balance 10,000, commission 2,000, balance now 8,000 - is exactly this column. The draw is NON-RECOVERABLE: leave with a balance and you owe nothing.</t>
      </text>
    </comment>
  </commentList>
</comments>
</file>

<file path=xl/comments/comment2.xml><?xml version="1.0" encoding="utf-8"?>
<comments xmlns="http://schemas.openxmlformats.org/spreadsheetml/2006/main">
  <authors>
    <author>notes</author>
  </authors>
  <commentList>
    <comment ref="H8" authorId="0" shapeId="0">
      <text>
        <t>Your certificate pulls $1,250 out of savings every 3 months. It is savings moving, not an expense, so it is not in TOTAL OUT - but it does drain the account you would otherwise reach for.</t>
      </text>
    </comment>
  </commentList>
</comments>
</file>

<file path=xl/comments/comment3.xml><?xml version="1.0" encoding="utf-8"?>
<comments xmlns="http://schemas.openxmlformats.org/spreadsheetml/2006/main">
  <authors>
    <author>notes</author>
  </authors>
  <commentList>
    <comment ref="D8" authorId="0" shapeId="0">
      <text>
        <t>While the emergency fund is short, everything goes here. Once it is full, the split is 30% stays in savings, 25% ring, 25% Roth, 20% guilt-free (the last one is spent, not tracked).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17</row>
      <rowOff>0</rowOff>
    </from>
    <ext cx="61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61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s:worksheet xmlns:s="http://schemas.openxmlformats.org/spreadsheetml/2006/main">
  <s:sheetPr>
    <s:tabColor rgb="000F2B46"/>
    <s:outlinePr summaryBelow="1" summaryRight="1"/>
    <s:pageSetUpPr/>
  </s:sheetPr>
  <s:dimension ref="A1:B26"/>
  <s:sheetViews>
    <s:sheetView showGridLines="0" workbookViewId="0">
      <s:selection activeCell="A1" sqref="A1"/>
    </s:sheetView>
  </s:sheetViews>
  <s:sheetFormatPr baseColWidth="8" defaultRowHeight="15"/>
  <s:cols>
    <s:col width="24" customWidth="1" min="1" max="1"/>
    <s:col width="92" customWidth="1" min="2" max="2"/>
  </s:cols>
  <s:sheetData>
    <s:row r="1" ht="26" customHeight="1">
      <s:c r="A1" s="1" t="inlineStr">
        <s:is>
          <s:t>START HERE</s:t>
        </s:is>
      </s:c>
      <s:c r="B1" s="2" t="n"/>
    </s:row>
    <s:row r="2" ht="16" customHeight="1">
      <s:c r="A2" s="3" t="inlineStr">
        <s:is>
          <s:t>Derek Smith - Baxter Mortgage. Built September 2026.</s:t>
        </s:is>
      </s:c>
      <s:c r="B2" s="2" t="n"/>
    </s:row>
    <s:row r="4" ht="19" customHeight="1">
      <s:c r="A4" s="4" t="inlineStr">
        <s:is>
          <s:t xml:space="preserve">  HOW THIS WORKS NOW THAT WE KNOW THE RULES</s:t>
        </s:is>
      </s:c>
      <s:c r="B4" s="5" t="n"/>
    </s:row>
    <s:row r="5" ht="52" customHeight="1">
      <s:c r="A5" s="6" t="inlineStr">
        <s:is>
          <s:t>The one rule that shapes everything</s:t>
        </s:is>
      </s:c>
      <s:c r="B5" s="7" t="inlineStr">
        <s:is>
          <s:t>The draw is NON-RECOVERABLE: leave tomorrow and you owe nothing, and $36,000/yr is a guaranteed floor. But 100% of commission offsets the running balance, so until it clears your take-home is the net draw. Closing three loans and closing none feel identical in your bank account for now. Not a reason to slow down - the reason to speed up.</s:t>
        </s:is>
      </s:c>
    </s:row>
    <s:row r="6" ht="39" customHeight="1">
      <s:c r="A6" s="6" t="inlineStr">
        <s:is>
          <s:t>Gross vs net</s:t>
        </s:is>
      </s:c>
      <s:c r="B6" s="7" t="inlineStr">
        <s:is>
          <s:t>The balance grows by the GROSS draw ($1,500 a check), not the $1,231.58 that reaches you - so it stands at $16,500 after 11 draws, not $13,547. Again: not a debt. Confirm the $1,500 off a pay stub.</s:t>
        </s:is>
      </s:c>
    </s:row>
    <s:row r="7" ht="19" customHeight="1">
      <s:c r="A7" s="4" t="inlineStr">
        <s:is>
          <s:t xml:space="preserve">  THE SHEETS, IN THE ORDER YOU'LL USE THEM</s:t>
        </s:is>
      </s:c>
      <s:c r="B7" s="5" t="n"/>
    </s:row>
    <s:row r="8" ht="28" customHeight="1">
      <s:c r="A8" s="8" t="inlineStr">
        <s:is>
          <s:t>Roadmap</s:t>
        </s:is>
      </s:c>
      <s:c r="B8" s="9" t="inlineStr">
        <s:is>
          <s:t>Five phases and where you are in each. Start here every week.</s:t>
        </s:is>
      </s:c>
    </s:row>
    <s:row r="9" ht="28" customHeight="1">
      <s:c r="A9" s="8" t="inlineStr">
        <s:is>
          <s:t>Deal Log</s:t>
        </s:is>
      </s:c>
      <s:c r="B9" s="9" t="inlineStr">
        <s:is>
          <s:t>The only sheet you must keep up with. One row per deal.</s:t>
        </s:is>
      </s:c>
    </s:row>
    <s:row r="10" ht="28" customHeight="1">
      <s:c r="A10" s="8" t="inlineStr">
        <s:is>
          <s:t>Draw Payback</s:t>
        </s:is>
      </s:c>
      <s:c r="B10" s="9" t="inlineStr">
        <s:is>
          <s:t>24 months. Shows exactly when the balance clears and your pay jumps.</s:t>
        </s:is>
      </s:c>
    </s:row>
    <s:row r="11" ht="28" customHeight="1">
      <s:c r="A11" s="8" t="inlineStr">
        <s:is>
          <s:t>Dashboard</s:t>
        </s:is>
      </s:c>
      <s:c r="B11" s="9" t="inlineStr">
        <s:is>
          <s:t>The fifteen numbers, plus two charts.</s:t>
        </s:is>
      </s:c>
    </s:row>
    <s:row r="12" ht="28" customHeight="1">
      <s:c r="A12" s="8" t="inlineStr">
        <s:is>
          <s:t>Budget / Cash Flow</s:t>
        </s:is>
      </s:c>
      <s:c r="B12" s="9" t="inlineStr">
        <s:is>
          <s:t>What life costs and what's left.</s:t>
        </s:is>
      </s:c>
    </s:row>
    <s:row r="13" ht="28" customHeight="1">
      <s:c r="A13" s="8" t="inlineStr">
        <s:is>
          <s:t>Money Split</s:t>
        </s:is>
      </s:c>
      <s:c r="B13" s="9" t="inlineStr">
        <s:is>
          <s:t>What to do the day money lands - one plan for now, one for after the advance clears.</s:t>
        </s:is>
      </s:c>
    </s:row>
    <s:row r="14" ht="28" customHeight="1">
      <s:c r="A14" s="8" t="inlineStr">
        <s:is>
          <s:t>Goals / Accounts</s:t>
        </s:is>
      </s:c>
      <s:c r="B14" s="9" t="inlineStr">
        <s:is>
          <s:t>Targets and where the money sits.</s:t>
        </s:is>
      </s:c>
    </s:row>
    <s:row r="15" ht="28" customHeight="1">
      <s:c r="A15" s="8" t="inlineStr">
        <s:is>
          <s:t>Credit &amp; Home</s:t>
        </s:is>
      </s:c>
      <s:c r="B15" s="9" t="inlineStr">
        <s:is>
          <s:t>Your card question answered, and what you'd qualify for.</s:t>
        </s:is>
      </s:c>
    </s:row>
    <s:row r="16" ht="28" customHeight="1">
      <s:c r="A16" s="8" t="inlineStr">
        <s:is>
          <s:t>Savings &amp; Retirement</s:t>
        </s:is>
      </s:c>
      <s:c r="B16" s="9" t="inlineStr">
        <s:is>
          <s:t>Is the certificate worth it, and what a Roth at 25 does.</s:t>
        </s:is>
      </s:c>
    </s:row>
    <s:row r="17" ht="28" customHeight="1">
      <s:c r="A17" s="8" t="inlineStr">
        <s:is>
          <s:t>Car Loan</s:t>
        </s:is>
      </s:c>
      <s:c r="B17" s="9" t="inlineStr">
        <s:is>
          <s:t>Payoff schedule. Put the real APR on Inputs.</s:t>
        </s:is>
      </s:c>
    </s:row>
    <s:row r="18" ht="19" customHeight="1">
      <s:c r="A18" s="4" t="inlineStr">
        <s:is>
          <s:t xml:space="preserve">  COLOUR CODE</s:t>
        </s:is>
      </s:c>
      <s:c r="B18" s="5" t="n"/>
    </s:row>
    <s:row r="19" ht="28" customHeight="1">
      <s:c r="A19" s="8" t="inlineStr">
        <s:is>
          <s:t>Blue</s:t>
        </s:is>
      </s:c>
      <s:c r="B19" s="9" t="inlineStr">
        <s:is>
          <s:t>You type here.</s:t>
        </s:is>
      </s:c>
    </s:row>
    <s:row r="20" ht="28" customHeight="1">
      <s:c r="A20" s="10" t="inlineStr">
        <s:is>
          <s:t>Yellow</s:t>
        </s:is>
      </s:c>
      <s:c r="B20" s="11" t="inlineStr">
        <s:is>
          <s:t>I guessed - please confirm.</s:t>
        </s:is>
      </s:c>
    </s:row>
    <s:row r="21" ht="28" customHeight="1">
      <s:c r="A21" s="8" t="inlineStr">
        <s:is>
          <s:t>Green text</s:t>
        </s:is>
      </s:c>
      <s:c r="B21" s="9" t="inlineStr">
        <s:is>
          <s:t>Pulled from another sheet.</s:t>
        </s:is>
      </s:c>
    </s:row>
    <s:row r="22" ht="28" customHeight="1">
      <s:c r="A22" s="8" t="inlineStr">
        <s:is>
          <s:t>Black</s:t>
        </s:is>
      </s:c>
      <s:c r="B22" s="9" t="inlineStr">
        <s:is>
          <s:t>A formula. Don't type over it.</s:t>
        </s:is>
      </s:c>
    </s:row>
    <s:row r="23" ht="19" customHeight="1">
      <s:c r="A23" s="4" t="inlineStr">
        <s:is>
          <s:t xml:space="preserve">  WHAT I HAD TO GUESS</s:t>
        </s:is>
      </s:c>
      <s:c r="B23" s="5" t="n"/>
    </s:row>
    <s:row r="24" ht="39" customHeight="1">
      <s:c r="A24" s="8" t="inlineStr">
        <s:is>
          <s:t>Confirm these</s:t>
        </s:is>
      </s:c>
      <s:c r="B24" s="9" t="inlineStr">
        <s:is>
          <s:t>Gross draw $1,500 (you said 'I think'), car insurance $165, phone $60, food $400, fun $250, car maintenance $90, savings APY 4.00%, credit limit $5,000, auto APR 7.49%, commission withholding 22%.</s:t>
        </s:is>
      </s:c>
    </s:row>
    <s:row r="25" ht="28" customHeight="1">
      <s:c r="A25" s="10" t="inlineStr">
        <s:is>
          <s:t>The health insurance cliff</s:t>
        </s:is>
      </s:c>
      <s:c r="B25" s="11" t="inlineStr">
        <s:is>
          <s:t>Set to $0 because I assumed you're on a parent's plan. You age off at 26 - about a year away - and that's $350-500/mo landing in an already tight budget. Plan for it now.</s:t>
        </s:is>
      </s:c>
    </s:row>
    <s:row r="26" ht="28" customHeight="1">
      <s:c r="A26" s="6" t="inlineStr">
        <s:is>
          <s:t>Not advice</s:t>
        </s:is>
      </s:c>
      <s:c r="B26" s="7" t="inlineStr">
        <s:is>
          <s:t>A planning model built from your numbers. Not tax, legal or investment advice. Confirm loan-program guidelines before acting on the housing section.</s:t>
        </s:is>
      </s:c>
    </s:row>
  </s:sheetData>
  <s:mergeCells count="6">
    <s:mergeCell ref="A4:B4"/>
    <s:mergeCell ref="A2:B2"/>
    <s:mergeCell ref="A7:B7"/>
    <s:mergeCell ref="A1:B1"/>
    <s:mergeCell ref="A23:B23"/>
    <s:mergeCell ref="A18:B18"/>
  </s:mergeCells>
  <s:pageMargins left="0.75" right="0.75" top="1" bottom="1" header="0.5" footer="0.5"/>
</s:worksheet>
</file>

<file path=xl/worksheets/sheet2.xml><?xml version="1.0" encoding="utf-8"?>
<s:worksheet xmlns:s="http://schemas.openxmlformats.org/spreadsheetml/2006/main">
  <s:sheetPr>
    <s:tabColor rgb="00FFF2CC"/>
    <s:outlinePr summaryBelow="1" summaryRight="1"/>
    <s:pageSetUpPr/>
  </s:sheetPr>
  <s:dimension ref="A1:G18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0" customWidth="1" min="2" max="2"/>
    <s:col width="16" customWidth="1" min="3" max="3"/>
    <s:col width="16" customWidth="1" min="4" max="4"/>
    <s:col width="13" customWidth="1" min="5" max="5"/>
    <s:col width="22" customWidth="1" min="6" max="6"/>
    <s:col width="52" customWidth="1" min="7" max="7"/>
  </s:cols>
  <s:sheetData>
    <s:row r="1" ht="26" customHeight="1">
      <s:c r="A1" s="1" t="inlineStr">
        <s:is>
          <s:t>YOUR ROADMAP  —  five phases, in order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Everything here updates as you log deals. Phase 2 is the wall: until the balance is worked through, closing more loans does not raise your pay. But you never OWE it - walk away and it is forgiven.</s:t>
        </s:is>
      </s:c>
      <s:c r="B2" s="2" t="n"/>
      <s:c r="C2" s="2" t="n"/>
      <s:c r="D2" s="2" t="n"/>
      <s:c r="E2" s="2" t="n"/>
      <s:c r="F2" s="2" t="n"/>
      <s:c r="G2" s="2" t="n"/>
    </s:row>
    <s:row r="4">
      <s:c r="A4" s="12" t="inlineStr">
        <s:is>
          <s:t>WHERE YOU ARE TODAY:</s:t>
        </s:is>
      </s:c>
      <s:c r="C4" s="13" t="str">
        <s:f>IF(Inputs!$C$17&gt;0,"PHASE 2 - working through the draw balance","PHASE 3+ - balance clear, commission is yours")</s:f>
        <s:v>PHASE 2 - working through the draw balance</s:v>
      </s:c>
      <s:c r="D4" s="14" t="n"/>
      <s:c r="E4" s="14" t="n"/>
      <s:c r="F4" s="14" t="n"/>
      <s:c r="G4" s="15" t="n"/>
    </s:row>
    <s:row r="5" ht="30" customHeight="1">
      <s:c r="A5" s="16" t="inlineStr"/>
      <s:c r="B5" s="16" t="inlineStr">
        <s:is>
          <s:t>Phase</s:t>
        </s:is>
      </s:c>
      <s:c r="C5" s="16" t="inlineStr">
        <s:is>
          <s:t>Target</s:t>
        </s:is>
      </s:c>
      <s:c r="D5" s="16" t="inlineStr">
        <s:is>
          <s:t>Where you are</s:t>
        </s:is>
      </s:c>
      <s:c r="E5" s="16" t="inlineStr">
        <s:is>
          <s:t>% done</s:t>
        </s:is>
      </s:c>
      <s:c r="F5" s="16" t="inlineStr">
        <s:is>
          <s:t>Progress</s:t>
        </s:is>
      </s:c>
      <s:c r="G5" s="16" t="inlineStr">
        <s:is>
          <s:t>What it takes / why</s:t>
        </s:is>
      </s:c>
    </s:row>
    <s:row r="6" ht="44" customHeight="1">
      <s:c r="B6" s="8" t="inlineStr">
        <s:is>
          <s:t>1. Stop the balance growing</s:t>
        </s:is>
      </s:c>
      <s:c r="C6" s="17">
        <s:f>Inputs!$C$24</s:f>
        <s:v>1.1428571428571428</s:v>
      </s:c>
      <s:c r="D6" s="17">
        <s:f>Inputs!$C$20</s:f>
        <s:v>2.0</s:v>
      </s:c>
      <s:c r="E6" s="18">
        <s:f>IFERROR(MIN(1,Inputs!$C$20/Inputs!$C$24),0)</s:f>
        <s:v>1.0</s:v>
      </s:c>
      <s:c r="F6" s="19" t="str">
        <s:f>REPT("|",ROUND(E6*20,0))&amp;REPT(".",20-ROUND(E6*20,0))</s:f>
        <s:v>||||||||||||||||||||</s:v>
      </s:c>
      <s:c r="G6" s="20" t="inlineStr">
        <s:is>
          <s:t>At 1 loan/month the balance still GROWS by $750. You need 1.33 loans/mo at $300k to hold even - only 1.14 at $350k. First real milestone, and lower than it feels.</s:t>
        </s:is>
      </s:c>
    </s:row>
    <s:row r="7" ht="44" customHeight="1">
      <s:c r="B7" s="21" t="inlineStr">
        <s:is>
          <s:t>2. Work through the balance</s:t>
        </s:is>
      </s:c>
      <s:c r="C7" s="22">
        <s:f>Inputs!$C$15</s:f>
        <s:v>16500.0</s:v>
      </s:c>
      <s:c r="D7" s="22">
        <s:f>Inputs!$C$16</s:f>
        <s:v>0.0</s:v>
      </s:c>
      <s:c r="E7" s="18">
        <s:f>IFERROR(MIN(1,Inputs!$C$16/Inputs!$C$15),0)</s:f>
        <s:v>0.0</s:v>
      </s:c>
      <s:c r="F7" s="23" t="str">
        <s:f>REPT("|",ROUND(E7*20,0))&amp;REPT(".",20-ROUND(E7*20,0))</s:f>
        <s:v>....................</s:v>
      </s:c>
      <s:c r="G7" s="24" t="inlineStr">
        <s:is>
          <s:t>100% of commission goes here. Until it hits zero your take-home is the net draw. NOT a debt - leave tomorrow and you owe nothing. The Draw Payback tab dates it precisely.</s:t>
        </s:is>
      </s:c>
    </s:row>
    <s:row r="8" ht="44" customHeight="1">
      <s:c r="B8" s="8" t="inlineStr">
        <s:is>
          <s:t>3. Cushion + emergency fund</s:t>
        </s:is>
      </s:c>
      <s:c r="C8" s="25">
        <s:f>Inputs!$C$45+Inputs!$C$60*Budget!B17</s:f>
        <s:v>19036.756842105264</s:v>
      </s:c>
      <s:c r="D8" s="25">
        <s:f>Inputs!$C$44+Inputs!$C$46</s:f>
        <s:v>8794.3</s:v>
      </s:c>
      <s:c r="E8" s="18">
        <s:f>IFERROR(MIN(1,(Inputs!$C$44+Inputs!$C$46)/(Inputs!$C$45+Inputs!$C$60*Budget!B17)),0)</s:f>
        <s:v>0.4619641923748732</s:v>
      </s:c>
      <s:c r="F8" s="19" t="str">
        <s:f>REPT("|",ROUND(E8*20,0))&amp;REPT(".",20-ROUND(E8*20,0))</s:f>
        <s:v>|||||||||...........</s:v>
      </s:c>
      <s:c r="G8" s="20" t="inlineStr">
        <s:is>
          <s:t>$2,000 in checking plus 6 months of costs in savings. You are further along here than you think - the HYSA already does most of the work.</s:t>
        </s:is>
      </s:c>
    </s:row>
    <s:row r="9" ht="44" customHeight="1">
      <s:c r="B9" s="21" t="inlineStr">
        <s:is>
          <s:t>4. Roth IRA + ring</s:t>
        </s:is>
      </s:c>
      <s:c r="C9" s="22">
        <s:f>7000+Inputs!$C$61</s:f>
        <s:v>19000.0</s:v>
      </s:c>
      <s:c r="D9" s="22">
        <s:f>Inputs!$C$53+Inputs!$C$52</s:f>
        <s:v>0.0</s:v>
      </s:c>
      <s:c r="E9" s="18">
        <s:f>IFERROR(MIN(1,(Inputs!$C$53+Inputs!$C$52)/(7000+Inputs!$C$61)),0)</s:f>
        <s:v>0.0</s:v>
      </s:c>
      <s:c r="F9" s="23" t="str">
        <s:f>REPT("|",ROUND(E9*20,0))&amp;REPT(".",20-ROUND(E9*20,0))</s:f>
        <s:v>....................</s:v>
      </s:c>
      <s:c r="G9" s="24" t="inlineStr">
        <s:is>
          <s:t>Neither account exists yet. Roth first - you are 25 and every year of delay is the most expensive one you will ever skip.</s:t>
        </s:is>
      </s:c>
    </s:row>
    <s:row r="10" ht="44" customHeight="1">
      <s:c r="B10" s="8" t="inlineStr">
        <s:is>
          <s:t>5. House</s:t>
        </s:is>
      </s:c>
      <s:c r="C10" s="25">
        <s:f>Inputs!$C$63*Inputs!$C$64+Inputs!$C$63*0.03</s:f>
        <s:v>32000.0</s:v>
      </s:c>
      <s:c r="D10" s="25">
        <s:f>0</s:f>
        <s:v>0.0</s:v>
      </s:c>
      <s:c r="E10" s="18">
        <s:f>0</s:f>
        <s:v>0.0</s:v>
      </s:c>
      <s:c r="F10" s="19" t="str">
        <s:f>REPT("|",ROUND(E10*20,0))&amp;REPT(".",20-ROUND(E10*20,0))</s:f>
        <s:v>....................</s:v>
      </s:c>
      <s:c r="G10" s="20" t="inlineStr">
        <s:is>
          <s:t>Down payment plus ~3% closing. But the real gate is income history, not cash - see 'Credit &amp; Home'.</s:t>
        </s:is>
      </s:c>
    </s:row>
    <s:row r="12" ht="19" customHeight="1">
      <s:c r="A12" s="4" t="inlineStr">
        <s:is>
          <s:t xml:space="preserve">  THE TIMELINE (recalculates every time you log a deal)</s:t>
        </s:is>
      </s:c>
      <s:c r="B12" s="5" t="n"/>
      <s:c r="C12" s="5" t="n"/>
      <s:c r="D12" s="5" t="n"/>
      <s:c r="E12" s="5" t="n"/>
      <s:c r="F12" s="5" t="n"/>
      <s:c r="G12" s="5" t="n"/>
    </s:row>
    <s:row r="13">
      <s:c r="B13" s="8" t="inlineStr">
        <s:is>
          <s:t>Balance clears</s:t>
        </s:is>
      </s:c>
      <s:c r="C13" s="13" t="str">
        <s:f>'Draw Payback'!D4</s:f>
        <s:v>8 months</s:v>
      </s:c>
      <s:c r="D13" s="15" t="n"/>
      <s:c r="G13" s="20" t="inlineStr">
        <s:is>
          <s:t>Then, and only then, commission starts reaching your bank.</s:t>
        </s:is>
      </s:c>
    </s:row>
    <s:row r="14">
      <s:c r="B14" s="21" t="inlineStr">
        <s:is>
          <s:t>First commission above the draw</s:t>
        </s:is>
      </s:c>
      <s:c r="C14" s="13">
        <s:f>'Draw Payback'!H4</s:f>
        <s:v>46507.0</s:v>
      </s:c>
      <s:c r="D14" s="15" t="n"/>
      <s:c r="G14" s="24" t="inlineStr">
        <s:is>
          <s:t>Your first genuinely bigger paycheck.</s:t>
        </s:is>
      </s:c>
    </s:row>
    <s:row r="15">
      <s:c r="B15" s="8" t="inlineStr">
        <s:is>
          <s:t>Loans/month you need to stop digging</s:t>
        </s:is>
      </s:c>
      <s:c r="C15" s="26">
        <s:f>Inputs!$C$24</s:f>
        <s:v>1.1428571428571428</s:v>
      </s:c>
      <s:c r="D15" s="15" t="n"/>
      <s:c r="G15" s="20" t="inlineStr">
        <s:is>
          <s:t>The nearest-term target. Everything else waits on it.</s:t>
        </s:is>
      </s:c>
    </s:row>
    <s:row r="16">
      <s:c r="B16" s="21" t="inlineStr">
        <s:is>
          <s:t>Loans/month you are planning</s:t>
        </s:is>
      </s:c>
      <s:c r="C16" s="26">
        <s:f>Inputs!$C$20</s:f>
        <s:v>2.0</s:v>
      </s:c>
      <s:c r="D16" s="15" t="n"/>
      <s:c r="G16" s="24" t="inlineStr">
        <s:is>
          <s:t>Change this on Inputs and every date here moves.</s:t>
        </s:is>
      </s:c>
    </s:row>
    <s:row r="17">
      <s:c r="B17" s="8" t="inlineStr">
        <s:is>
          <s:t>Proposal target</s:t>
        </s:is>
      </s:c>
      <s:c r="C17" s="27">
        <s:f>Inputs!$C$62</s:f>
        <s:v>46997.0</s:v>
      </s:c>
      <s:c r="D17" s="15" t="n"/>
      <s:c r="G17" s="20" t="inlineStr">
        <s:is>
          <s:t>Roughly 2 years out.</s:t>
        </s:is>
      </s:c>
    </s:row>
    <s:row r="18">
      <s:c r="B18" s="21" t="inlineStr">
        <s:is>
          <s:t>Home purchase target</s:t>
        </s:is>
      </s:c>
      <s:c r="C18" s="27">
        <s:f>Inputs!$C$65</s:f>
        <s:v>47178.0</s:v>
      </s:c>
      <s:c r="D18" s="15" t="n"/>
      <s:c r="G18" s="24" t="inlineStr">
        <s:is>
          <s:t>Gated by a 2-year commission income history, not by savings.</s:t>
        </s:is>
      </s:c>
    </s:row>
  </s:sheetData>
  <s:mergeCells count="10">
    <s:mergeCell ref="C4:G4"/>
    <s:mergeCell ref="A1:G1"/>
    <s:mergeCell ref="C16:D16"/>
    <s:mergeCell ref="C15:D15"/>
    <s:mergeCell ref="A12:G12"/>
    <s:mergeCell ref="C14:D14"/>
    <s:mergeCell ref="A2:G2"/>
    <s:mergeCell ref="C13:D13"/>
    <s:mergeCell ref="C18:D18"/>
    <s:mergeCell ref="C17:D17"/>
  </s:mergeCells>
  <s:pageMargins left="0.75" right="0.75" top="1" bottom="1" header="0.5" footer="0.5"/>
</s:worksheet>
</file>

<file path=xl/worksheets/sheet3.xml><?xml version="1.0" encoding="utf-8"?>
<s:worksheet xmlns:r="http://schemas.openxmlformats.org/officeDocument/2006/relationships" xmlns:s="http://schemas.openxmlformats.org/spreadsheetml/2006/main">
  <s:sheetPr>
    <s:tabColor rgb="000F2B46"/>
    <s:outlinePr summaryBelow="1" summaryRight="1"/>
    <s:pageSetUpPr/>
  </s:sheetPr>
  <s:dimension ref="A1:I40"/>
  <s:sheetViews>
    <s:sheetView showGridLines="0" workbookViewId="0">
      <s:selection activeCell="A1" sqref="A1"/>
    </s:sheetView>
  </s:sheetViews>
  <s:sheetFormatPr baseColWidth="8" defaultRowHeight="15"/>
  <s:cols>
    <s:col width="3" customWidth="1" min="1" max="1"/>
    <s:col width="30" customWidth="1" min="2" max="2"/>
    <s:col width="17" customWidth="1" min="3" max="3"/>
    <s:col width="3" customWidth="1" min="4" max="4"/>
    <s:col width="30" customWidth="1" min="5" max="5"/>
    <s:col width="17" customWidth="1" min="6" max="6"/>
    <s:col width="3" customWidth="1" min="7" max="7"/>
    <s:col width="30" customWidth="1" min="8" max="8"/>
    <s:col width="17" customWidth="1" min="9" max="9"/>
  </s:cols>
  <s:sheetData>
    <s:row r="1" ht="26" customHeight="1">
      <s:c r="A1" s="1" t="inlineStr">
        <s:is>
          <s:t>DASHBOARD  —  Derek Smith  |  Baxter Mortgage  |  NMLS 2810853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str">
        <s:f>"Model date "&amp;TEXT(Inputs!$C$59,"mmm d, yyyy")&amp;"   |   Draw NON-RECOVERABLE (forgiven if you leave), commission offsets it 100%   |   W-2, taxes withheld   |   Planning "&amp;TEXT(Inputs!$C$20,"0.0")&amp;" loans/month"</s:f>
        <s:v>Model date Sep 1, 2026   |   Draw NON-RECOVERABLE (forgiven if you leave), commission offsets it 100%   |   W-2, taxes withheld   |   Planning 2.0 loans/month</s:v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B4" s="12" t="inlineStr">
        <s:is>
          <s:t>THE NUMBERS THAT MATTER</s:t>
        </s:is>
      </s:c>
    </s:row>
    <s:row r="5">
      <s:c r="B5" s="28" t="inlineStr">
        <s:is>
          <s:t>Draw balance to work through</s:t>
        </s:is>
      </s:c>
      <s:c r="C5" s="29">
        <s:f>Inputs!$C$17</s:f>
        <s:v>16500.0</s:v>
      </s:c>
      <s:c r="E5" s="28" t="inlineStr">
        <s:is>
          <s:t>Loans/mo to stop digging</s:t>
        </s:is>
      </s:c>
      <s:c r="F5" s="30">
        <s:f>Inputs!$C$24</s:f>
        <s:v>1.1428571428571428</s:v>
      </s:c>
      <s:c r="H5" s="28" t="inlineStr">
        <s:is>
          <s:t>Total saved today</s:t>
        </s:is>
      </s:c>
      <s:c r="I5" s="31">
        <s:f>Inputs!$C$44+Inputs!$C$46+Inputs!$C$48</s:f>
        <s:v>15317.009999999998</s:v>
      </s:c>
    </s:row>
    <s:row r="6">
      <s:c r="B6" s="28" t="inlineStr">
        <s:is>
          <s:t>Commission credited so far</s:t>
        </s:is>
      </s:c>
      <s:c r="C6" s="31">
        <s:f>'Deal Log'!F4</s:f>
        <s:v>0.0</s:v>
      </s:c>
      <s:c r="E6" s="28" t="inlineStr">
        <s:is>
          <s:t>Loans/mo you're planning</s:t>
        </s:is>
      </s:c>
      <s:c r="F6" s="26">
        <s:f>Inputs!$C$20</s:f>
        <s:v>2.0</s:v>
      </s:c>
      <s:c r="H6" s="28" t="inlineStr">
        <s:is>
          <s:t>Emergency fund target</s:t>
        </s:is>
      </s:c>
      <s:c r="I6" s="32">
        <s:f>Inputs!$C$60*Budget!B17</s:f>
        <s:v>17036.756842105264</s:v>
      </s:c>
    </s:row>
    <s:row r="7">
      <s:c r="B7" s="28" t="inlineStr">
        <s:is>
          <s:t>Balance clears in</s:t>
        </s:is>
      </s:c>
      <s:c r="C7" s="13" t="str">
        <s:f>'Draw Payback'!D4</s:f>
        <s:v>8 months</s:v>
      </s:c>
      <s:c r="E7" s="28" t="inlineStr">
        <s:is>
          <s:t>Balance moves per month</s:t>
        </s:is>
      </s:c>
      <s:c r="F7" s="32">
        <s:f>Inputs!$C$22</s:f>
        <s:v>2250.0</s:v>
      </s:c>
      <s:c r="H7" s="28" t="inlineStr">
        <s:is>
          <s:t>Auto loan balance</s:t>
        </s:is>
      </s:c>
      <s:c r="I7" s="29">
        <s:f>Inputs!$C$56</s:f>
        <s:v>25092.02</s:v>
      </s:c>
    </s:row>
    <s:row r="8">
      <s:c r="B8" s="28" t="inlineStr">
        <s:is>
          <s:t>Your take-home / month</s:t>
        </s:is>
      </s:c>
      <s:c r="C8" s="32">
        <s:f>Inputs!$C$10</s:f>
        <s:v>2463.16</s:v>
      </s:c>
      <s:c r="E8" s="28" t="inlineStr">
        <s:is>
          <s:t>Monthly costs</s:t>
        </s:is>
      </s:c>
      <s:c r="F8" s="32">
        <s:f>Budget!B17</s:f>
        <s:v>2839.4594736842105</s:v>
      </s:c>
      <s:c r="H8" s="28" t="inlineStr">
        <s:is>
          <s:t>Roth at 65 if you start now</s:t>
        </s:is>
      </s:c>
      <s:c r="I8" s="33">
        <s:f>'Savings &amp; Retirement'!C14</s:f>
        <s:v>1813395.6309699914</s:v>
      </s:c>
    </s:row>
    <s:row r="9">
      <s:c r="B9" s="28" t="inlineStr">
        <s:is>
          <s:t>Cash in checking</s:t>
        </s:is>
      </s:c>
      <s:c r="C9" s="29">
        <s:f>Inputs!$C$44</s:f>
        <s:v>395.4</s:v>
      </s:c>
      <s:c r="E9" s="28" t="inlineStr">
        <s:is>
          <s:t>Left over each month</s:t>
        </s:is>
      </s:c>
      <s:c r="F9" s="29">
        <s:f>Budget!B20</s:f>
        <s:v>-376.2994736842106</s:v>
      </s:c>
      <s:c r="H9" s="28" t="inlineStr">
        <s:is>
          <s:t>Months of runway</s:t>
        </s:is>
      </s:c>
      <s:c r="I9" s="26">
        <s:f>IFERROR((Inputs!$C$44+Inputs!$C$46)/Budget!B17,0)</s:f>
        <s:v>3.0971739802961014</s:v>
      </s:c>
    </s:row>
    <s:row r="11">
      <s:c r="B11" s="12" t="inlineStr">
        <s:is>
          <s:t>DO THESE FIVE THINGS</s:t>
        </s:is>
      </s:c>
    </s:row>
    <s:row r="12">
      <s:c r="B12" s="34" t="inlineStr">
        <s:is>
          <s:t>1.  Confirm the gross draw is $1,500 off a pay stub, AND whether the balance resets on January 1. Most non-recoverable draws do.</s:t>
        </s:is>
      </s:c>
    </s:row>
    <s:row r="13">
      <s:c r="B13" s="34" t="inlineStr">
        <s:is>
          <s:t>2.  Get checking to $2,000. You have $395.40 and $865.84 is due by 10/14.</s:t>
        </s:is>
      </s:c>
    </s:row>
    <s:row r="14">
      <s:c r="B14" s="34" t="inlineStr">
        <s:is>
          <s:t>3.  Close 1.33 loans a month minimum - below that the advance grows even while you're producing.</s:t>
        </s:is>
      </s:c>
    </s:row>
    <s:row r="15">
      <s:c r="B15" s="34" t="inlineStr">
        <s:is>
          <s:t>4.  Open the Roth IRA and the ring savings account. Both are $0 because neither exists.</s:t>
        </s:is>
      </s:c>
    </s:row>
    <s:row r="16">
      <s:c r="B16" s="34" t="inlineStr">
        <s:is>
          <s:t>5.  Check your savings rate against the certificate's 3.687%. If savings wins, stop the auto-roll.</s:t>
        </s:is>
      </s:c>
    </s:row>
    <s:row r="37">
      <s:c r="B37" s="12" t="inlineStr">
        <s:is>
          <s:t>YOUR PIPELINE  (from the CRM tabs)</s:t>
        </s:is>
      </s:c>
    </s:row>
    <s:row r="38">
      <s:c r="B38" s="28" t="inlineStr">
        <s:is>
          <s:t>People in your SOI</s:t>
        </s:is>
      </s:c>
      <s:c r="C38" s="35">
        <s:f>'Sphere of Influence'!B4</s:f>
        <s:v>1.0</s:v>
      </s:c>
      <s:c r="E38" s="28" t="inlineStr">
        <s:is>
          <s:t>Commission in the pipeline</s:t>
        </s:is>
      </s:c>
      <s:c r="F38" s="31">
        <s:f>'Sphere of Influence'!H4</s:f>
        <s:v>2625.0</s:v>
      </s:c>
      <s:c r="H38" s="28" t="inlineStr">
        <s:is>
          <s:t>Active clients</s:t>
        </s:is>
      </s:c>
      <s:c r="I38" s="36">
        <s:f>COUNTIF('Sphere of Influence'!$B$7:$B$306,"Active Client")</s:f>
        <s:v>0.0</s:v>
      </s:c>
    </s:row>
    <s:row r="39">
      <s:c r="B39" s="28" t="inlineStr">
        <s:is>
          <s:t>Needing follow-up today</s:t>
        </s:is>
      </s:c>
      <s:c r="C39" s="37">
        <s:f>'Sphere of Influence'!D4</s:f>
        <s:v>1.0</s:v>
      </s:c>
      <s:c r="E39" s="28" t="inlineStr">
        <s:is>
          <s:t>Prospects</s:t>
        </s:is>
      </s:c>
      <s:c r="F39" s="36">
        <s:f>COUNTIF('Sphere of Influence'!$B$7:$B$306,"Prospect")</s:f>
        <s:v>0.0</s:v>
      </s:c>
      <s:c r="H39" s="28" t="inlineStr">
        <s:is>
          <s:t>Closed clients</s:t>
        </s:is>
      </s:c>
      <s:c r="I39" s="35">
        <s:f>COUNTIF('Sphere of Influence'!$B$7:$B$306,"Closed Client")</s:f>
        <s:v>0.0</s:v>
      </s:c>
    </s:row>
    <s:row r="40">
      <s:c r="B40" s="28" t="inlineStr">
        <s:is>
          <s:t>Pipeline value</s:t>
        </s:is>
      </s:c>
      <s:c r="C40" s="38">
        <s:f>'Sphere of Influence'!F4</s:f>
        <s:v>350000.0</s:v>
      </s:c>
      <s:c r="E40" s="28" t="inlineStr">
        <s:is>
          <s:t>Leads</s:t>
        </s:is>
      </s:c>
      <s:c r="F40" s="36">
        <s:f>COUNTIF('Sphere of Influence'!$B$7:$B$306,"Lead")</s:f>
        <s:v>1.0</s:v>
      </s:c>
      <s:c r="H40" s="28" t="inlineStr">
        <s:is>
          <s:t>Connections added YTD</s:t>
        </s:is>
      </s:c>
      <s:c r="I40" s="36">
        <s:f>'Weekly Rhythm'!E4</s:f>
        <s:v>0.0</s:v>
      </s:c>
    </s:row>
  </s:sheetData>
  <s:mergeCells count="10">
    <s:mergeCell ref="B12:I12"/>
    <s:mergeCell ref="B13:I13"/>
    <s:mergeCell ref="A2:I2"/>
    <s:mergeCell ref="B15:I15"/>
    <s:mergeCell ref="B11:I11"/>
    <s:mergeCell ref="B16:I16"/>
    <s:mergeCell ref="A1:I1"/>
    <s:mergeCell ref="B14:I14"/>
    <s:mergeCell ref="B37:I37"/>
    <s:mergeCell ref="B4:I4"/>
  </s:mergeCells>
  <s:pageMargins left="0.75" right="0.75" top="1" bottom="1" header="0.5" footer="0.5"/>
  <s:drawing r:id="rId1"/>
</s:worksheet>
</file>

<file path=xl/worksheets/sheet4.xml><?xml version="1.0" encoding="utf-8"?>
<s:worksheet xmlns:s="http://schemas.openxmlformats.org/spreadsheetml/2006/main">
  <s:sheetPr>
    <s:tabColor rgb="000F2B46"/>
    <s:outlinePr summaryBelow="1" summaryRight="1"/>
    <s:pageSetUpPr/>
  </s:sheetPr>
  <s:dimension ref="A1:E65"/>
  <s:sheetViews>
    <s:sheetView showGridLines="0" workbookViewId="0">
      <s:pane ySplit="3" topLeftCell="A4" activePane="bottomLeft" state="frozen"/>
      <s:selection pane="bottomLeft" activeCell="A1" sqref="A1"/>
    </s:sheetView>
  </s:sheetViews>
  <s:sheetFormatPr baseColWidth="8" defaultRowHeight="15"/>
  <s:cols>
    <s:col width="3" customWidth="1" min="1" max="1"/>
    <s:col width="38" customWidth="1" min="2" max="2"/>
    <s:col width="15" customWidth="1" min="3" max="3"/>
    <s:col width="11" customWidth="1" min="4" max="4"/>
    <s:col width="66" customWidth="1" min="5" max="5"/>
  </s:cols>
  <s:sheetData>
    <s:row r="1" ht="26" customHeight="1">
      <s:c r="A1" s="1" t="inlineStr">
        <s:is>
          <s:t>CONTROL PANEL</s:t>
        </s:is>
      </s:c>
      <s:c r="B1" s="2" t="n"/>
      <s:c r="C1" s="2" t="n"/>
      <s:c r="D1" s="2" t="n"/>
      <s:c r="E1" s="2" t="n"/>
    </s:row>
    <s:row r="2" ht="16" customHeight="1">
      <s:c r="A2" s="3" t="inlineStr">
        <s:is>
          <s:t>Change BLUE cells. YELLOW means I had to guess - please confirm. Everything else calculates itself.</s:t>
        </s:is>
      </s:c>
      <s:c r="B2" s="2" t="n"/>
      <s:c r="C2" s="2" t="n"/>
      <s:c r="D2" s="2" t="n"/>
      <s:c r="E2" s="2" t="n"/>
    </s:row>
    <s:row r="4" ht="19" customHeight="1">
      <s:c r="A4" s="4" t="inlineStr">
        <s:is>
          <s:t xml:space="preserve">  1.  YOUR DRAW  —  gross is what hits the balance, net is what hits your bank</s:t>
        </s:is>
      </s:c>
      <s:c r="B4" s="5" t="n"/>
      <s:c r="C4" s="5" t="n"/>
      <s:c r="D4" s="5" t="n"/>
      <s:c r="E4" s="5" t="n"/>
    </s:row>
    <s:row r="5" ht="28" customHeight="1">
      <s:c r="B5" s="39" t="inlineStr">
        <s:is>
          <s:t>Draw per paycheck - GROSS</s:t>
        </s:is>
      </s:c>
      <s:c r="C5" s="40" t="n">
        <s:v>1500</s:v>
      </s:c>
      <s:c r="D5" s="41" t="inlineStr">
        <s:is>
          <s:t>$</s:t>
        </s:is>
      </s:c>
      <s:c r="E5" s="42" t="inlineStr">
        <s:is>
          <s:t>You said 'I think it's 1500'. CONFIRM off a pay stub - this is the number the balance grows by, so it drives everything.</s:t>
        </s:is>
      </s:c>
    </s:row>
    <s:row r="6">
      <s:c r="B6" s="39" t="inlineStr">
        <s:is>
          <s:t>Draw per paycheck - NET to you</s:t>
        </s:is>
      </s:c>
      <s:c r="C6" s="43" t="n">
        <s:v>1231.58</s:v>
      </s:c>
      <s:c r="D6" s="41" t="inlineStr">
        <s:is>
          <s:t>$</s:t>
        </s:is>
      </s:c>
      <s:c r="E6" s="42" t="inlineStr">
        <s:is>
          <s:t>What actually lands in your account.</s:t>
        </s:is>
      </s:c>
    </s:row>
    <s:row r="7" ht="28" customHeight="1">
      <s:c r="B7" s="12" t="inlineStr">
        <s:is>
          <s:t xml:space="preserve">  = withholding rate</s:t>
        </s:is>
      </s:c>
      <s:c r="C7" s="18">
        <s:f>1-C6/C5</s:f>
        <s:v>0.1789466666666667</s:v>
      </s:c>
      <s:c r="D7" s="41" t="inlineStr"/>
      <s:c r="E7" s="42" t="inlineStr">
        <s:is>
          <s:t>Taxes are being withheld, so you are W-2. That is settled - no quarterly estimates to worry about.</s:t>
        </s:is>
      </s:c>
    </s:row>
    <s:row r="8" ht="28" customHeight="1">
      <s:c r="B8" s="39" t="inlineStr">
        <s:is>
          <s:t>Paychecks per year</s:t>
        </s:is>
      </s:c>
      <s:c r="C8" s="44" t="n">
        <s:v>24</s:v>
      </s:c>
      <s:c r="D8" s="41" t="inlineStr">
        <s:is>
          <s:t>/yr</s:t>
        </s:is>
      </s:c>
      <s:c r="E8" s="42" t="inlineStr">
        <s:is>
          <s:t>24, not 26. Your dates (3/31, 4/15, 4/30, 5/15, 5/29, 6/15, 6/30, 7/16, 7/30, 8/14, 8/28) are the 15th and month-end.</s:t>
        </s:is>
      </s:c>
    </s:row>
    <s:row r="9">
      <s:c r="B9" s="12" t="inlineStr">
        <s:is>
          <s:t>MONTHLY draw - gross</s:t>
        </s:is>
      </s:c>
      <s:c r="C9" s="45">
        <s:f>C5*C8/12</s:f>
        <s:v>3000.0</s:v>
      </s:c>
      <s:c r="D9" s="41" t="inlineStr">
        <s:is>
          <s:t>$/mo</s:t>
        </s:is>
      </s:c>
      <s:c r="E9" s="42" t="inlineStr">
        <s:is>
          <s:t>The balance grows by this every month.</s:t>
        </s:is>
      </s:c>
    </s:row>
    <s:row r="10">
      <s:c r="B10" s="12" t="inlineStr">
        <s:is>
          <s:t>MONTHLY draw - NET to you</s:t>
        </s:is>
      </s:c>
      <s:c r="C10" s="45">
        <s:f>C6*C8/12</s:f>
        <s:v>2463.16</s:v>
      </s:c>
      <s:c r="D10" s="41" t="inlineStr">
        <s:is>
          <s:t>$/mo</s:t>
        </s:is>
      </s:c>
      <s:c r="E10" s="42" t="inlineStr">
        <s:is>
          <s:t>This is your entire income until the balance is worked through, no matter how much you close.</s:t>
        </s:is>
      </s:c>
    </s:row>
    <s:row r="11">
      <s:c r="B11" s="39" t="inlineStr">
        <s:is>
          <s:t>Draws received so far</s:t>
        </s:is>
      </s:c>
      <s:c r="C11" s="44" t="n">
        <s:v>11</s:v>
      </s:c>
      <s:c r="D11" s="41" t="inlineStr">
        <s:is>
          <s:t>checks</s:t>
        </s:is>
      </s:c>
      <s:c r="E11" s="42" t="inlineStr"/>
    </s:row>
    <s:row r="12">
      <s:c r="B12" s="39" t="inlineStr">
        <s:is>
          <s:t>Your commission</s:t>
        </s:is>
      </s:c>
      <s:c r="C12" s="46" t="n">
        <s:v>0.0075</s:v>
      </s:c>
      <s:c r="D12" s="41" t="inlineStr">
        <s:is>
          <s:t>of loan</s:t>
        </s:is>
      </s:c>
      <s:c r="E12" s="42" t="inlineStr">
        <s:is>
          <s:t>75 bps. Unchanged whether the company charges 275, 200 or 150.</s:t>
        </s:is>
      </s:c>
    </s:row>
    <s:row r="13" ht="28" customHeight="1">
      <s:c r="B13" s="39" t="inlineStr">
        <s:is>
          <s:t>Withholding on commission payouts</s:t>
        </s:is>
      </s:c>
      <s:c r="C13" s="47" t="n">
        <s:v>0.22</s:v>
      </s:c>
      <s:c r="D13" s="41" t="inlineStr"/>
      <s:c r="E13" s="42" t="inlineStr">
        <s:is>
          <s:t>Commission is usually withheld at the 22% federal supplemental rate plus state. Only matters once the balance is worked through.</s:t>
        </s:is>
      </s:c>
    </s:row>
    <s:row r="14" ht="19" customHeight="1">
      <s:c r="A14" s="4" t="inlineStr">
        <s:is>
          <s:t xml:space="preserve">  2.  THE DRAW BALANCE  —  NON-RECOVERABLE. Commission offsets it, but you never owe it.</s:t>
        </s:is>
      </s:c>
      <s:c r="B14" s="5" t="n"/>
      <s:c r="C14" s="5" t="n"/>
      <s:c r="D14" s="5" t="n"/>
      <s:c r="E14" s="5" t="n"/>
    </s:row>
    <s:row r="15" ht="28" customHeight="1">
      <s:c r="B15" s="12" t="inlineStr">
        <s:is>
          <s:t>Draw paid to you so far</s:t>
        </s:is>
      </s:c>
      <s:c r="C15" s="48">
        <s:f>C5*C11</s:f>
        <s:v>16500.0</s:v>
      </s:c>
      <s:c r="D15" s="41" t="inlineStr">
        <s:is>
          <s:t>$</s:t>
        </s:is>
      </s:c>
      <s:c r="E15" s="42" t="inlineStr">
        <s:is>
          <s:t>11 x $1,500 GROSS. This is NOT a debt. It is the amount your commissions offset against before extra money reaches you.</s:t>
        </s:is>
      </s:c>
    </s:row>
    <s:row r="16">
      <s:c r="B16" s="12" t="inlineStr">
        <s:is>
          <s:t>Commission credited so far</s:t>
        </s:is>
      </s:c>
      <s:c r="C16" s="45">
        <s:f>'Deal Log'!$F$4</s:f>
        <s:v>0.0</s:v>
      </s:c>
      <s:c r="D16" s="41" t="inlineStr">
        <s:is>
          <s:t>$</s:t>
        </s:is>
      </s:c>
      <s:c r="E16" s="42" t="inlineStr">
        <s:is>
          <s:t>Sums every Funded row on your Deal Log.</s:t>
        </s:is>
      </s:c>
    </s:row>
    <s:row r="17" ht="28" customHeight="1">
      <s:c r="B17" s="12" t="inlineStr">
        <s:is>
          <s:t>BALANCE STILL TO WORK THROUGH</s:t>
        </s:is>
      </s:c>
      <s:c r="C17" s="48">
        <s:f>MAX(0,C15-C16)</s:f>
        <s:v>16500.0</s:v>
      </s:c>
      <s:c r="D17" s="41" t="inlineStr">
        <s:is>
          <s:t>$</s:t>
        </s:is>
      </s:c>
      <s:c r="E17" s="42" t="inlineStr">
        <s:is>
          <s:t>NOT money you owe. If you left tomorrow you would owe nothing - it is simply what commission offsets before you get paid on top. Log deals and watch it fall.</s:t>
        </s:is>
      </s:c>
    </s:row>
    <s:row r="18" ht="19" customHeight="1">
      <s:c r="A18" s="4" t="inlineStr">
        <s:is>
          <s:t xml:space="preserve">  3.  DEAL ASSUMPTIONS  (used to forecast months you have not logged yet)</s:t>
        </s:is>
      </s:c>
      <s:c r="B18" s="5" t="n"/>
      <s:c r="C18" s="5" t="n"/>
      <s:c r="D18" s="5" t="n"/>
      <s:c r="E18" s="5" t="n"/>
    </s:row>
    <s:row r="19">
      <s:c r="B19" s="39" t="inlineStr">
        <s:is>
          <s:t>Average loan size</s:t>
        </s:is>
      </s:c>
      <s:c r="C19" s="49" t="n">
        <s:v>350000</s:v>
      </s:c>
      <s:c r="D19" s="41" t="inlineStr">
        <s:is>
          <s:t>$</s:t>
        </s:is>
      </s:c>
      <s:c r="E19" s="42" t="inlineStr">
        <s:is>
          <s:t>Your working number. At 75 bps a $350k loan pays you $2,625.</s:t>
        </s:is>
      </s:c>
    </s:row>
    <s:row r="20" ht="28" customHeight="1">
      <s:c r="B20" s="39" t="inlineStr">
        <s:is>
          <s:t>Loans per month you PLAN to close</s:t>
        </s:is>
      </s:c>
      <s:c r="C20" s="50" t="n">
        <s:v>2</s:v>
      </s:c>
      <s:c r="D20" s="41" t="inlineStr">
        <s:is>
          <s:t>loans</s:t>
        </s:is>
      </s:c>
      <s:c r="E20" s="42" t="inlineStr">
        <s:is>
          <s:t>You closed 2 in September (9/9 and 9/18) after five months of none - that is the pipeline turning on. Change this and the whole roadmap re-times.</s:t>
        </s:is>
      </s:c>
    </s:row>
    <s:row r="21">
      <s:c r="B21" s="12" t="inlineStr">
        <s:is>
          <s:t xml:space="preserve">  = commission per month</s:t>
        </s:is>
      </s:c>
      <s:c r="C21" s="45">
        <s:f>C20*C19*C12</s:f>
        <s:v>5250.0</s:v>
      </s:c>
      <s:c r="D21" s="41" t="inlineStr">
        <s:is>
          <s:t>$/mo</s:t>
        </s:is>
      </s:c>
      <s:c r="E21" s="42" t="inlineStr"/>
    </s:row>
    <s:row r="22">
      <s:c r="B22" s="12" t="inlineStr">
        <s:is>
          <s:t xml:space="preserve">  = works the balance down by</s:t>
        </s:is>
      </s:c>
      <s:c r="C22" s="45">
        <s:f>C21-C9</s:f>
        <s:v>2250.0</s:v>
      </s:c>
      <s:c r="D22" s="41" t="inlineStr">
        <s:is>
          <s:t>$/mo</s:t>
        </s:is>
      </s:c>
      <s:c r="E22" s="42" t="inlineStr">
        <s:is>
          <s:t>Commission minus the new draw. If this is negative you are going backwards.</s:t>
        </s:is>
      </s:c>
    </s:row>
    <s:row r="23" ht="28" customHeight="1">
      <s:c r="B23" s="12" t="inlineStr">
        <s:is>
          <s:t>BREAK-EVEN: commission needed just to STOP the balance growing</s:t>
        </s:is>
      </s:c>
      <s:c r="C23" s="48">
        <s:f>C9</s:f>
        <s:v>3000.0</s:v>
      </s:c>
      <s:c r="D23" s="41" t="inlineStr">
        <s:is>
          <s:t>$/mo</s:t>
        </s:is>
      </s:c>
      <s:c r="E23" s="42" t="inlineStr">
        <s:is>
          <s:t>Below this the balance gets BIGGER every month even though you are closing loans. Not a debt - just a longer wait before extra money reaches you.</s:t>
        </s:is>
      </s:c>
    </s:row>
    <s:row r="24">
      <s:c r="B24" s="12" t="inlineStr">
        <s:is>
          <s:t xml:space="preserve">  = loans per month to stop digging</s:t>
        </s:is>
      </s:c>
      <s:c r="C24" s="51">
        <s:f>C23/C12/C19</s:f>
        <s:v>1.1428571428571428</s:v>
      </s:c>
      <s:c r="D24" s="41" t="inlineStr">
        <s:is>
          <s:t>loans</s:t>
        </s:is>
      </s:c>
      <s:c r="E24" s="42" t="inlineStr">
        <s:is>
          <s:t>THE number that matters most. At 1 loan/month the balance still grows by $750 a month.</s:t>
        </s:is>
      </s:c>
    </s:row>
    <s:row r="25">
      <s:c r="B25" s="12" t="inlineStr">
        <s:is>
          <s:t>Months to work through the balance at your planned pace</s:t>
        </s:is>
      </s:c>
      <s:c r="C25" s="52">
        <s:f>IF(C22&lt;=0,"never at this pace",ROUNDUP(C17/C22,0))</s:f>
        <s:v>8.0</s:v>
      </s:c>
      <s:c r="D25" s="41" t="inlineStr">
        <s:is>
          <s:t>months</s:t>
        </s:is>
      </s:c>
      <s:c r="E25" s="42" t="inlineStr">
        <s:is>
          <s:t>Updates automatically as you log deals.</s:t>
        </s:is>
      </s:c>
    </s:row>
    <s:row r="26" ht="19" customHeight="1">
      <s:c r="A26" s="4" t="inlineStr">
        <s:is>
          <s:t xml:space="preserve">  4.  WHAT YOU SPEND</s:t>
        </s:is>
      </s:c>
      <s:c r="B26" s="5" t="n"/>
      <s:c r="C26" s="5" t="n"/>
      <s:c r="D26" s="5" t="n"/>
      <s:c r="E26" s="5" t="n"/>
    </s:row>
    <s:row r="27">
      <s:c r="B27" s="39" t="inlineStr">
        <s:is>
          <s:t>Car payment</s:t>
        </s:is>
      </s:c>
      <s:c r="C27" s="43" t="n">
        <s:v>475.69</s:v>
      </s:c>
      <s:c r="D27" s="41" t="inlineStr">
        <s:is>
          <s:t>$/mo</s:t>
        </s:is>
      </s:c>
      <s:c r="E27" s="42" t="inlineStr"/>
    </s:row>
    <s:row r="28">
      <s:c r="B28" s="39" t="inlineStr">
        <s:is>
          <s:t>Car insurance</s:t>
        </s:is>
      </s:c>
      <s:c r="C28" s="40" t="n">
        <s:v>165</s:v>
      </s:c>
      <s:c r="D28" s="41" t="inlineStr">
        <s:is>
          <s:t>$/mo</s:t>
        </s:is>
      </s:c>
      <s:c r="E28" s="42" t="inlineStr">
        <s:is>
          <s:t>NOT LISTED but your lender requires it.</s:t>
        </s:is>
      </s:c>
    </s:row>
    <s:row r="29">
      <s:c r="B29" s="39" t="inlineStr">
        <s:is>
          <s:t>Gym (x2 per month)</s:t>
        </s:is>
      </s:c>
      <s:c r="C29" s="43" t="n">
        <s:v>31.99</s:v>
      </s:c>
      <s:c r="D29" s="41" t="inlineStr">
        <s:is>
          <s:t>$/charge</s:t>
        </s:is>
      </s:c>
      <s:c r="E29" s="42" t="inlineStr"/>
    </s:row>
    <s:row r="30">
      <s:c r="B30" s="39" t="inlineStr">
        <s:is>
          <s:t>Amazon Prime</s:t>
        </s:is>
      </s:c>
      <s:c r="C30" s="43" t="n">
        <s:v>15</s:v>
      </s:c>
      <s:c r="D30" s="41" t="inlineStr">
        <s:is>
          <s:t>$/mo</s:t>
        </s:is>
      </s:c>
      <s:c r="E30" s="42" t="inlineStr">
        <s:is>
          <s:t>Annual plan is ~$11.58/mo.</s:t>
        </s:is>
      </s:c>
    </s:row>
    <s:row r="31">
      <s:c r="B31" s="39" t="inlineStr">
        <s:is>
          <s:t>Phone</s:t>
        </s:is>
      </s:c>
      <s:c r="C31" s="40" t="n">
        <s:v>60</s:v>
      </s:c>
      <s:c r="D31" s="41" t="inlineStr">
        <s:is>
          <s:t>$/mo</s:t>
        </s:is>
      </s:c>
      <s:c r="E31" s="42" t="inlineStr">
        <s:is>
          <s:t>NOT LISTED. Zero it if you're on a family plan.</s:t>
        </s:is>
      </s:c>
    </s:row>
    <s:row r="32">
      <s:c r="B32" s="39" t="inlineStr">
        <s:is>
          <s:t>Miles driven</s:t>
        </s:is>
      </s:c>
      <s:c r="C32" s="44" t="n">
        <s:v>1000</s:v>
      </s:c>
      <s:c r="D32" s="41" t="inlineStr">
        <s:is>
          <s:t>mi/mo</s:t>
        </s:is>
      </s:c>
      <s:c r="E32" s="42" t="inlineStr"/>
    </s:row>
    <s:row r="33">
      <s:c r="B33" s="39" t="inlineStr">
        <s:is>
          <s:t>Gas price</s:t>
        </s:is>
      </s:c>
      <s:c r="C33" s="43" t="n">
        <s:v>4.1</s:v>
      </s:c>
      <s:c r="D33" s="41" t="inlineStr">
        <s:is>
          <s:t>$/gal</s:t>
        </s:is>
      </s:c>
      <s:c r="E33" s="42" t="inlineStr"/>
    </s:row>
    <s:row r="34">
      <s:c r="B34" s="39" t="inlineStr">
        <s:is>
          <s:t>MPG</s:t>
        </s:is>
      </s:c>
      <s:c r="C34" s="50" t="n">
        <s:v>19</s:v>
      </s:c>
      <s:c r="D34" s="41" t="inlineStr">
        <s:is>
          <s:t>mpg</s:t>
        </s:is>
      </s:c>
      <s:c r="E34" s="42" t="inlineStr"/>
    </s:row>
    <s:row r="35">
      <s:c r="B35" s="12" t="inlineStr">
        <s:is>
          <s:t xml:space="preserve">  = Fuel</s:t>
        </s:is>
      </s:c>
      <s:c r="C35" s="45">
        <s:f>C32/C34*C33</s:f>
        <s:v>215.7894736842105</s:v>
      </s:c>
      <s:c r="D35" s="41" t="inlineStr">
        <s:is>
          <s:t>$/mo</s:t>
        </s:is>
      </s:c>
      <s:c r="E35" s="42" t="inlineStr"/>
    </s:row>
    <s:row r="36">
      <s:c r="B36" s="39" t="inlineStr">
        <s:is>
          <s:t>Aroma Joe's per visit</s:t>
        </s:is>
      </s:c>
      <s:c r="C36" s="43" t="n">
        <s:v>6</s:v>
      </s:c>
      <s:c r="D36" s="41" t="inlineStr">
        <s:is>
          <s:t>$</s:t>
        </s:is>
      </s:c>
      <s:c r="E36" s="42" t="inlineStr"/>
    </s:row>
    <s:row r="37">
      <s:c r="B37" s="39" t="inlineStr">
        <s:is>
          <s:t xml:space="preserve">  visits per week</s:t>
        </s:is>
      </s:c>
      <s:c r="C37" s="44" t="n">
        <s:v>4</s:v>
      </s:c>
      <s:c r="D37" s="41" t="inlineStr">
        <s:is>
          <s:t>/wk</s:t>
        </s:is>
      </s:c>
      <s:c r="E37" s="42" t="inlineStr">
        <s:is>
          <s:t>4/wk = $1,248/yr.</s:t>
        </s:is>
      </s:c>
    </s:row>
    <s:row r="38">
      <s:c r="B38" s="12" t="inlineStr">
        <s:is>
          <s:t xml:space="preserve">  = Coffee</s:t>
        </s:is>
      </s:c>
      <s:c r="C38" s="45">
        <s:f>C36*C37*52/12</s:f>
        <s:v>104.0</s:v>
      </s:c>
      <s:c r="D38" s="41" t="inlineStr">
        <s:is>
          <s:t>$/mo</s:t>
        </s:is>
      </s:c>
      <s:c r="E38" s="42" t="inlineStr"/>
    </s:row>
    <s:row r="39">
      <s:c r="B39" s="39" t="inlineStr">
        <s:is>
          <s:t>Food / eating out</s:t>
        </s:is>
      </s:c>
      <s:c r="C39" s="40" t="n">
        <s:v>400</s:v>
      </s:c>
      <s:c r="D39" s="41" t="inlineStr">
        <s:is>
          <s:t>$/mo</s:t>
        </s:is>
      </s:c>
      <s:c r="E39" s="42" t="inlineStr">
        <s:is>
          <s:t>NOT LISTED - you live at home so this may be lower.</s:t>
        </s:is>
      </s:c>
    </s:row>
    <s:row r="40">
      <s:c r="B40" s="39" t="inlineStr">
        <s:is>
          <s:t>Personal / fun</s:t>
        </s:is>
      </s:c>
      <s:c r="C40" s="40" t="n">
        <s:v>250</s:v>
      </s:c>
      <s:c r="D40" s="41" t="inlineStr">
        <s:is>
          <s:t>$/mo</s:t>
        </s:is>
      </s:c>
      <s:c r="E40" s="42" t="inlineStr">
        <s:is>
          <s:t>NOT LISTED.</s:t>
        </s:is>
      </s:c>
    </s:row>
    <s:row r="41">
      <s:c r="B41" s="39" t="inlineStr">
        <s:is>
          <s:t>Car maintenance set-aside</s:t>
        </s:is>
      </s:c>
      <s:c r="C41" s="40" t="n">
        <s:v>90</s:v>
      </s:c>
      <s:c r="D41" s="41" t="inlineStr">
        <s:is>
          <s:t>$/mo</s:t>
        </s:is>
      </s:c>
      <s:c r="E41" s="42" t="inlineStr">
        <s:is>
          <s:t>NOT LISTED. 12k Maine miles = tires and brakes.</s:t>
        </s:is>
      </s:c>
    </s:row>
    <s:row r="42">
      <s:c r="B42" s="39" t="inlineStr">
        <s:is>
          <s:t>Marketing</s:t>
        </s:is>
      </s:c>
      <s:c r="C42" s="40" t="n">
        <s:v>1000</s:v>
      </s:c>
      <s:c r="D42" s="41" t="inlineStr">
        <s:is>
          <s:t>$/mo</s:t>
        </s:is>
      </s:c>
      <s:c r="E42" s="42" t="inlineStr">
        <s:is>
          <s:t>Zero it if the company pays. If the company advances it and you repay it, add it to section 2.</s:t>
        </s:is>
      </s:c>
    </s:row>
    <s:row r="43" ht="19" customHeight="1">
      <s:c r="A43" s="4" t="inlineStr">
        <s:is>
          <s:t xml:space="preserve">  5.  ACCOUNTS &amp; DEBT</s:t>
        </s:is>
      </s:c>
      <s:c r="B43" s="5" t="n"/>
      <s:c r="C43" s="5" t="n"/>
      <s:c r="D43" s="5" t="n"/>
      <s:c r="E43" s="5" t="n"/>
    </s:row>
    <s:row r="44">
      <s:c r="B44" s="39" t="inlineStr">
        <s:is>
          <s:t>Checking</s:t>
        </s:is>
      </s:c>
      <s:c r="C44" s="43" t="n">
        <s:v>395.4</s:v>
      </s:c>
      <s:c r="D44" s="41" t="inlineStr">
        <s:is>
          <s:t>$</s:t>
        </s:is>
      </s:c>
      <s:c r="E44" s="42" t="inlineStr"/>
    </s:row>
    <s:row r="45">
      <s:c r="B45" s="39" t="inlineStr">
        <s:is>
          <s:t xml:space="preserve">  cushion to keep in checking</s:t>
        </s:is>
      </s:c>
      <s:c r="C45" s="43" t="n">
        <s:v>2000</s:v>
      </s:c>
      <s:c r="D45" s="41" t="inlineStr">
        <s:is>
          <s:t>$</s:t>
        </s:is>
      </s:c>
      <s:c r="E45" s="42" t="inlineStr">
        <s:is>
          <s:t>One month of bills. You are well under it.</s:t>
        </s:is>
      </s:c>
    </s:row>
    <s:row r="46">
      <s:c r="B46" s="39" t="inlineStr">
        <s:is>
          <s:t>High-yield savings</s:t>
        </s:is>
      </s:c>
      <s:c r="C46" s="43" t="n">
        <s:v>8398.9</s:v>
      </s:c>
      <s:c r="D46" s="41" t="inlineStr">
        <s:is>
          <s:t>$</s:t>
        </s:is>
      </s:c>
      <s:c r="E46" s="42" t="inlineStr"/>
    </s:row>
    <s:row r="47">
      <s:c r="B47" s="39" t="inlineStr">
        <s:is>
          <s:t xml:space="preserve">  savings rate (APY)</s:t>
        </s:is>
      </s:c>
      <s:c r="C47" s="53" t="n">
        <s:v>0.04</s:v>
      </s:c>
      <s:c r="D47" s="41" t="inlineStr"/>
      <s:c r="E47" s="42" t="inlineStr">
        <s:is>
          <s:t>CONFIRM. If above 3.687% your certificate is the worse account.</s:t>
        </s:is>
      </s:c>
    </s:row>
    <s:row r="48">
      <s:c r="B48" s="39" t="inlineStr">
        <s:is>
          <s:t>Shared certificate</s:t>
        </s:is>
      </s:c>
      <s:c r="C48" s="43" t="n">
        <s:v>6522.71</s:v>
      </s:c>
      <s:c r="D48" s="41" t="inlineStr">
        <s:is>
          <s:t>$</s:t>
        </s:is>
      </s:c>
      <s:c r="E48" s="42" t="inlineStr"/>
    </s:row>
    <s:row r="49">
      <s:c r="B49" s="39" t="inlineStr">
        <s:is>
          <s:t xml:space="preserve">  certificate rate</s:t>
        </s:is>
      </s:c>
      <s:c r="C49" s="46" t="n">
        <s:v>0.03687</s:v>
      </s:c>
      <s:c r="D49" s="41" t="inlineStr"/>
      <s:c r="E49" s="42" t="inlineStr"/>
    </s:row>
    <s:row r="50">
      <s:c r="B50" s="39" t="inlineStr">
        <s:is>
          <s:t xml:space="preserve">  next roll date</s:t>
        </s:is>
      </s:c>
      <s:c r="C50" s="54" t="n">
        <s:v>46323</s:v>
      </s:c>
      <s:c r="D50" s="41" t="inlineStr"/>
      <s:c r="E50" s="42" t="inlineStr"/>
    </s:row>
    <s:row r="51" ht="28" customHeight="1">
      <s:c r="B51" s="39" t="inlineStr">
        <s:is>
          <s:t xml:space="preserve">  auto-transfer each roll</s:t>
        </s:is>
      </s:c>
      <s:c r="C51" s="43" t="n">
        <s:v>1250</s:v>
      </s:c>
      <s:c r="D51" s="41" t="inlineStr">
        <s:is>
          <s:t>$/3mo</s:t>
        </s:is>
      </s:c>
      <s:c r="E51" s="42" t="inlineStr">
        <s:is>
          <s:t>About $416.67/mo leaving your savings automatically. Real money out of the account you'd otherwise reach for.</s:t>
        </s:is>
      </s:c>
    </s:row>
    <s:row r="52">
      <s:c r="B52" s="39" t="inlineStr">
        <s:is>
          <s:t>Ring / travel savings</s:t>
        </s:is>
      </s:c>
      <s:c r="C52" s="43" t="n">
        <s:v>0</s:v>
      </s:c>
      <s:c r="D52" s="41" t="inlineStr">
        <s:is>
          <s:t>$</s:t>
        </s:is>
      </s:c>
      <s:c r="E52" s="42" t="inlineStr">
        <s:is>
          <s:t>Account doesn't exist yet.</s:t>
        </s:is>
      </s:c>
    </s:row>
    <s:row r="53">
      <s:c r="B53" s="39" t="inlineStr">
        <s:is>
          <s:t>Roth IRA</s:t>
        </s:is>
      </s:c>
      <s:c r="C53" s="43" t="n">
        <s:v>0</s:v>
      </s:c>
      <s:c r="D53" s="41" t="inlineStr">
        <s:is>
          <s:t>$</s:t>
        </s:is>
      </s:c>
      <s:c r="E53" s="42" t="inlineStr">
        <s:is>
          <s:t>Doesn't exist yet. Biggest long-term gap in your setup.</s:t>
        </s:is>
      </s:c>
    </s:row>
    <s:row r="54">
      <s:c r="B54" s="39" t="inlineStr">
        <s:is>
          <s:t>Credit card balance</s:t>
        </s:is>
      </s:c>
      <s:c r="C54" s="43" t="n">
        <s:v>390.15</s:v>
      </s:c>
      <s:c r="D54" s="41" t="inlineStr">
        <s:is>
          <s:t>$</s:t>
        </s:is>
      </s:c>
      <s:c r="E54" s="42" t="inlineStr"/>
    </s:row>
    <s:row r="55">
      <s:c r="B55" s="39" t="inlineStr">
        <s:is>
          <s:t xml:space="preserve">  credit limit</s:t>
        </s:is>
      </s:c>
      <s:c r="C55" s="40" t="n">
        <s:v>5000</s:v>
      </s:c>
      <s:c r="D55" s="41" t="inlineStr">
        <s:is>
          <s:t>$</s:t>
        </s:is>
      </s:c>
      <s:c r="E55" s="42" t="inlineStr">
        <s:is>
          <s:t>CONFIRM - drives utilization, 30% of your FICO.</s:t>
        </s:is>
      </s:c>
    </s:row>
    <s:row r="56">
      <s:c r="B56" s="39" t="inlineStr">
        <s:is>
          <s:t>Auto loan balance</s:t>
        </s:is>
      </s:c>
      <s:c r="C56" s="43" t="n">
        <s:v>25092.02</s:v>
      </s:c>
      <s:c r="D56" s="41" t="inlineStr">
        <s:is>
          <s:t>$</s:t>
        </s:is>
      </s:c>
      <s:c r="E56" s="42" t="inlineStr"/>
    </s:row>
    <s:row r="57">
      <s:c r="B57" s="39" t="inlineStr">
        <s:is>
          <s:t xml:space="preserve">  auto loan APR</s:t>
        </s:is>
      </s:c>
      <s:c r="C57" s="53" t="n">
        <s:v>0.07489999999999999</s:v>
      </s:c>
      <s:c r="D57" s="41" t="inlineStr"/>
      <s:c r="E57" s="42" t="inlineStr">
        <s:is>
          <s:t>NOT PROVIDED. Pull it off your statement.</s:t>
        </s:is>
      </s:c>
    </s:row>
    <s:row r="58" ht="19" customHeight="1">
      <s:c r="A58" s="4" t="inlineStr">
        <s:is>
          <s:t xml:space="preserve">  6.  GOALS</s:t>
        </s:is>
      </s:c>
      <s:c r="B58" s="5" t="n"/>
      <s:c r="C58" s="5" t="n"/>
      <s:c r="D58" s="5" t="n"/>
      <s:c r="E58" s="5" t="n"/>
    </s:row>
    <s:row r="59">
      <s:c r="B59" s="39" t="inlineStr">
        <s:is>
          <s:t>Today</s:t>
        </s:is>
      </s:c>
      <s:c r="C59" s="54" t="n">
        <s:v>46275</s:v>
      </s:c>
      <s:c r="D59" s="41" t="inlineStr"/>
      <s:c r="E59" s="42" t="inlineStr"/>
    </s:row>
    <s:row r="60" ht="28" customHeight="1">
      <s:c r="B60" s="39" t="inlineStr">
        <s:is>
          <s:t>Emergency fund target</s:t>
        </s:is>
      </s:c>
      <s:c r="C60" s="44" t="n">
        <s:v>6</s:v>
      </s:c>
      <s:c r="D60" s="41" t="inlineStr">
        <s:is>
          <s:t>months</s:t>
        </s:is>
      </s:c>
      <s:c r="E60" s="42" t="inlineStr">
        <s:is>
          <s:t>6 months of costs. Your income is fixed at the draw right now, so cash is your only shock absorber.</s:t>
        </s:is>
      </s:c>
    </s:row>
    <s:row r="61">
      <s:c r="B61" s="39" t="inlineStr">
        <s:is>
          <s:t>Ring + proposal budget</s:t>
        </s:is>
      </s:c>
      <s:c r="C61" s="40" t="n">
        <s:v>12000</s:v>
      </s:c>
      <s:c r="D61" s="41" t="inlineStr">
        <s:is>
          <s:t>$</s:t>
        </s:is>
      </s:c>
      <s:c r="E61" s="42" t="inlineStr">
        <s:is>
          <s:t>Placeholder - set your number.</s:t>
        </s:is>
      </s:c>
    </s:row>
    <s:row r="62">
      <s:c r="B62" s="39" t="inlineStr">
        <s:is>
          <s:t>Target proposal date</s:t>
        </s:is>
      </s:c>
      <s:c r="C62" s="54" t="n">
        <s:v>46997</s:v>
      </s:c>
      <s:c r="D62" s="41" t="inlineStr"/>
      <s:c r="E62" s="42" t="inlineStr"/>
    </s:row>
    <s:row r="63">
      <s:c r="B63" s="39" t="inlineStr">
        <s:is>
          <s:t>Target home price</s:t>
        </s:is>
      </s:c>
      <s:c r="C63" s="49" t="n">
        <s:v>400000</s:v>
      </s:c>
      <s:c r="D63" s="41" t="inlineStr">
        <s:is>
          <s:t>$</s:t>
        </s:is>
      </s:c>
      <s:c r="E63" s="42" t="inlineStr"/>
    </s:row>
    <s:row r="64">
      <s:c r="B64" s="39" t="inlineStr">
        <s:is>
          <s:t xml:space="preserve">  down payment</s:t>
        </s:is>
      </s:c>
      <s:c r="C64" s="55" t="n">
        <s:v>0.05</s:v>
      </s:c>
      <s:c r="D64" s="41" t="inlineStr"/>
      <s:c r="E64" s="42" t="inlineStr"/>
    </s:row>
    <s:row r="65" ht="28" customHeight="1">
      <s:c r="B65" s="39" t="inlineStr">
        <s:is>
          <s:t>Target home purchase date</s:t>
        </s:is>
      </s:c>
      <s:c r="C65" s="54" t="n">
        <s:v>47178</s:v>
      </s:c>
      <s:c r="D65" s="41" t="inlineStr"/>
      <s:c r="E65" s="42" t="inlineStr">
        <s:is>
          <s:t>See 'Credit &amp; Home' - commission income normally needs a 2-year history, which for you starts ~April 2028.</s:t>
        </s:is>
      </s:c>
    </s:row>
  </s:sheetData>
  <s:mergeCells count="8">
    <s:mergeCell ref="A4:E4"/>
    <s:mergeCell ref="A26:E26"/>
    <s:mergeCell ref="A43:E43"/>
    <s:mergeCell ref="A2:E2"/>
    <s:mergeCell ref="A1:E1"/>
    <s:mergeCell ref="A14:E14"/>
    <s:mergeCell ref="A58:E58"/>
    <s:mergeCell ref="A18:E18"/>
  </s:mergeCells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tabColor rgb="001E7B4F"/>
    <s:outlinePr summaryBelow="1" summaryRight="1"/>
    <s:pageSetUpPr/>
  </s:sheetPr>
  <s:dimension ref="A1:R306"/>
  <s:sheetViews>
    <s:sheetView showGridLines="0" workbookViewId="0">
      <s:pane ySplit="6" topLeftCell="A7" activePane="bottomLeft" state="frozen"/>
      <s:selection pane="bottomLeft" activeCell="A1" sqref="A1"/>
    </s:sheetView>
  </s:sheetViews>
  <s:sheetFormatPr baseColWidth="8" defaultRowHeight="15"/>
  <s:cols>
    <s:col width="22" customWidth="1" min="1" max="1"/>
    <s:col width="15" customWidth="1" min="2" max="2"/>
    <s:col width="20" customWidth="1" min="3" max="3"/>
    <s:col width="14" customWidth="1" min="4" max="4"/>
    <s:col width="26" customWidth="1" min="5" max="5"/>
    <s:col width="22" customWidth="1" min="6" max="6"/>
    <s:col width="16" customWidth="1" min="7" max="7"/>
    <s:col width="14" customWidth="1" min="8" max="8"/>
    <s:col width="13" customWidth="1" min="9" max="9"/>
    <s:col width="13" customWidth="1" min="10" max="10"/>
    <s:col width="9" customWidth="1" min="11" max="11"/>
    <s:col width="9" customWidth="1" min="12" max="12"/>
    <s:col width="13" customWidth="1" min="13" max="13"/>
    <s:col width="13" customWidth="1" min="14" max="14"/>
    <s:col width="26" customWidth="1" min="15" max="15"/>
    <s:col width="8" customWidth="1" min="16" max="16"/>
    <s:col width="30" customWidth="1" min="17" max="17"/>
    <s:col width="9" customWidth="1" min="18" max="18"/>
  </s:cols>
  <s:sheetData>
    <s:row r="1" ht="26" customHeight="1">
      <s:c r="A1" s="1" t="inlineStr">
        <s:is>
          <s:t>SPHERE OF INFLUENCE  —  every person you know, in one place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  <s:c r="K1" s="2" t="n"/>
      <s:c r="L1" s="2" t="n"/>
      <s:c r="M1" s="2" t="n"/>
      <s:c r="N1" s="2" t="n"/>
      <s:c r="O1" s="2" t="n"/>
      <s:c r="P1" s="2" t="n"/>
      <s:c r="Q1" s="2" t="n"/>
      <s:c r="R1" s="2" t="n"/>
    </s:row>
    <s:row r="2" ht="16" customHeight="1">
      <s:c r="A2" s="3" t="inlineStr">
        <s:is>
          <s:t>Five categories. Each has its own follow-up cadence, applied automatically. Type in the blue columns; the grey ones calculate.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  <s:c r="K2" s="2" t="n"/>
      <s:c r="L2" s="2" t="n"/>
      <s:c r="M2" s="2" t="n"/>
      <s:c r="N2" s="2" t="n"/>
      <s:c r="O2" s="2" t="n"/>
      <s:c r="P2" s="2" t="n"/>
      <s:c r="Q2" s="2" t="n"/>
      <s:c r="R2" s="2" t="n"/>
    </s:row>
    <s:row r="3">
      <s:c r="A3" s="12" t="inlineStr">
        <s:is>
          <s:t>TODAY:</s:t>
        </s:is>
      </s:c>
      <s:c r="B3" s="54" t="n">
        <s:v>46276</s:v>
      </s:c>
      <s:c r="C3" s="56" t="inlineStr">
        <s:is>
          <s:t>&lt;- set this when you open the file; every 'days since' works off it</s:t>
        </s:is>
      </s:c>
    </s:row>
    <s:row r="4">
      <s:c r="A4" s="12" t="inlineStr">
        <s:is>
          <s:t>Total SOI</s:t>
        </s:is>
      </s:c>
      <s:c r="B4" s="35">
        <s:f>COUNTA(A7:A306)</s:f>
        <s:v>1.0</s:v>
      </s:c>
      <s:c r="C4" s="12" t="inlineStr">
        <s:is>
          <s:t>Needing follow-up</s:t>
        </s:is>
      </s:c>
      <s:c r="D4" s="37">
        <s:f>COUNTIF(N7:N306,"OVERDUE")+COUNTIF(N7:N306,"DUE")+COUNTIF(N7:N306,"NEW - reach out")</s:f>
        <s:v>1.0</s:v>
      </s:c>
      <s:c r="E4" s="12" t="inlineStr">
        <s:is>
          <s:t>Pipeline value</s:t>
        </s:is>
      </s:c>
      <s:c r="F4" s="38">
        <s:f>SUMIF($B7:$B306,"Prospect",$H7:$H306)+SUMIF($B7:$B306,"Lead",$H7:$H306)+SUMIF($B7:$B306,"Active Client",$H7:$H306)</s:f>
        <s:v>350000.0</s:v>
      </s:c>
      <s:c r="G4" s="12" t="inlineStr">
        <s:is>
          <s:t>Commission in it</s:t>
        </s:is>
      </s:c>
      <s:c r="H4" s="31">
        <s:f>F4*Inputs!$C$12</s:f>
        <s:v>2625.0</s:v>
      </s:c>
    </s:row>
    <s:row r="5">
      <s:c r="A5" s="56" t="inlineStr">
        <s:is>
          <s:t>Row 7 is a greyed EXAMPLE, outside every total. Start typing on row 8.</s:t>
        </s:is>
      </s:c>
    </s:row>
    <s:row r="6" ht="30" customHeight="1">
      <s:c r="A6" s="16" t="inlineStr">
        <s:is>
          <s:t>Name</s:t>
        </s:is>
      </s:c>
      <s:c r="B6" s="16" t="inlineStr">
        <s:is>
          <s:t>Category</s:t>
        </s:is>
      </s:c>
      <s:c r="C6" s="16" t="inlineStr">
        <s:is>
          <s:t>Company / Role</s:t>
        </s:is>
      </s:c>
      <s:c r="D6" s="16" t="inlineStr">
        <s:is>
          <s:t>Phone</s:t>
        </s:is>
      </s:c>
      <s:c r="E6" s="16" t="inlineStr">
        <s:is>
          <s:t>Email</s:t>
        </s:is>
      </s:c>
      <s:c r="F6" s="16" t="inlineStr">
        <s:is>
          <s:t>Source / Referred by</s:t>
        </s:is>
      </s:c>
      <s:c r="G6" s="16" t="inlineStr">
        <s:is>
          <s:t>Loan type</s:t>
        </s:is>
      </s:c>
      <s:c r="H6" s="16" t="inlineStr">
        <s:is>
          <s:t>Est. loan amt</s:t>
        </s:is>
      </s:c>
      <s:c r="I6" s="16" t="inlineStr">
        <s:is>
          <s:t>Your commission</s:t>
        </s:is>
      </s:c>
      <s:c r="J6" s="16" t="inlineStr">
        <s:is>
          <s:t>Last contact</s:t>
        </s:is>
      </s:c>
      <s:c r="K6" s="16" t="inlineStr">
        <s:is>
          <s:t>Days since</s:t>
        </s:is>
      </s:c>
      <s:c r="L6" s="16" t="inlineStr">
        <s:is>
          <s:t>Cadence</s:t>
        </s:is>
      </s:c>
      <s:c r="M6" s="16" t="inlineStr">
        <s:is>
          <s:t>Next touch due</s:t>
        </s:is>
      </s:c>
      <s:c r="N6" s="16" t="inlineStr">
        <s:is>
          <s:t>STATUS</s:t>
        </s:is>
      </s:c>
      <s:c r="O6" s="16" t="inlineStr">
        <s:is>
          <s:t>Next action</s:t>
        </s:is>
      </s:c>
      <s:c r="P6" s="16" t="inlineStr">
        <s:is>
          <s:t>LI?</s:t>
        </s:is>
      </s:c>
      <s:c r="Q6" s="16" t="inlineStr">
        <s:is>
          <s:t>Notes</s:t>
        </s:is>
      </s:c>
      <s:c r="R6" s="16" t="inlineStr">
        <s:is>
          <s:t>Queue</s:t>
        </s:is>
      </s:c>
    </s:row>
    <s:row r="7">
      <s:c r="A7" s="57" t="inlineStr">
        <s:is>
          <s:t>Jane Example</s:t>
        </s:is>
      </s:c>
      <s:c r="B7" s="57" t="inlineStr">
        <s:is>
          <s:t>Lead</s:t>
        </s:is>
      </s:c>
      <s:c r="C7" s="57" t="inlineStr">
        <s:is>
          <s:t>Coastal Realty</s:t>
        </s:is>
      </s:c>
      <s:c r="D7" s="57" t="inlineStr">
        <s:is>
          <s:t>207-555-0123</s:t>
        </s:is>
      </s:c>
      <s:c r="E7" s="57" t="inlineStr">
        <s:is>
          <s:t>jane@example.com</s:t>
        </s:is>
      </s:c>
      <s:c r="F7" s="57" t="inlineStr">
        <s:is>
          <s:t>Chamber mixer</s:t>
        </s:is>
      </s:c>
      <s:c r="G7" s="57" t="inlineStr">
        <s:is>
          <s:t>Conv Purchase</s:t>
        </s:is>
      </s:c>
      <s:c r="H7" s="58" t="n">
        <s:v>350000</s:v>
      </s:c>
      <s:c r="I7" s="59">
        <s:f>IF($H7="","",$H7*Inputs!$C$12)</s:f>
        <s:v>2625.0</s:v>
      </s:c>
      <s:c r="J7" s="60" t="n">
        <s:v>46267</s:v>
      </s:c>
      <s:c r="K7" s="61">
        <s:f>IF($J7="","",$B$3-$J7)</s:f>
        <s:v>9.0</s:v>
      </s:c>
      <s:c r="L7" s="62">
        <s:f>IFERROR(INDEX('CRM Playbook'!$C$6:$C$10,MATCH($B7,'CRM Playbook'!$B$6:$B$10,0)),"")</s:f>
        <s:v>7.0</s:v>
      </s:c>
      <s:c r="M7" s="63">
        <s:f>IF(OR($J7="",$L7=""),"",$J7+$L7)</s:f>
        <s:v>46274.0</s:v>
      </s:c>
      <s:c r="N7" s="64" t="str">
        <s:f>IF($A7="","",IF($J7="","NEW - reach out",IF($M7&lt;$B$3,"OVERDUE",IF($M7&lt;=$B$3+3,"DUE","Current"))))</s:f>
        <s:v>OVERDUE</s:v>
      </s:c>
      <s:c r="O7" s="57" t="inlineStr">
        <s:is>
          <s:t>Send pre-qual letter</s:t>
        </s:is>
      </s:c>
      <s:c r="P7" s="65" t="n"/>
      <s:c r="Q7" s="65" t="n"/>
      <s:c r="R7" s="66">
        <s:f>IF($A7="","",IF($J7="",9999+ROW()/100000,IF($M7&gt;$B$3,"",($B$3-$M7)+ROW()/100000)))</s:f>
        <s:v>2.00007</s:v>
      </s:c>
    </s:row>
    <s:row r="8">
      <s:c r="A8" s="67" t="n"/>
      <s:c r="B8" s="67" t="n"/>
      <s:c r="C8" s="67" t="n"/>
      <s:c r="D8" s="67" t="n"/>
      <s:c r="E8" s="67" t="n"/>
      <s:c r="F8" s="67" t="n"/>
      <s:c r="G8" s="67" t="n"/>
      <s:c r="H8" s="68" t="n"/>
      <s:c r="I8" s="69" t="str">
        <s:f>IF($H8="","",$H8*Inputs!$C$12)</s:f>
        <s:v/>
      </s:c>
      <s:c r="J8" s="70" t="n"/>
      <s:c r="K8" s="71" t="str">
        <s:f>IF($J8="","",$B$3-$J8)</s:f>
        <s:v/>
      </s:c>
      <s:c r="L8" s="72" t="str">
        <s:f>IFERROR(INDEX('CRM Playbook'!$C$6:$C$10,MATCH($B8,'CRM Playbook'!$B$6:$B$10,0)),"")</s:f>
        <s:v/>
      </s:c>
      <s:c r="M8" s="73" t="str">
        <s:f>IF(OR($J8="",$L8=""),"",$J8+$L8)</s:f>
        <s:v/>
      </s:c>
      <s:c r="N8" s="74" t="str">
        <s:f>IF($A8="","",IF($J8="","NEW - reach out",IF($M8&lt;$B$3,"OVERDUE",IF($M8&lt;=$B$3+3,"DUE","Current"))))</s:f>
        <s:v/>
      </s:c>
      <s:c r="O8" s="67" t="n"/>
      <s:c r="P8" s="67" t="n"/>
      <s:c r="Q8" s="67" t="n"/>
      <s:c r="R8" s="75" t="str">
        <s:f>IF($A8="","",IF($J8="",9999+ROW()/100000,IF($M8&gt;$B$3,"",($B$3-$M8)+ROW()/100000)))</s:f>
        <s:v/>
      </s:c>
    </s:row>
    <s:row r="9">
      <s:c r="A9" s="65" t="n"/>
      <s:c r="B9" s="65" t="n"/>
      <s:c r="C9" s="65" t="n"/>
      <s:c r="D9" s="65" t="n"/>
      <s:c r="E9" s="65" t="n"/>
      <s:c r="F9" s="65" t="n"/>
      <s:c r="G9" s="65" t="n"/>
      <s:c r="H9" s="76" t="n"/>
      <s:c r="I9" s="59" t="str">
        <s:f>IF($H9="","",$H9*Inputs!$C$12)</s:f>
        <s:v/>
      </s:c>
      <s:c r="J9" s="77" t="n"/>
      <s:c r="K9" s="61" t="str">
        <s:f>IF($J9="","",$B$3-$J9)</s:f>
        <s:v/>
      </s:c>
      <s:c r="L9" s="62" t="str">
        <s:f>IFERROR(INDEX('CRM Playbook'!$C$6:$C$10,MATCH($B9,'CRM Playbook'!$B$6:$B$10,0)),"")</s:f>
        <s:v/>
      </s:c>
      <s:c r="M9" s="63" t="str">
        <s:f>IF(OR($J9="",$L9=""),"",$J9+$L9)</s:f>
        <s:v/>
      </s:c>
      <s:c r="N9" s="64" t="str">
        <s:f>IF($A9="","",IF($J9="","NEW - reach out",IF($M9&lt;$B$3,"OVERDUE",IF($M9&lt;=$B$3+3,"DUE","Current"))))</s:f>
        <s:v/>
      </s:c>
      <s:c r="O9" s="65" t="n"/>
      <s:c r="P9" s="65" t="n"/>
      <s:c r="Q9" s="65" t="n"/>
      <s:c r="R9" s="66" t="str">
        <s:f>IF($A9="","",IF($J9="",9999+ROW()/100000,IF($M9&gt;$B$3,"",($B$3-$M9)+ROW()/100000)))</s:f>
        <s:v/>
      </s:c>
    </s:row>
    <s:row r="10">
      <s:c r="A10" s="67" t="n"/>
      <s:c r="B10" s="67" t="n"/>
      <s:c r="C10" s="67" t="n"/>
      <s:c r="D10" s="67" t="n"/>
      <s:c r="E10" s="67" t="n"/>
      <s:c r="F10" s="67" t="n"/>
      <s:c r="G10" s="67" t="n"/>
      <s:c r="H10" s="68" t="n"/>
      <s:c r="I10" s="69" t="str">
        <s:f>IF($H10="","",$H10*Inputs!$C$12)</s:f>
        <s:v/>
      </s:c>
      <s:c r="J10" s="70" t="n"/>
      <s:c r="K10" s="71" t="str">
        <s:f>IF($J10="","",$B$3-$J10)</s:f>
        <s:v/>
      </s:c>
      <s:c r="L10" s="72" t="str">
        <s:f>IFERROR(INDEX('CRM Playbook'!$C$6:$C$10,MATCH($B10,'CRM Playbook'!$B$6:$B$10,0)),"")</s:f>
        <s:v/>
      </s:c>
      <s:c r="M10" s="73" t="str">
        <s:f>IF(OR($J10="",$L10=""),"",$J10+$L10)</s:f>
        <s:v/>
      </s:c>
      <s:c r="N10" s="74" t="str">
        <s:f>IF($A10="","",IF($J10="","NEW - reach out",IF($M10&lt;$B$3,"OVERDUE",IF($M10&lt;=$B$3+3,"DUE","Current"))))</s:f>
        <s:v/>
      </s:c>
      <s:c r="O10" s="67" t="n"/>
      <s:c r="P10" s="67" t="n"/>
      <s:c r="Q10" s="67" t="n"/>
      <s:c r="R10" s="75" t="str">
        <s:f>IF($A10="","",IF($J10="",9999+ROW()/100000,IF($M10&gt;$B$3,"",($B$3-$M10)+ROW()/100000)))</s:f>
        <s:v/>
      </s:c>
    </s:row>
    <s:row r="11">
      <s:c r="A11" s="65" t="n"/>
      <s:c r="B11" s="65" t="n"/>
      <s:c r="C11" s="65" t="n"/>
      <s:c r="D11" s="65" t="n"/>
      <s:c r="E11" s="65" t="n"/>
      <s:c r="F11" s="65" t="n"/>
      <s:c r="G11" s="65" t="n"/>
      <s:c r="H11" s="76" t="n"/>
      <s:c r="I11" s="59" t="str">
        <s:f>IF($H11="","",$H11*Inputs!$C$12)</s:f>
        <s:v/>
      </s:c>
      <s:c r="J11" s="77" t="n"/>
      <s:c r="K11" s="61" t="str">
        <s:f>IF($J11="","",$B$3-$J11)</s:f>
        <s:v/>
      </s:c>
      <s:c r="L11" s="62" t="str">
        <s:f>IFERROR(INDEX('CRM Playbook'!$C$6:$C$10,MATCH($B11,'CRM Playbook'!$B$6:$B$10,0)),"")</s:f>
        <s:v/>
      </s:c>
      <s:c r="M11" s="63" t="str">
        <s:f>IF(OR($J11="",$L11=""),"",$J11+$L11)</s:f>
        <s:v/>
      </s:c>
      <s:c r="N11" s="64" t="str">
        <s:f>IF($A11="","",IF($J11="","NEW - reach out",IF($M11&lt;$B$3,"OVERDUE",IF($M11&lt;=$B$3+3,"DUE","Current"))))</s:f>
        <s:v/>
      </s:c>
      <s:c r="O11" s="65" t="n"/>
      <s:c r="P11" s="65" t="n"/>
      <s:c r="Q11" s="65" t="n"/>
      <s:c r="R11" s="66" t="str">
        <s:f>IF($A11="","",IF($J11="",9999+ROW()/100000,IF($M11&gt;$B$3,"",($B$3-$M11)+ROW()/100000)))</s:f>
        <s:v/>
      </s:c>
    </s:row>
    <s:row r="12">
      <s:c r="A12" s="67" t="n"/>
      <s:c r="B12" s="67" t="n"/>
      <s:c r="C12" s="67" t="n"/>
      <s:c r="D12" s="67" t="n"/>
      <s:c r="E12" s="67" t="n"/>
      <s:c r="F12" s="67" t="n"/>
      <s:c r="G12" s="67" t="n"/>
      <s:c r="H12" s="68" t="n"/>
      <s:c r="I12" s="69" t="str">
        <s:f>IF($H12="","",$H12*Inputs!$C$12)</s:f>
        <s:v/>
      </s:c>
      <s:c r="J12" s="70" t="n"/>
      <s:c r="K12" s="71" t="str">
        <s:f>IF($J12="","",$B$3-$J12)</s:f>
        <s:v/>
      </s:c>
      <s:c r="L12" s="72" t="str">
        <s:f>IFERROR(INDEX('CRM Playbook'!$C$6:$C$10,MATCH($B12,'CRM Playbook'!$B$6:$B$10,0)),"")</s:f>
        <s:v/>
      </s:c>
      <s:c r="M12" s="73" t="str">
        <s:f>IF(OR($J12="",$L12=""),"",$J12+$L12)</s:f>
        <s:v/>
      </s:c>
      <s:c r="N12" s="74" t="str">
        <s:f>IF($A12="","",IF($J12="","NEW - reach out",IF($M12&lt;$B$3,"OVERDUE",IF($M12&lt;=$B$3+3,"DUE","Current"))))</s:f>
        <s:v/>
      </s:c>
      <s:c r="O12" s="67" t="n"/>
      <s:c r="P12" s="67" t="n"/>
      <s:c r="Q12" s="67" t="n"/>
      <s:c r="R12" s="75" t="str">
        <s:f>IF($A12="","",IF($J12="",9999+ROW()/100000,IF($M12&gt;$B$3,"",($B$3-$M12)+ROW()/100000)))</s:f>
        <s:v/>
      </s:c>
    </s:row>
    <s:row r="13">
      <s:c r="A13" s="65" t="n"/>
      <s:c r="B13" s="65" t="n"/>
      <s:c r="C13" s="65" t="n"/>
      <s:c r="D13" s="65" t="n"/>
      <s:c r="E13" s="65" t="n"/>
      <s:c r="F13" s="65" t="n"/>
      <s:c r="G13" s="65" t="n"/>
      <s:c r="H13" s="76" t="n"/>
      <s:c r="I13" s="59" t="str">
        <s:f>IF($H13="","",$H13*Inputs!$C$12)</s:f>
        <s:v/>
      </s:c>
      <s:c r="J13" s="77" t="n"/>
      <s:c r="K13" s="61" t="str">
        <s:f>IF($J13="","",$B$3-$J13)</s:f>
        <s:v/>
      </s:c>
      <s:c r="L13" s="62" t="str">
        <s:f>IFERROR(INDEX('CRM Playbook'!$C$6:$C$10,MATCH($B13,'CRM Playbook'!$B$6:$B$10,0)),"")</s:f>
        <s:v/>
      </s:c>
      <s:c r="M13" s="63" t="str">
        <s:f>IF(OR($J13="",$L13=""),"",$J13+$L13)</s:f>
        <s:v/>
      </s:c>
      <s:c r="N13" s="64" t="str">
        <s:f>IF($A13="","",IF($J13="","NEW - reach out",IF($M13&lt;$B$3,"OVERDUE",IF($M13&lt;=$B$3+3,"DUE","Current"))))</s:f>
        <s:v/>
      </s:c>
      <s:c r="O13" s="65" t="n"/>
      <s:c r="P13" s="65" t="n"/>
      <s:c r="Q13" s="65" t="n"/>
      <s:c r="R13" s="66" t="str">
        <s:f>IF($A13="","",IF($J13="",9999+ROW()/100000,IF($M13&gt;$B$3,"",($B$3-$M13)+ROW()/100000)))</s:f>
        <s:v/>
      </s:c>
    </s:row>
    <s:row r="14">
      <s:c r="A14" s="67" t="n"/>
      <s:c r="B14" s="67" t="n"/>
      <s:c r="C14" s="67" t="n"/>
      <s:c r="D14" s="67" t="n"/>
      <s:c r="E14" s="67" t="n"/>
      <s:c r="F14" s="67" t="n"/>
      <s:c r="G14" s="67" t="n"/>
      <s:c r="H14" s="68" t="n"/>
      <s:c r="I14" s="69" t="str">
        <s:f>IF($H14="","",$H14*Inputs!$C$12)</s:f>
        <s:v/>
      </s:c>
      <s:c r="J14" s="70" t="n"/>
      <s:c r="K14" s="71" t="str">
        <s:f>IF($J14="","",$B$3-$J14)</s:f>
        <s:v/>
      </s:c>
      <s:c r="L14" s="72" t="str">
        <s:f>IFERROR(INDEX('CRM Playbook'!$C$6:$C$10,MATCH($B14,'CRM Playbook'!$B$6:$B$10,0)),"")</s:f>
        <s:v/>
      </s:c>
      <s:c r="M14" s="73" t="str">
        <s:f>IF(OR($J14="",$L14=""),"",$J14+$L14)</s:f>
        <s:v/>
      </s:c>
      <s:c r="N14" s="74" t="str">
        <s:f>IF($A14="","",IF($J14="","NEW - reach out",IF($M14&lt;$B$3,"OVERDUE",IF($M14&lt;=$B$3+3,"DUE","Current"))))</s:f>
        <s:v/>
      </s:c>
      <s:c r="O14" s="67" t="n"/>
      <s:c r="P14" s="67" t="n"/>
      <s:c r="Q14" s="67" t="n"/>
      <s:c r="R14" s="75" t="str">
        <s:f>IF($A14="","",IF($J14="",9999+ROW()/100000,IF($M14&gt;$B$3,"",($B$3-$M14)+ROW()/100000)))</s:f>
        <s:v/>
      </s:c>
    </s:row>
    <s:row r="15">
      <s:c r="A15" s="65" t="n"/>
      <s:c r="B15" s="65" t="n"/>
      <s:c r="C15" s="65" t="n"/>
      <s:c r="D15" s="65" t="n"/>
      <s:c r="E15" s="65" t="n"/>
      <s:c r="F15" s="65" t="n"/>
      <s:c r="G15" s="65" t="n"/>
      <s:c r="H15" s="76" t="n"/>
      <s:c r="I15" s="59" t="str">
        <s:f>IF($H15="","",$H15*Inputs!$C$12)</s:f>
        <s:v/>
      </s:c>
      <s:c r="J15" s="77" t="n"/>
      <s:c r="K15" s="61" t="str">
        <s:f>IF($J15="","",$B$3-$J15)</s:f>
        <s:v/>
      </s:c>
      <s:c r="L15" s="62" t="str">
        <s:f>IFERROR(INDEX('CRM Playbook'!$C$6:$C$10,MATCH($B15,'CRM Playbook'!$B$6:$B$10,0)),"")</s:f>
        <s:v/>
      </s:c>
      <s:c r="M15" s="63" t="str">
        <s:f>IF(OR($J15="",$L15=""),"",$J15+$L15)</s:f>
        <s:v/>
      </s:c>
      <s:c r="N15" s="64" t="str">
        <s:f>IF($A15="","",IF($J15="","NEW - reach out",IF($M15&lt;$B$3,"OVERDUE",IF($M15&lt;=$B$3+3,"DUE","Current"))))</s:f>
        <s:v/>
      </s:c>
      <s:c r="O15" s="65" t="n"/>
      <s:c r="P15" s="65" t="n"/>
      <s:c r="Q15" s="65" t="n"/>
      <s:c r="R15" s="66" t="str">
        <s:f>IF($A15="","",IF($J15="",9999+ROW()/100000,IF($M15&gt;$B$3,"",($B$3-$M15)+ROW()/100000)))</s:f>
        <s:v/>
      </s:c>
    </s:row>
    <s:row r="16">
      <s:c r="A16" s="67" t="n"/>
      <s:c r="B16" s="67" t="n"/>
      <s:c r="C16" s="67" t="n"/>
      <s:c r="D16" s="67" t="n"/>
      <s:c r="E16" s="67" t="n"/>
      <s:c r="F16" s="67" t="n"/>
      <s:c r="G16" s="67" t="n"/>
      <s:c r="H16" s="68" t="n"/>
      <s:c r="I16" s="69" t="str">
        <s:f>IF($H16="","",$H16*Inputs!$C$12)</s:f>
        <s:v/>
      </s:c>
      <s:c r="J16" s="70" t="n"/>
      <s:c r="K16" s="71" t="str">
        <s:f>IF($J16="","",$B$3-$J16)</s:f>
        <s:v/>
      </s:c>
      <s:c r="L16" s="72" t="str">
        <s:f>IFERROR(INDEX('CRM Playbook'!$C$6:$C$10,MATCH($B16,'CRM Playbook'!$B$6:$B$10,0)),"")</s:f>
        <s:v/>
      </s:c>
      <s:c r="M16" s="73" t="str">
        <s:f>IF(OR($J16="",$L16=""),"",$J16+$L16)</s:f>
        <s:v/>
      </s:c>
      <s:c r="N16" s="74" t="str">
        <s:f>IF($A16="","",IF($J16="","NEW - reach out",IF($M16&lt;$B$3,"OVERDUE",IF($M16&lt;=$B$3+3,"DUE","Current"))))</s:f>
        <s:v/>
      </s:c>
      <s:c r="O16" s="67" t="n"/>
      <s:c r="P16" s="67" t="n"/>
      <s:c r="Q16" s="67" t="n"/>
      <s:c r="R16" s="75" t="str">
        <s:f>IF($A16="","",IF($J16="",9999+ROW()/100000,IF($M16&gt;$B$3,"",($B$3-$M16)+ROW()/100000)))</s:f>
        <s:v/>
      </s:c>
    </s:row>
    <s:row r="17">
      <s:c r="A17" s="65" t="n"/>
      <s:c r="B17" s="65" t="n"/>
      <s:c r="C17" s="65" t="n"/>
      <s:c r="D17" s="65" t="n"/>
      <s:c r="E17" s="65" t="n"/>
      <s:c r="F17" s="65" t="n"/>
      <s:c r="G17" s="65" t="n"/>
      <s:c r="H17" s="76" t="n"/>
      <s:c r="I17" s="59" t="str">
        <s:f>IF($H17="","",$H17*Inputs!$C$12)</s:f>
        <s:v/>
      </s:c>
      <s:c r="J17" s="77" t="n"/>
      <s:c r="K17" s="61" t="str">
        <s:f>IF($J17="","",$B$3-$J17)</s:f>
        <s:v/>
      </s:c>
      <s:c r="L17" s="62" t="str">
        <s:f>IFERROR(INDEX('CRM Playbook'!$C$6:$C$10,MATCH($B17,'CRM Playbook'!$B$6:$B$10,0)),"")</s:f>
        <s:v/>
      </s:c>
      <s:c r="M17" s="63" t="str">
        <s:f>IF(OR($J17="",$L17=""),"",$J17+$L17)</s:f>
        <s:v/>
      </s:c>
      <s:c r="N17" s="64" t="str">
        <s:f>IF($A17="","",IF($J17="","NEW - reach out",IF($M17&lt;$B$3,"OVERDUE",IF($M17&lt;=$B$3+3,"DUE","Current"))))</s:f>
        <s:v/>
      </s:c>
      <s:c r="O17" s="65" t="n"/>
      <s:c r="P17" s="65" t="n"/>
      <s:c r="Q17" s="65" t="n"/>
      <s:c r="R17" s="66" t="str">
        <s:f>IF($A17="","",IF($J17="",9999+ROW()/100000,IF($M17&gt;$B$3,"",($B$3-$M17)+ROW()/100000)))</s:f>
        <s:v/>
      </s:c>
    </s:row>
    <s:row r="18">
      <s:c r="A18" s="67" t="n"/>
      <s:c r="B18" s="67" t="n"/>
      <s:c r="C18" s="67" t="n"/>
      <s:c r="D18" s="67" t="n"/>
      <s:c r="E18" s="67" t="n"/>
      <s:c r="F18" s="67" t="n"/>
      <s:c r="G18" s="67" t="n"/>
      <s:c r="H18" s="68" t="n"/>
      <s:c r="I18" s="69" t="str">
        <s:f>IF($H18="","",$H18*Inputs!$C$12)</s:f>
        <s:v/>
      </s:c>
      <s:c r="J18" s="70" t="n"/>
      <s:c r="K18" s="71" t="str">
        <s:f>IF($J18="","",$B$3-$J18)</s:f>
        <s:v/>
      </s:c>
      <s:c r="L18" s="72" t="str">
        <s:f>IFERROR(INDEX('CRM Playbook'!$C$6:$C$10,MATCH($B18,'CRM Playbook'!$B$6:$B$10,0)),"")</s:f>
        <s:v/>
      </s:c>
      <s:c r="M18" s="73" t="str">
        <s:f>IF(OR($J18="",$L18=""),"",$J18+$L18)</s:f>
        <s:v/>
      </s:c>
      <s:c r="N18" s="74" t="str">
        <s:f>IF($A18="","",IF($J18="","NEW - reach out",IF($M18&lt;$B$3,"OVERDUE",IF($M18&lt;=$B$3+3,"DUE","Current"))))</s:f>
        <s:v/>
      </s:c>
      <s:c r="O18" s="67" t="n"/>
      <s:c r="P18" s="67" t="n"/>
      <s:c r="Q18" s="67" t="n"/>
      <s:c r="R18" s="75" t="str">
        <s:f>IF($A18="","",IF($J18="",9999+ROW()/100000,IF($M18&gt;$B$3,"",($B$3-$M18)+ROW()/100000)))</s:f>
        <s:v/>
      </s:c>
    </s:row>
    <s:row r="19">
      <s:c r="A19" s="65" t="n"/>
      <s:c r="B19" s="65" t="n"/>
      <s:c r="C19" s="65" t="n"/>
      <s:c r="D19" s="65" t="n"/>
      <s:c r="E19" s="65" t="n"/>
      <s:c r="F19" s="65" t="n"/>
      <s:c r="G19" s="65" t="n"/>
      <s:c r="H19" s="76" t="n"/>
      <s:c r="I19" s="59" t="str">
        <s:f>IF($H19="","",$H19*Inputs!$C$12)</s:f>
        <s:v/>
      </s:c>
      <s:c r="J19" s="77" t="n"/>
      <s:c r="K19" s="61" t="str">
        <s:f>IF($J19="","",$B$3-$J19)</s:f>
        <s:v/>
      </s:c>
      <s:c r="L19" s="62" t="str">
        <s:f>IFERROR(INDEX('CRM Playbook'!$C$6:$C$10,MATCH($B19,'CRM Playbook'!$B$6:$B$10,0)),"")</s:f>
        <s:v/>
      </s:c>
      <s:c r="M19" s="63" t="str">
        <s:f>IF(OR($J19="",$L19=""),"",$J19+$L19)</s:f>
        <s:v/>
      </s:c>
      <s:c r="N19" s="64" t="str">
        <s:f>IF($A19="","",IF($J19="","NEW - reach out",IF($M19&lt;$B$3,"OVERDUE",IF($M19&lt;=$B$3+3,"DUE","Current"))))</s:f>
        <s:v/>
      </s:c>
      <s:c r="O19" s="65" t="n"/>
      <s:c r="P19" s="65" t="n"/>
      <s:c r="Q19" s="65" t="n"/>
      <s:c r="R19" s="66" t="str">
        <s:f>IF($A19="","",IF($J19="",9999+ROW()/100000,IF($M19&gt;$B$3,"",($B$3-$M19)+ROW()/100000)))</s:f>
        <s:v/>
      </s:c>
    </s:row>
    <s:row r="20">
      <s:c r="A20" s="67" t="n"/>
      <s:c r="B20" s="67" t="n"/>
      <s:c r="C20" s="67" t="n"/>
      <s:c r="D20" s="67" t="n"/>
      <s:c r="E20" s="67" t="n"/>
      <s:c r="F20" s="67" t="n"/>
      <s:c r="G20" s="67" t="n"/>
      <s:c r="H20" s="68" t="n"/>
      <s:c r="I20" s="69" t="str">
        <s:f>IF($H20="","",$H20*Inputs!$C$12)</s:f>
        <s:v/>
      </s:c>
      <s:c r="J20" s="70" t="n"/>
      <s:c r="K20" s="71" t="str">
        <s:f>IF($J20="","",$B$3-$J20)</s:f>
        <s:v/>
      </s:c>
      <s:c r="L20" s="72" t="str">
        <s:f>IFERROR(INDEX('CRM Playbook'!$C$6:$C$10,MATCH($B20,'CRM Playbook'!$B$6:$B$10,0)),"")</s:f>
        <s:v/>
      </s:c>
      <s:c r="M20" s="73" t="str">
        <s:f>IF(OR($J20="",$L20=""),"",$J20+$L20)</s:f>
        <s:v/>
      </s:c>
      <s:c r="N20" s="74" t="str">
        <s:f>IF($A20="","",IF($J20="","NEW - reach out",IF($M20&lt;$B$3,"OVERDUE",IF($M20&lt;=$B$3+3,"DUE","Current"))))</s:f>
        <s:v/>
      </s:c>
      <s:c r="O20" s="67" t="n"/>
      <s:c r="P20" s="67" t="n"/>
      <s:c r="Q20" s="67" t="n"/>
      <s:c r="R20" s="75" t="str">
        <s:f>IF($A20="","",IF($J20="",9999+ROW()/100000,IF($M20&gt;$B$3,"",($B$3-$M20)+ROW()/100000)))</s:f>
        <s:v/>
      </s:c>
    </s:row>
    <s:row r="21">
      <s:c r="A21" s="65" t="n"/>
      <s:c r="B21" s="65" t="n"/>
      <s:c r="C21" s="65" t="n"/>
      <s:c r="D21" s="65" t="n"/>
      <s:c r="E21" s="65" t="n"/>
      <s:c r="F21" s="65" t="n"/>
      <s:c r="G21" s="65" t="n"/>
      <s:c r="H21" s="76" t="n"/>
      <s:c r="I21" s="59" t="str">
        <s:f>IF($H21="","",$H21*Inputs!$C$12)</s:f>
        <s:v/>
      </s:c>
      <s:c r="J21" s="77" t="n"/>
      <s:c r="K21" s="61" t="str">
        <s:f>IF($J21="","",$B$3-$J21)</s:f>
        <s:v/>
      </s:c>
      <s:c r="L21" s="62" t="str">
        <s:f>IFERROR(INDEX('CRM Playbook'!$C$6:$C$10,MATCH($B21,'CRM Playbook'!$B$6:$B$10,0)),"")</s:f>
        <s:v/>
      </s:c>
      <s:c r="M21" s="63" t="str">
        <s:f>IF(OR($J21="",$L21=""),"",$J21+$L21)</s:f>
        <s:v/>
      </s:c>
      <s:c r="N21" s="64" t="str">
        <s:f>IF($A21="","",IF($J21="","NEW - reach out",IF($M21&lt;$B$3,"OVERDUE",IF($M21&lt;=$B$3+3,"DUE","Current"))))</s:f>
        <s:v/>
      </s:c>
      <s:c r="O21" s="65" t="n"/>
      <s:c r="P21" s="65" t="n"/>
      <s:c r="Q21" s="65" t="n"/>
      <s:c r="R21" s="66" t="str">
        <s:f>IF($A21="","",IF($J21="",9999+ROW()/100000,IF($M21&gt;$B$3,"",($B$3-$M21)+ROW()/100000)))</s:f>
        <s:v/>
      </s:c>
    </s:row>
    <s:row r="22">
      <s:c r="A22" s="67" t="n"/>
      <s:c r="B22" s="67" t="n"/>
      <s:c r="C22" s="67" t="n"/>
      <s:c r="D22" s="67" t="n"/>
      <s:c r="E22" s="67" t="n"/>
      <s:c r="F22" s="67" t="n"/>
      <s:c r="G22" s="67" t="n"/>
      <s:c r="H22" s="68" t="n"/>
      <s:c r="I22" s="69" t="str">
        <s:f>IF($H22="","",$H22*Inputs!$C$12)</s:f>
        <s:v/>
      </s:c>
      <s:c r="J22" s="70" t="n"/>
      <s:c r="K22" s="71" t="str">
        <s:f>IF($J22="","",$B$3-$J22)</s:f>
        <s:v/>
      </s:c>
      <s:c r="L22" s="72" t="str">
        <s:f>IFERROR(INDEX('CRM Playbook'!$C$6:$C$10,MATCH($B22,'CRM Playbook'!$B$6:$B$10,0)),"")</s:f>
        <s:v/>
      </s:c>
      <s:c r="M22" s="73" t="str">
        <s:f>IF(OR($J22="",$L22=""),"",$J22+$L22)</s:f>
        <s:v/>
      </s:c>
      <s:c r="N22" s="74" t="str">
        <s:f>IF($A22="","",IF($J22="","NEW - reach out",IF($M22&lt;$B$3,"OVERDUE",IF($M22&lt;=$B$3+3,"DUE","Current"))))</s:f>
        <s:v/>
      </s:c>
      <s:c r="O22" s="67" t="n"/>
      <s:c r="P22" s="67" t="n"/>
      <s:c r="Q22" s="67" t="n"/>
      <s:c r="R22" s="75" t="str">
        <s:f>IF($A22="","",IF($J22="",9999+ROW()/100000,IF($M22&gt;$B$3,"",($B$3-$M22)+ROW()/100000)))</s:f>
        <s:v/>
      </s:c>
    </s:row>
    <s:row r="23">
      <s:c r="A23" s="65" t="n"/>
      <s:c r="B23" s="65" t="n"/>
      <s:c r="C23" s="65" t="n"/>
      <s:c r="D23" s="65" t="n"/>
      <s:c r="E23" s="65" t="n"/>
      <s:c r="F23" s="65" t="n"/>
      <s:c r="G23" s="65" t="n"/>
      <s:c r="H23" s="76" t="n"/>
      <s:c r="I23" s="59" t="str">
        <s:f>IF($H23="","",$H23*Inputs!$C$12)</s:f>
        <s:v/>
      </s:c>
      <s:c r="J23" s="77" t="n"/>
      <s:c r="K23" s="61" t="str">
        <s:f>IF($J23="","",$B$3-$J23)</s:f>
        <s:v/>
      </s:c>
      <s:c r="L23" s="62" t="str">
        <s:f>IFERROR(INDEX('CRM Playbook'!$C$6:$C$10,MATCH($B23,'CRM Playbook'!$B$6:$B$10,0)),"")</s:f>
        <s:v/>
      </s:c>
      <s:c r="M23" s="63" t="str">
        <s:f>IF(OR($J23="",$L23=""),"",$J23+$L23)</s:f>
        <s:v/>
      </s:c>
      <s:c r="N23" s="64" t="str">
        <s:f>IF($A23="","",IF($J23="","NEW - reach out",IF($M23&lt;$B$3,"OVERDUE",IF($M23&lt;=$B$3+3,"DUE","Current"))))</s:f>
        <s:v/>
      </s:c>
      <s:c r="O23" s="65" t="n"/>
      <s:c r="P23" s="65" t="n"/>
      <s:c r="Q23" s="65" t="n"/>
      <s:c r="R23" s="66" t="str">
        <s:f>IF($A23="","",IF($J23="",9999+ROW()/100000,IF($M23&gt;$B$3,"",($B$3-$M23)+ROW()/100000)))</s:f>
        <s:v/>
      </s:c>
    </s:row>
    <s:row r="24">
      <s:c r="A24" s="67" t="n"/>
      <s:c r="B24" s="67" t="n"/>
      <s:c r="C24" s="67" t="n"/>
      <s:c r="D24" s="67" t="n"/>
      <s:c r="E24" s="67" t="n"/>
      <s:c r="F24" s="67" t="n"/>
      <s:c r="G24" s="67" t="n"/>
      <s:c r="H24" s="68" t="n"/>
      <s:c r="I24" s="69" t="str">
        <s:f>IF($H24="","",$H24*Inputs!$C$12)</s:f>
        <s:v/>
      </s:c>
      <s:c r="J24" s="70" t="n"/>
      <s:c r="K24" s="71" t="str">
        <s:f>IF($J24="","",$B$3-$J24)</s:f>
        <s:v/>
      </s:c>
      <s:c r="L24" s="72" t="str">
        <s:f>IFERROR(INDEX('CRM Playbook'!$C$6:$C$10,MATCH($B24,'CRM Playbook'!$B$6:$B$10,0)),"")</s:f>
        <s:v/>
      </s:c>
      <s:c r="M24" s="73" t="str">
        <s:f>IF(OR($J24="",$L24=""),"",$J24+$L24)</s:f>
        <s:v/>
      </s:c>
      <s:c r="N24" s="74" t="str">
        <s:f>IF($A24="","",IF($J24="","NEW - reach out",IF($M24&lt;$B$3,"OVERDUE",IF($M24&lt;=$B$3+3,"DUE","Current"))))</s:f>
        <s:v/>
      </s:c>
      <s:c r="O24" s="67" t="n"/>
      <s:c r="P24" s="67" t="n"/>
      <s:c r="Q24" s="67" t="n"/>
      <s:c r="R24" s="75" t="str">
        <s:f>IF($A24="","",IF($J24="",9999+ROW()/100000,IF($M24&gt;$B$3,"",($B$3-$M24)+ROW()/100000)))</s:f>
        <s:v/>
      </s:c>
    </s:row>
    <s:row r="25">
      <s:c r="A25" s="65" t="n"/>
      <s:c r="B25" s="65" t="n"/>
      <s:c r="C25" s="65" t="n"/>
      <s:c r="D25" s="65" t="n"/>
      <s:c r="E25" s="65" t="n"/>
      <s:c r="F25" s="65" t="n"/>
      <s:c r="G25" s="65" t="n"/>
      <s:c r="H25" s="76" t="n"/>
      <s:c r="I25" s="59" t="str">
        <s:f>IF($H25="","",$H25*Inputs!$C$12)</s:f>
        <s:v/>
      </s:c>
      <s:c r="J25" s="77" t="n"/>
      <s:c r="K25" s="61" t="str">
        <s:f>IF($J25="","",$B$3-$J25)</s:f>
        <s:v/>
      </s:c>
      <s:c r="L25" s="62" t="str">
        <s:f>IFERROR(INDEX('CRM Playbook'!$C$6:$C$10,MATCH($B25,'CRM Playbook'!$B$6:$B$10,0)),"")</s:f>
        <s:v/>
      </s:c>
      <s:c r="M25" s="63" t="str">
        <s:f>IF(OR($J25="",$L25=""),"",$J25+$L25)</s:f>
        <s:v/>
      </s:c>
      <s:c r="N25" s="64" t="str">
        <s:f>IF($A25="","",IF($J25="","NEW - reach out",IF($M25&lt;$B$3,"OVERDUE",IF($M25&lt;=$B$3+3,"DUE","Current"))))</s:f>
        <s:v/>
      </s:c>
      <s:c r="O25" s="65" t="n"/>
      <s:c r="P25" s="65" t="n"/>
      <s:c r="Q25" s="65" t="n"/>
      <s:c r="R25" s="66" t="str">
        <s:f>IF($A25="","",IF($J25="",9999+ROW()/100000,IF($M25&gt;$B$3,"",($B$3-$M25)+ROW()/100000)))</s:f>
        <s:v/>
      </s:c>
    </s:row>
    <s:row r="26">
      <s:c r="A26" s="67" t="n"/>
      <s:c r="B26" s="67" t="n"/>
      <s:c r="C26" s="67" t="n"/>
      <s:c r="D26" s="67" t="n"/>
      <s:c r="E26" s="67" t="n"/>
      <s:c r="F26" s="67" t="n"/>
      <s:c r="G26" s="67" t="n"/>
      <s:c r="H26" s="68" t="n"/>
      <s:c r="I26" s="69" t="str">
        <s:f>IF($H26="","",$H26*Inputs!$C$12)</s:f>
        <s:v/>
      </s:c>
      <s:c r="J26" s="70" t="n"/>
      <s:c r="K26" s="71" t="str">
        <s:f>IF($J26="","",$B$3-$J26)</s:f>
        <s:v/>
      </s:c>
      <s:c r="L26" s="72" t="str">
        <s:f>IFERROR(INDEX('CRM Playbook'!$C$6:$C$10,MATCH($B26,'CRM Playbook'!$B$6:$B$10,0)),"")</s:f>
        <s:v/>
      </s:c>
      <s:c r="M26" s="73" t="str">
        <s:f>IF(OR($J26="",$L26=""),"",$J26+$L26)</s:f>
        <s:v/>
      </s:c>
      <s:c r="N26" s="74" t="str">
        <s:f>IF($A26="","",IF($J26="","NEW - reach out",IF($M26&lt;$B$3,"OVERDUE",IF($M26&lt;=$B$3+3,"DUE","Current"))))</s:f>
        <s:v/>
      </s:c>
      <s:c r="O26" s="67" t="n"/>
      <s:c r="P26" s="67" t="n"/>
      <s:c r="Q26" s="67" t="n"/>
      <s:c r="R26" s="75" t="str">
        <s:f>IF($A26="","",IF($J26="",9999+ROW()/100000,IF($M26&gt;$B$3,"",($B$3-$M26)+ROW()/100000)))</s:f>
        <s:v/>
      </s:c>
    </s:row>
    <s:row r="27">
      <s:c r="A27" s="65" t="n"/>
      <s:c r="B27" s="65" t="n"/>
      <s:c r="C27" s="65" t="n"/>
      <s:c r="D27" s="65" t="n"/>
      <s:c r="E27" s="65" t="n"/>
      <s:c r="F27" s="65" t="n"/>
      <s:c r="G27" s="65" t="n"/>
      <s:c r="H27" s="76" t="n"/>
      <s:c r="I27" s="59" t="str">
        <s:f>IF($H27="","",$H27*Inputs!$C$12)</s:f>
        <s:v/>
      </s:c>
      <s:c r="J27" s="77" t="n"/>
      <s:c r="K27" s="61" t="str">
        <s:f>IF($J27="","",$B$3-$J27)</s:f>
        <s:v/>
      </s:c>
      <s:c r="L27" s="62" t="str">
        <s:f>IFERROR(INDEX('CRM Playbook'!$C$6:$C$10,MATCH($B27,'CRM Playbook'!$B$6:$B$10,0)),"")</s:f>
        <s:v/>
      </s:c>
      <s:c r="M27" s="63" t="str">
        <s:f>IF(OR($J27="",$L27=""),"",$J27+$L27)</s:f>
        <s:v/>
      </s:c>
      <s:c r="N27" s="64" t="str">
        <s:f>IF($A27="","",IF($J27="","NEW - reach out",IF($M27&lt;$B$3,"OVERDUE",IF($M27&lt;=$B$3+3,"DUE","Current"))))</s:f>
        <s:v/>
      </s:c>
      <s:c r="O27" s="65" t="n"/>
      <s:c r="P27" s="65" t="n"/>
      <s:c r="Q27" s="65" t="n"/>
      <s:c r="R27" s="66" t="str">
        <s:f>IF($A27="","",IF($J27="",9999+ROW()/100000,IF($M27&gt;$B$3,"",($B$3-$M27)+ROW()/100000)))</s:f>
        <s:v/>
      </s:c>
    </s:row>
    <s:row r="28">
      <s:c r="A28" s="67" t="n"/>
      <s:c r="B28" s="67" t="n"/>
      <s:c r="C28" s="67" t="n"/>
      <s:c r="D28" s="67" t="n"/>
      <s:c r="E28" s="67" t="n"/>
      <s:c r="F28" s="67" t="n"/>
      <s:c r="G28" s="67" t="n"/>
      <s:c r="H28" s="68" t="n"/>
      <s:c r="I28" s="69" t="str">
        <s:f>IF($H28="","",$H28*Inputs!$C$12)</s:f>
        <s:v/>
      </s:c>
      <s:c r="J28" s="70" t="n"/>
      <s:c r="K28" s="71" t="str">
        <s:f>IF($J28="","",$B$3-$J28)</s:f>
        <s:v/>
      </s:c>
      <s:c r="L28" s="72" t="str">
        <s:f>IFERROR(INDEX('CRM Playbook'!$C$6:$C$10,MATCH($B28,'CRM Playbook'!$B$6:$B$10,0)),"")</s:f>
        <s:v/>
      </s:c>
      <s:c r="M28" s="73" t="str">
        <s:f>IF(OR($J28="",$L28=""),"",$J28+$L28)</s:f>
        <s:v/>
      </s:c>
      <s:c r="N28" s="74" t="str">
        <s:f>IF($A28="","",IF($J28="","NEW - reach out",IF($M28&lt;$B$3,"OVERDUE",IF($M28&lt;=$B$3+3,"DUE","Current"))))</s:f>
        <s:v/>
      </s:c>
      <s:c r="O28" s="67" t="n"/>
      <s:c r="P28" s="67" t="n"/>
      <s:c r="Q28" s="67" t="n"/>
      <s:c r="R28" s="75" t="str">
        <s:f>IF($A28="","",IF($J28="",9999+ROW()/100000,IF($M28&gt;$B$3,"",($B$3-$M28)+ROW()/100000)))</s:f>
        <s:v/>
      </s:c>
    </s:row>
    <s:row r="29">
      <s:c r="A29" s="65" t="n"/>
      <s:c r="B29" s="65" t="n"/>
      <s:c r="C29" s="65" t="n"/>
      <s:c r="D29" s="65" t="n"/>
      <s:c r="E29" s="65" t="n"/>
      <s:c r="F29" s="65" t="n"/>
      <s:c r="G29" s="65" t="n"/>
      <s:c r="H29" s="76" t="n"/>
      <s:c r="I29" s="59" t="str">
        <s:f>IF($H29="","",$H29*Inputs!$C$12)</s:f>
        <s:v/>
      </s:c>
      <s:c r="J29" s="77" t="n"/>
      <s:c r="K29" s="61" t="str">
        <s:f>IF($J29="","",$B$3-$J29)</s:f>
        <s:v/>
      </s:c>
      <s:c r="L29" s="62" t="str">
        <s:f>IFERROR(INDEX('CRM Playbook'!$C$6:$C$10,MATCH($B29,'CRM Playbook'!$B$6:$B$10,0)),"")</s:f>
        <s:v/>
      </s:c>
      <s:c r="M29" s="63" t="str">
        <s:f>IF(OR($J29="",$L29=""),"",$J29+$L29)</s:f>
        <s:v/>
      </s:c>
      <s:c r="N29" s="64" t="str">
        <s:f>IF($A29="","",IF($J29="","NEW - reach out",IF($M29&lt;$B$3,"OVERDUE",IF($M29&lt;=$B$3+3,"DUE","Current"))))</s:f>
        <s:v/>
      </s:c>
      <s:c r="O29" s="65" t="n"/>
      <s:c r="P29" s="65" t="n"/>
      <s:c r="Q29" s="65" t="n"/>
      <s:c r="R29" s="66" t="str">
        <s:f>IF($A29="","",IF($J29="",9999+ROW()/100000,IF($M29&gt;$B$3,"",($B$3-$M29)+ROW()/100000)))</s:f>
        <s:v/>
      </s:c>
    </s:row>
    <s:row r="30">
      <s:c r="A30" s="67" t="n"/>
      <s:c r="B30" s="67" t="n"/>
      <s:c r="C30" s="67" t="n"/>
      <s:c r="D30" s="67" t="n"/>
      <s:c r="E30" s="67" t="n"/>
      <s:c r="F30" s="67" t="n"/>
      <s:c r="G30" s="67" t="n"/>
      <s:c r="H30" s="68" t="n"/>
      <s:c r="I30" s="69" t="str">
        <s:f>IF($H30="","",$H30*Inputs!$C$12)</s:f>
        <s:v/>
      </s:c>
      <s:c r="J30" s="70" t="n"/>
      <s:c r="K30" s="71" t="str">
        <s:f>IF($J30="","",$B$3-$J30)</s:f>
        <s:v/>
      </s:c>
      <s:c r="L30" s="72" t="str">
        <s:f>IFERROR(INDEX('CRM Playbook'!$C$6:$C$10,MATCH($B30,'CRM Playbook'!$B$6:$B$10,0)),"")</s:f>
        <s:v/>
      </s:c>
      <s:c r="M30" s="73" t="str">
        <s:f>IF(OR($J30="",$L30=""),"",$J30+$L30)</s:f>
        <s:v/>
      </s:c>
      <s:c r="N30" s="74" t="str">
        <s:f>IF($A30="","",IF($J30="","NEW - reach out",IF($M30&lt;$B$3,"OVERDUE",IF($M30&lt;=$B$3+3,"DUE","Current"))))</s:f>
        <s:v/>
      </s:c>
      <s:c r="O30" s="67" t="n"/>
      <s:c r="P30" s="67" t="n"/>
      <s:c r="Q30" s="67" t="n"/>
      <s:c r="R30" s="75" t="str">
        <s:f>IF($A30="","",IF($J30="",9999+ROW()/100000,IF($M30&gt;$B$3,"",($B$3-$M30)+ROW()/100000)))</s:f>
        <s:v/>
      </s:c>
    </s:row>
    <s:row r="31">
      <s:c r="A31" s="65" t="n"/>
      <s:c r="B31" s="65" t="n"/>
      <s:c r="C31" s="65" t="n"/>
      <s:c r="D31" s="65" t="n"/>
      <s:c r="E31" s="65" t="n"/>
      <s:c r="F31" s="65" t="n"/>
      <s:c r="G31" s="65" t="n"/>
      <s:c r="H31" s="76" t="n"/>
      <s:c r="I31" s="59" t="str">
        <s:f>IF($H31="","",$H31*Inputs!$C$12)</s:f>
        <s:v/>
      </s:c>
      <s:c r="J31" s="77" t="n"/>
      <s:c r="K31" s="61" t="str">
        <s:f>IF($J31="","",$B$3-$J31)</s:f>
        <s:v/>
      </s:c>
      <s:c r="L31" s="62" t="str">
        <s:f>IFERROR(INDEX('CRM Playbook'!$C$6:$C$10,MATCH($B31,'CRM Playbook'!$B$6:$B$10,0)),"")</s:f>
        <s:v/>
      </s:c>
      <s:c r="M31" s="63" t="str">
        <s:f>IF(OR($J31="",$L31=""),"",$J31+$L31)</s:f>
        <s:v/>
      </s:c>
      <s:c r="N31" s="64" t="str">
        <s:f>IF($A31="","",IF($J31="","NEW - reach out",IF($M31&lt;$B$3,"OVERDUE",IF($M31&lt;=$B$3+3,"DUE","Current"))))</s:f>
        <s:v/>
      </s:c>
      <s:c r="O31" s="65" t="n"/>
      <s:c r="P31" s="65" t="n"/>
      <s:c r="Q31" s="65" t="n"/>
      <s:c r="R31" s="66" t="str">
        <s:f>IF($A31="","",IF($J31="",9999+ROW()/100000,IF($M31&gt;$B$3,"",($B$3-$M31)+ROW()/100000)))</s:f>
        <s:v/>
      </s:c>
    </s:row>
    <s:row r="32">
      <s:c r="A32" s="67" t="n"/>
      <s:c r="B32" s="67" t="n"/>
      <s:c r="C32" s="67" t="n"/>
      <s:c r="D32" s="67" t="n"/>
      <s:c r="E32" s="67" t="n"/>
      <s:c r="F32" s="67" t="n"/>
      <s:c r="G32" s="67" t="n"/>
      <s:c r="H32" s="68" t="n"/>
      <s:c r="I32" s="69" t="str">
        <s:f>IF($H32="","",$H32*Inputs!$C$12)</s:f>
        <s:v/>
      </s:c>
      <s:c r="J32" s="70" t="n"/>
      <s:c r="K32" s="71" t="str">
        <s:f>IF($J32="","",$B$3-$J32)</s:f>
        <s:v/>
      </s:c>
      <s:c r="L32" s="72" t="str">
        <s:f>IFERROR(INDEX('CRM Playbook'!$C$6:$C$10,MATCH($B32,'CRM Playbook'!$B$6:$B$10,0)),"")</s:f>
        <s:v/>
      </s:c>
      <s:c r="M32" s="73" t="str">
        <s:f>IF(OR($J32="",$L32=""),"",$J32+$L32)</s:f>
        <s:v/>
      </s:c>
      <s:c r="N32" s="74" t="str">
        <s:f>IF($A32="","",IF($J32="","NEW - reach out",IF($M32&lt;$B$3,"OVERDUE",IF($M32&lt;=$B$3+3,"DUE","Current"))))</s:f>
        <s:v/>
      </s:c>
      <s:c r="O32" s="67" t="n"/>
      <s:c r="P32" s="67" t="n"/>
      <s:c r="Q32" s="67" t="n"/>
      <s:c r="R32" s="75" t="str">
        <s:f>IF($A32="","",IF($J32="",9999+ROW()/100000,IF($M32&gt;$B$3,"",($B$3-$M32)+ROW()/100000)))</s:f>
        <s:v/>
      </s:c>
    </s:row>
    <s:row r="33">
      <s:c r="A33" s="65" t="n"/>
      <s:c r="B33" s="65" t="n"/>
      <s:c r="C33" s="65" t="n"/>
      <s:c r="D33" s="65" t="n"/>
      <s:c r="E33" s="65" t="n"/>
      <s:c r="F33" s="65" t="n"/>
      <s:c r="G33" s="65" t="n"/>
      <s:c r="H33" s="76" t="n"/>
      <s:c r="I33" s="59" t="str">
        <s:f>IF($H33="","",$H33*Inputs!$C$12)</s:f>
        <s:v/>
      </s:c>
      <s:c r="J33" s="77" t="n"/>
      <s:c r="K33" s="61" t="str">
        <s:f>IF($J33="","",$B$3-$J33)</s:f>
        <s:v/>
      </s:c>
      <s:c r="L33" s="62" t="str">
        <s:f>IFERROR(INDEX('CRM Playbook'!$C$6:$C$10,MATCH($B33,'CRM Playbook'!$B$6:$B$10,0)),"")</s:f>
        <s:v/>
      </s:c>
      <s:c r="M33" s="63" t="str">
        <s:f>IF(OR($J33="",$L33=""),"",$J33+$L33)</s:f>
        <s:v/>
      </s:c>
      <s:c r="N33" s="64" t="str">
        <s:f>IF($A33="","",IF($J33="","NEW - reach out",IF($M33&lt;$B$3,"OVERDUE",IF($M33&lt;=$B$3+3,"DUE","Current"))))</s:f>
        <s:v/>
      </s:c>
      <s:c r="O33" s="65" t="n"/>
      <s:c r="P33" s="65" t="n"/>
      <s:c r="Q33" s="65" t="n"/>
      <s:c r="R33" s="66" t="str">
        <s:f>IF($A33="","",IF($J33="",9999+ROW()/100000,IF($M33&gt;$B$3,"",($B$3-$M33)+ROW()/100000)))</s:f>
        <s:v/>
      </s:c>
    </s:row>
    <s:row r="34">
      <s:c r="A34" s="67" t="n"/>
      <s:c r="B34" s="67" t="n"/>
      <s:c r="C34" s="67" t="n"/>
      <s:c r="D34" s="67" t="n"/>
      <s:c r="E34" s="67" t="n"/>
      <s:c r="F34" s="67" t="n"/>
      <s:c r="G34" s="67" t="n"/>
      <s:c r="H34" s="68" t="n"/>
      <s:c r="I34" s="69" t="str">
        <s:f>IF($H34="","",$H34*Inputs!$C$12)</s:f>
        <s:v/>
      </s:c>
      <s:c r="J34" s="70" t="n"/>
      <s:c r="K34" s="71" t="str">
        <s:f>IF($J34="","",$B$3-$J34)</s:f>
        <s:v/>
      </s:c>
      <s:c r="L34" s="72" t="str">
        <s:f>IFERROR(INDEX('CRM Playbook'!$C$6:$C$10,MATCH($B34,'CRM Playbook'!$B$6:$B$10,0)),"")</s:f>
        <s:v/>
      </s:c>
      <s:c r="M34" s="73" t="str">
        <s:f>IF(OR($J34="",$L34=""),"",$J34+$L34)</s:f>
        <s:v/>
      </s:c>
      <s:c r="N34" s="74" t="str">
        <s:f>IF($A34="","",IF($J34="","NEW - reach out",IF($M34&lt;$B$3,"OVERDUE",IF($M34&lt;=$B$3+3,"DUE","Current"))))</s:f>
        <s:v/>
      </s:c>
      <s:c r="O34" s="67" t="n"/>
      <s:c r="P34" s="67" t="n"/>
      <s:c r="Q34" s="67" t="n"/>
      <s:c r="R34" s="75" t="str">
        <s:f>IF($A34="","",IF($J34="",9999+ROW()/100000,IF($M34&gt;$B$3,"",($B$3-$M34)+ROW()/100000)))</s:f>
        <s:v/>
      </s:c>
    </s:row>
    <s:row r="35">
      <s:c r="A35" s="65" t="n"/>
      <s:c r="B35" s="65" t="n"/>
      <s:c r="C35" s="65" t="n"/>
      <s:c r="D35" s="65" t="n"/>
      <s:c r="E35" s="65" t="n"/>
      <s:c r="F35" s="65" t="n"/>
      <s:c r="G35" s="65" t="n"/>
      <s:c r="H35" s="76" t="n"/>
      <s:c r="I35" s="59" t="str">
        <s:f>IF($H35="","",$H35*Inputs!$C$12)</s:f>
        <s:v/>
      </s:c>
      <s:c r="J35" s="77" t="n"/>
      <s:c r="K35" s="61" t="str">
        <s:f>IF($J35="","",$B$3-$J35)</s:f>
        <s:v/>
      </s:c>
      <s:c r="L35" s="62" t="str">
        <s:f>IFERROR(INDEX('CRM Playbook'!$C$6:$C$10,MATCH($B35,'CRM Playbook'!$B$6:$B$10,0)),"")</s:f>
        <s:v/>
      </s:c>
      <s:c r="M35" s="63" t="str">
        <s:f>IF(OR($J35="",$L35=""),"",$J35+$L35)</s:f>
        <s:v/>
      </s:c>
      <s:c r="N35" s="64" t="str">
        <s:f>IF($A35="","",IF($J35="","NEW - reach out",IF($M35&lt;$B$3,"OVERDUE",IF($M35&lt;=$B$3+3,"DUE","Current"))))</s:f>
        <s:v/>
      </s:c>
      <s:c r="O35" s="65" t="n"/>
      <s:c r="P35" s="65" t="n"/>
      <s:c r="Q35" s="65" t="n"/>
      <s:c r="R35" s="66" t="str">
        <s:f>IF($A35="","",IF($J35="",9999+ROW()/100000,IF($M35&gt;$B$3,"",($B$3-$M35)+ROW()/100000)))</s:f>
        <s:v/>
      </s:c>
    </s:row>
    <s:row r="36">
      <s:c r="A36" s="67" t="n"/>
      <s:c r="B36" s="67" t="n"/>
      <s:c r="C36" s="67" t="n"/>
      <s:c r="D36" s="67" t="n"/>
      <s:c r="E36" s="67" t="n"/>
      <s:c r="F36" s="67" t="n"/>
      <s:c r="G36" s="67" t="n"/>
      <s:c r="H36" s="68" t="n"/>
      <s:c r="I36" s="69" t="str">
        <s:f>IF($H36="","",$H36*Inputs!$C$12)</s:f>
        <s:v/>
      </s:c>
      <s:c r="J36" s="70" t="n"/>
      <s:c r="K36" s="71" t="str">
        <s:f>IF($J36="","",$B$3-$J36)</s:f>
        <s:v/>
      </s:c>
      <s:c r="L36" s="72" t="str">
        <s:f>IFERROR(INDEX('CRM Playbook'!$C$6:$C$10,MATCH($B36,'CRM Playbook'!$B$6:$B$10,0)),"")</s:f>
        <s:v/>
      </s:c>
      <s:c r="M36" s="73" t="str">
        <s:f>IF(OR($J36="",$L36=""),"",$J36+$L36)</s:f>
        <s:v/>
      </s:c>
      <s:c r="N36" s="74" t="str">
        <s:f>IF($A36="","",IF($J36="","NEW - reach out",IF($M36&lt;$B$3,"OVERDUE",IF($M36&lt;=$B$3+3,"DUE","Current"))))</s:f>
        <s:v/>
      </s:c>
      <s:c r="O36" s="67" t="n"/>
      <s:c r="P36" s="67" t="n"/>
      <s:c r="Q36" s="67" t="n"/>
      <s:c r="R36" s="75" t="str">
        <s:f>IF($A36="","",IF($J36="",9999+ROW()/100000,IF($M36&gt;$B$3,"",($B$3-$M36)+ROW()/100000)))</s:f>
        <s:v/>
      </s:c>
    </s:row>
    <s:row r="37">
      <s:c r="A37" s="65" t="n"/>
      <s:c r="B37" s="65" t="n"/>
      <s:c r="C37" s="65" t="n"/>
      <s:c r="D37" s="65" t="n"/>
      <s:c r="E37" s="65" t="n"/>
      <s:c r="F37" s="65" t="n"/>
      <s:c r="G37" s="65" t="n"/>
      <s:c r="H37" s="76" t="n"/>
      <s:c r="I37" s="59" t="str">
        <s:f>IF($H37="","",$H37*Inputs!$C$12)</s:f>
        <s:v/>
      </s:c>
      <s:c r="J37" s="77" t="n"/>
      <s:c r="K37" s="61" t="str">
        <s:f>IF($J37="","",$B$3-$J37)</s:f>
        <s:v/>
      </s:c>
      <s:c r="L37" s="62" t="str">
        <s:f>IFERROR(INDEX('CRM Playbook'!$C$6:$C$10,MATCH($B37,'CRM Playbook'!$B$6:$B$10,0)),"")</s:f>
        <s:v/>
      </s:c>
      <s:c r="M37" s="63" t="str">
        <s:f>IF(OR($J37="",$L37=""),"",$J37+$L37)</s:f>
        <s:v/>
      </s:c>
      <s:c r="N37" s="64" t="str">
        <s:f>IF($A37="","",IF($J37="","NEW - reach out",IF($M37&lt;$B$3,"OVERDUE",IF($M37&lt;=$B$3+3,"DUE","Current"))))</s:f>
        <s:v/>
      </s:c>
      <s:c r="O37" s="65" t="n"/>
      <s:c r="P37" s="65" t="n"/>
      <s:c r="Q37" s="65" t="n"/>
      <s:c r="R37" s="66" t="str">
        <s:f>IF($A37="","",IF($J37="",9999+ROW()/100000,IF($M37&gt;$B$3,"",($B$3-$M37)+ROW()/100000)))</s:f>
        <s:v/>
      </s:c>
    </s:row>
    <s:row r="38">
      <s:c r="A38" s="67" t="n"/>
      <s:c r="B38" s="67" t="n"/>
      <s:c r="C38" s="67" t="n"/>
      <s:c r="D38" s="67" t="n"/>
      <s:c r="E38" s="67" t="n"/>
      <s:c r="F38" s="67" t="n"/>
      <s:c r="G38" s="67" t="n"/>
      <s:c r="H38" s="68" t="n"/>
      <s:c r="I38" s="69" t="str">
        <s:f>IF($H38="","",$H38*Inputs!$C$12)</s:f>
        <s:v/>
      </s:c>
      <s:c r="J38" s="70" t="n"/>
      <s:c r="K38" s="71" t="str">
        <s:f>IF($J38="","",$B$3-$J38)</s:f>
        <s:v/>
      </s:c>
      <s:c r="L38" s="72" t="str">
        <s:f>IFERROR(INDEX('CRM Playbook'!$C$6:$C$10,MATCH($B38,'CRM Playbook'!$B$6:$B$10,0)),"")</s:f>
        <s:v/>
      </s:c>
      <s:c r="M38" s="73" t="str">
        <s:f>IF(OR($J38="",$L38=""),"",$J38+$L38)</s:f>
        <s:v/>
      </s:c>
      <s:c r="N38" s="74" t="str">
        <s:f>IF($A38="","",IF($J38="","NEW - reach out",IF($M38&lt;$B$3,"OVERDUE",IF($M38&lt;=$B$3+3,"DUE","Current"))))</s:f>
        <s:v/>
      </s:c>
      <s:c r="O38" s="67" t="n"/>
      <s:c r="P38" s="67" t="n"/>
      <s:c r="Q38" s="67" t="n"/>
      <s:c r="R38" s="75" t="str">
        <s:f>IF($A38="","",IF($J38="",9999+ROW()/100000,IF($M38&gt;$B$3,"",($B$3-$M38)+ROW()/100000)))</s:f>
        <s:v/>
      </s:c>
    </s:row>
    <s:row r="39">
      <s:c r="A39" s="65" t="n"/>
      <s:c r="B39" s="65" t="n"/>
      <s:c r="C39" s="65" t="n"/>
      <s:c r="D39" s="65" t="n"/>
      <s:c r="E39" s="65" t="n"/>
      <s:c r="F39" s="65" t="n"/>
      <s:c r="G39" s="65" t="n"/>
      <s:c r="H39" s="76" t="n"/>
      <s:c r="I39" s="59" t="str">
        <s:f>IF($H39="","",$H39*Inputs!$C$12)</s:f>
        <s:v/>
      </s:c>
      <s:c r="J39" s="77" t="n"/>
      <s:c r="K39" s="61" t="str">
        <s:f>IF($J39="","",$B$3-$J39)</s:f>
        <s:v/>
      </s:c>
      <s:c r="L39" s="62" t="str">
        <s:f>IFERROR(INDEX('CRM Playbook'!$C$6:$C$10,MATCH($B39,'CRM Playbook'!$B$6:$B$10,0)),"")</s:f>
        <s:v/>
      </s:c>
      <s:c r="M39" s="63" t="str">
        <s:f>IF(OR($J39="",$L39=""),"",$J39+$L39)</s:f>
        <s:v/>
      </s:c>
      <s:c r="N39" s="64" t="str">
        <s:f>IF($A39="","",IF($J39="","NEW - reach out",IF($M39&lt;$B$3,"OVERDUE",IF($M39&lt;=$B$3+3,"DUE","Current"))))</s:f>
        <s:v/>
      </s:c>
      <s:c r="O39" s="65" t="n"/>
      <s:c r="P39" s="65" t="n"/>
      <s:c r="Q39" s="65" t="n"/>
      <s:c r="R39" s="66" t="str">
        <s:f>IF($A39="","",IF($J39="",9999+ROW()/100000,IF($M39&gt;$B$3,"",($B$3-$M39)+ROW()/100000)))</s:f>
        <s:v/>
      </s:c>
    </s:row>
    <s:row r="40">
      <s:c r="A40" s="67" t="n"/>
      <s:c r="B40" s="67" t="n"/>
      <s:c r="C40" s="67" t="n"/>
      <s:c r="D40" s="67" t="n"/>
      <s:c r="E40" s="67" t="n"/>
      <s:c r="F40" s="67" t="n"/>
      <s:c r="G40" s="67" t="n"/>
      <s:c r="H40" s="68" t="n"/>
      <s:c r="I40" s="69" t="str">
        <s:f>IF($H40="","",$H40*Inputs!$C$12)</s:f>
        <s:v/>
      </s:c>
      <s:c r="J40" s="70" t="n"/>
      <s:c r="K40" s="71" t="str">
        <s:f>IF($J40="","",$B$3-$J40)</s:f>
        <s:v/>
      </s:c>
      <s:c r="L40" s="72" t="str">
        <s:f>IFERROR(INDEX('CRM Playbook'!$C$6:$C$10,MATCH($B40,'CRM Playbook'!$B$6:$B$10,0)),"")</s:f>
        <s:v/>
      </s:c>
      <s:c r="M40" s="73" t="str">
        <s:f>IF(OR($J40="",$L40=""),"",$J40+$L40)</s:f>
        <s:v/>
      </s:c>
      <s:c r="N40" s="74" t="str">
        <s:f>IF($A40="","",IF($J40="","NEW - reach out",IF($M40&lt;$B$3,"OVERDUE",IF($M40&lt;=$B$3+3,"DUE","Current"))))</s:f>
        <s:v/>
      </s:c>
      <s:c r="O40" s="67" t="n"/>
      <s:c r="P40" s="67" t="n"/>
      <s:c r="Q40" s="67" t="n"/>
      <s:c r="R40" s="75" t="str">
        <s:f>IF($A40="","",IF($J40="",9999+ROW()/100000,IF($M40&gt;$B$3,"",($B$3-$M40)+ROW()/100000)))</s:f>
        <s:v/>
      </s:c>
    </s:row>
    <s:row r="41">
      <s:c r="A41" s="65" t="n"/>
      <s:c r="B41" s="65" t="n"/>
      <s:c r="C41" s="65" t="n"/>
      <s:c r="D41" s="65" t="n"/>
      <s:c r="E41" s="65" t="n"/>
      <s:c r="F41" s="65" t="n"/>
      <s:c r="G41" s="65" t="n"/>
      <s:c r="H41" s="76" t="n"/>
      <s:c r="I41" s="59" t="str">
        <s:f>IF($H41="","",$H41*Inputs!$C$12)</s:f>
        <s:v/>
      </s:c>
      <s:c r="J41" s="77" t="n"/>
      <s:c r="K41" s="61" t="str">
        <s:f>IF($J41="","",$B$3-$J41)</s:f>
        <s:v/>
      </s:c>
      <s:c r="L41" s="62" t="str">
        <s:f>IFERROR(INDEX('CRM Playbook'!$C$6:$C$10,MATCH($B41,'CRM Playbook'!$B$6:$B$10,0)),"")</s:f>
        <s:v/>
      </s:c>
      <s:c r="M41" s="63" t="str">
        <s:f>IF(OR($J41="",$L41=""),"",$J41+$L41)</s:f>
        <s:v/>
      </s:c>
      <s:c r="N41" s="64" t="str">
        <s:f>IF($A41="","",IF($J41="","NEW - reach out",IF($M41&lt;$B$3,"OVERDUE",IF($M41&lt;=$B$3+3,"DUE","Current"))))</s:f>
        <s:v/>
      </s:c>
      <s:c r="O41" s="65" t="n"/>
      <s:c r="P41" s="65" t="n"/>
      <s:c r="Q41" s="65" t="n"/>
      <s:c r="R41" s="66" t="str">
        <s:f>IF($A41="","",IF($J41="",9999+ROW()/100000,IF($M41&gt;$B$3,"",($B$3-$M41)+ROW()/100000)))</s:f>
        <s:v/>
      </s:c>
    </s:row>
    <s:row r="42">
      <s:c r="A42" s="67" t="n"/>
      <s:c r="B42" s="67" t="n"/>
      <s:c r="C42" s="67" t="n"/>
      <s:c r="D42" s="67" t="n"/>
      <s:c r="E42" s="67" t="n"/>
      <s:c r="F42" s="67" t="n"/>
      <s:c r="G42" s="67" t="n"/>
      <s:c r="H42" s="68" t="n"/>
      <s:c r="I42" s="69" t="str">
        <s:f>IF($H42="","",$H42*Inputs!$C$12)</s:f>
        <s:v/>
      </s:c>
      <s:c r="J42" s="70" t="n"/>
      <s:c r="K42" s="71" t="str">
        <s:f>IF($J42="","",$B$3-$J42)</s:f>
        <s:v/>
      </s:c>
      <s:c r="L42" s="72" t="str">
        <s:f>IFERROR(INDEX('CRM Playbook'!$C$6:$C$10,MATCH($B42,'CRM Playbook'!$B$6:$B$10,0)),"")</s:f>
        <s:v/>
      </s:c>
      <s:c r="M42" s="73" t="str">
        <s:f>IF(OR($J42="",$L42=""),"",$J42+$L42)</s:f>
        <s:v/>
      </s:c>
      <s:c r="N42" s="74" t="str">
        <s:f>IF($A42="","",IF($J42="","NEW - reach out",IF($M42&lt;$B$3,"OVERDUE",IF($M42&lt;=$B$3+3,"DUE","Current"))))</s:f>
        <s:v/>
      </s:c>
      <s:c r="O42" s="67" t="n"/>
      <s:c r="P42" s="67" t="n"/>
      <s:c r="Q42" s="67" t="n"/>
      <s:c r="R42" s="75" t="str">
        <s:f>IF($A42="","",IF($J42="",9999+ROW()/100000,IF($M42&gt;$B$3,"",($B$3-$M42)+ROW()/100000)))</s:f>
        <s:v/>
      </s:c>
    </s:row>
    <s:row r="43">
      <s:c r="A43" s="65" t="n"/>
      <s:c r="B43" s="65" t="n"/>
      <s:c r="C43" s="65" t="n"/>
      <s:c r="D43" s="65" t="n"/>
      <s:c r="E43" s="65" t="n"/>
      <s:c r="F43" s="65" t="n"/>
      <s:c r="G43" s="65" t="n"/>
      <s:c r="H43" s="76" t="n"/>
      <s:c r="I43" s="59" t="str">
        <s:f>IF($H43="","",$H43*Inputs!$C$12)</s:f>
        <s:v/>
      </s:c>
      <s:c r="J43" s="77" t="n"/>
      <s:c r="K43" s="61" t="str">
        <s:f>IF($J43="","",$B$3-$J43)</s:f>
        <s:v/>
      </s:c>
      <s:c r="L43" s="62" t="str">
        <s:f>IFERROR(INDEX('CRM Playbook'!$C$6:$C$10,MATCH($B43,'CRM Playbook'!$B$6:$B$10,0)),"")</s:f>
        <s:v/>
      </s:c>
      <s:c r="M43" s="63" t="str">
        <s:f>IF(OR($J43="",$L43=""),"",$J43+$L43)</s:f>
        <s:v/>
      </s:c>
      <s:c r="N43" s="64" t="str">
        <s:f>IF($A43="","",IF($J43="","NEW - reach out",IF($M43&lt;$B$3,"OVERDUE",IF($M43&lt;=$B$3+3,"DUE","Current"))))</s:f>
        <s:v/>
      </s:c>
      <s:c r="O43" s="65" t="n"/>
      <s:c r="P43" s="65" t="n"/>
      <s:c r="Q43" s="65" t="n"/>
      <s:c r="R43" s="66" t="str">
        <s:f>IF($A43="","",IF($J43="",9999+ROW()/100000,IF($M43&gt;$B$3,"",($B$3-$M43)+ROW()/100000)))</s:f>
        <s:v/>
      </s:c>
    </s:row>
    <s:row r="44">
      <s:c r="A44" s="67" t="n"/>
      <s:c r="B44" s="67" t="n"/>
      <s:c r="C44" s="67" t="n"/>
      <s:c r="D44" s="67" t="n"/>
      <s:c r="E44" s="67" t="n"/>
      <s:c r="F44" s="67" t="n"/>
      <s:c r="G44" s="67" t="n"/>
      <s:c r="H44" s="68" t="n"/>
      <s:c r="I44" s="69" t="str">
        <s:f>IF($H44="","",$H44*Inputs!$C$12)</s:f>
        <s:v/>
      </s:c>
      <s:c r="J44" s="70" t="n"/>
      <s:c r="K44" s="71" t="str">
        <s:f>IF($J44="","",$B$3-$J44)</s:f>
        <s:v/>
      </s:c>
      <s:c r="L44" s="72" t="str">
        <s:f>IFERROR(INDEX('CRM Playbook'!$C$6:$C$10,MATCH($B44,'CRM Playbook'!$B$6:$B$10,0)),"")</s:f>
        <s:v/>
      </s:c>
      <s:c r="M44" s="73" t="str">
        <s:f>IF(OR($J44="",$L44=""),"",$J44+$L44)</s:f>
        <s:v/>
      </s:c>
      <s:c r="N44" s="74" t="str">
        <s:f>IF($A44="","",IF($J44="","NEW - reach out",IF($M44&lt;$B$3,"OVERDUE",IF($M44&lt;=$B$3+3,"DUE","Current"))))</s:f>
        <s:v/>
      </s:c>
      <s:c r="O44" s="67" t="n"/>
      <s:c r="P44" s="67" t="n"/>
      <s:c r="Q44" s="67" t="n"/>
      <s:c r="R44" s="75" t="str">
        <s:f>IF($A44="","",IF($J44="",9999+ROW()/100000,IF($M44&gt;$B$3,"",($B$3-$M44)+ROW()/100000)))</s:f>
        <s:v/>
      </s:c>
    </s:row>
    <s:row r="45">
      <s:c r="A45" s="65" t="n"/>
      <s:c r="B45" s="65" t="n"/>
      <s:c r="C45" s="65" t="n"/>
      <s:c r="D45" s="65" t="n"/>
      <s:c r="E45" s="65" t="n"/>
      <s:c r="F45" s="65" t="n"/>
      <s:c r="G45" s="65" t="n"/>
      <s:c r="H45" s="76" t="n"/>
      <s:c r="I45" s="59" t="str">
        <s:f>IF($H45="","",$H45*Inputs!$C$12)</s:f>
        <s:v/>
      </s:c>
      <s:c r="J45" s="77" t="n"/>
      <s:c r="K45" s="61" t="str">
        <s:f>IF($J45="","",$B$3-$J45)</s:f>
        <s:v/>
      </s:c>
      <s:c r="L45" s="62" t="str">
        <s:f>IFERROR(INDEX('CRM Playbook'!$C$6:$C$10,MATCH($B45,'CRM Playbook'!$B$6:$B$10,0)),"")</s:f>
        <s:v/>
      </s:c>
      <s:c r="M45" s="63" t="str">
        <s:f>IF(OR($J45="",$L45=""),"",$J45+$L45)</s:f>
        <s:v/>
      </s:c>
      <s:c r="N45" s="64" t="str">
        <s:f>IF($A45="","",IF($J45="","NEW - reach out",IF($M45&lt;$B$3,"OVERDUE",IF($M45&lt;=$B$3+3,"DUE","Current"))))</s:f>
        <s:v/>
      </s:c>
      <s:c r="O45" s="65" t="n"/>
      <s:c r="P45" s="65" t="n"/>
      <s:c r="Q45" s="65" t="n"/>
      <s:c r="R45" s="66" t="str">
        <s:f>IF($A45="","",IF($J45="",9999+ROW()/100000,IF($M45&gt;$B$3,"",($B$3-$M45)+ROW()/100000)))</s:f>
        <s:v/>
      </s:c>
    </s:row>
    <s:row r="46">
      <s:c r="A46" s="67" t="n"/>
      <s:c r="B46" s="67" t="n"/>
      <s:c r="C46" s="67" t="n"/>
      <s:c r="D46" s="67" t="n"/>
      <s:c r="E46" s="67" t="n"/>
      <s:c r="F46" s="67" t="n"/>
      <s:c r="G46" s="67" t="n"/>
      <s:c r="H46" s="68" t="n"/>
      <s:c r="I46" s="69" t="str">
        <s:f>IF($H46="","",$H46*Inputs!$C$12)</s:f>
        <s:v/>
      </s:c>
      <s:c r="J46" s="70" t="n"/>
      <s:c r="K46" s="71" t="str">
        <s:f>IF($J46="","",$B$3-$J46)</s:f>
        <s:v/>
      </s:c>
      <s:c r="L46" s="72" t="str">
        <s:f>IFERROR(INDEX('CRM Playbook'!$C$6:$C$10,MATCH($B46,'CRM Playbook'!$B$6:$B$10,0)),"")</s:f>
        <s:v/>
      </s:c>
      <s:c r="M46" s="73" t="str">
        <s:f>IF(OR($J46="",$L46=""),"",$J46+$L46)</s:f>
        <s:v/>
      </s:c>
      <s:c r="N46" s="74" t="str">
        <s:f>IF($A46="","",IF($J46="","NEW - reach out",IF($M46&lt;$B$3,"OVERDUE",IF($M46&lt;=$B$3+3,"DUE","Current"))))</s:f>
        <s:v/>
      </s:c>
      <s:c r="O46" s="67" t="n"/>
      <s:c r="P46" s="67" t="n"/>
      <s:c r="Q46" s="67" t="n"/>
      <s:c r="R46" s="75" t="str">
        <s:f>IF($A46="","",IF($J46="",9999+ROW()/100000,IF($M46&gt;$B$3,"",($B$3-$M46)+ROW()/100000)))</s:f>
        <s:v/>
      </s:c>
    </s:row>
    <s:row r="47">
      <s:c r="A47" s="65" t="n"/>
      <s:c r="B47" s="65" t="n"/>
      <s:c r="C47" s="65" t="n"/>
      <s:c r="D47" s="65" t="n"/>
      <s:c r="E47" s="65" t="n"/>
      <s:c r="F47" s="65" t="n"/>
      <s:c r="G47" s="65" t="n"/>
      <s:c r="H47" s="76" t="n"/>
      <s:c r="I47" s="59" t="str">
        <s:f>IF($H47="","",$H47*Inputs!$C$12)</s:f>
        <s:v/>
      </s:c>
      <s:c r="J47" s="77" t="n"/>
      <s:c r="K47" s="61" t="str">
        <s:f>IF($J47="","",$B$3-$J47)</s:f>
        <s:v/>
      </s:c>
      <s:c r="L47" s="62" t="str">
        <s:f>IFERROR(INDEX('CRM Playbook'!$C$6:$C$10,MATCH($B47,'CRM Playbook'!$B$6:$B$10,0)),"")</s:f>
        <s:v/>
      </s:c>
      <s:c r="M47" s="63" t="str">
        <s:f>IF(OR($J47="",$L47=""),"",$J47+$L47)</s:f>
        <s:v/>
      </s:c>
      <s:c r="N47" s="64" t="str">
        <s:f>IF($A47="","",IF($J47="","NEW - reach out",IF($M47&lt;$B$3,"OVERDUE",IF($M47&lt;=$B$3+3,"DUE","Current"))))</s:f>
        <s:v/>
      </s:c>
      <s:c r="O47" s="65" t="n"/>
      <s:c r="P47" s="65" t="n"/>
      <s:c r="Q47" s="65" t="n"/>
      <s:c r="R47" s="66" t="str">
        <s:f>IF($A47="","",IF($J47="",9999+ROW()/100000,IF($M47&gt;$B$3,"",($B$3-$M47)+ROW()/100000)))</s:f>
        <s:v/>
      </s:c>
    </s:row>
    <s:row r="48">
      <s:c r="A48" s="67" t="n"/>
      <s:c r="B48" s="67" t="n"/>
      <s:c r="C48" s="67" t="n"/>
      <s:c r="D48" s="67" t="n"/>
      <s:c r="E48" s="67" t="n"/>
      <s:c r="F48" s="67" t="n"/>
      <s:c r="G48" s="67" t="n"/>
      <s:c r="H48" s="68" t="n"/>
      <s:c r="I48" s="69" t="str">
        <s:f>IF($H48="","",$H48*Inputs!$C$12)</s:f>
        <s:v/>
      </s:c>
      <s:c r="J48" s="70" t="n"/>
      <s:c r="K48" s="71" t="str">
        <s:f>IF($J48="","",$B$3-$J48)</s:f>
        <s:v/>
      </s:c>
      <s:c r="L48" s="72" t="str">
        <s:f>IFERROR(INDEX('CRM Playbook'!$C$6:$C$10,MATCH($B48,'CRM Playbook'!$B$6:$B$10,0)),"")</s:f>
        <s:v/>
      </s:c>
      <s:c r="M48" s="73" t="str">
        <s:f>IF(OR($J48="",$L48=""),"",$J48+$L48)</s:f>
        <s:v/>
      </s:c>
      <s:c r="N48" s="74" t="str">
        <s:f>IF($A48="","",IF($J48="","NEW - reach out",IF($M48&lt;$B$3,"OVERDUE",IF($M48&lt;=$B$3+3,"DUE","Current"))))</s:f>
        <s:v/>
      </s:c>
      <s:c r="O48" s="67" t="n"/>
      <s:c r="P48" s="67" t="n"/>
      <s:c r="Q48" s="67" t="n"/>
      <s:c r="R48" s="75" t="str">
        <s:f>IF($A48="","",IF($J48="",9999+ROW()/100000,IF($M48&gt;$B$3,"",($B$3-$M48)+ROW()/100000)))</s:f>
        <s:v/>
      </s:c>
    </s:row>
    <s:row r="49">
      <s:c r="A49" s="65" t="n"/>
      <s:c r="B49" s="65" t="n"/>
      <s:c r="C49" s="65" t="n"/>
      <s:c r="D49" s="65" t="n"/>
      <s:c r="E49" s="65" t="n"/>
      <s:c r="F49" s="65" t="n"/>
      <s:c r="G49" s="65" t="n"/>
      <s:c r="H49" s="76" t="n"/>
      <s:c r="I49" s="59" t="str">
        <s:f>IF($H49="","",$H49*Inputs!$C$12)</s:f>
        <s:v/>
      </s:c>
      <s:c r="J49" s="77" t="n"/>
      <s:c r="K49" s="61" t="str">
        <s:f>IF($J49="","",$B$3-$J49)</s:f>
        <s:v/>
      </s:c>
      <s:c r="L49" s="62" t="str">
        <s:f>IFERROR(INDEX('CRM Playbook'!$C$6:$C$10,MATCH($B49,'CRM Playbook'!$B$6:$B$10,0)),"")</s:f>
        <s:v/>
      </s:c>
      <s:c r="M49" s="63" t="str">
        <s:f>IF(OR($J49="",$L49=""),"",$J49+$L49)</s:f>
        <s:v/>
      </s:c>
      <s:c r="N49" s="64" t="str">
        <s:f>IF($A49="","",IF($J49="","NEW - reach out",IF($M49&lt;$B$3,"OVERDUE",IF($M49&lt;=$B$3+3,"DUE","Current"))))</s:f>
        <s:v/>
      </s:c>
      <s:c r="O49" s="65" t="n"/>
      <s:c r="P49" s="65" t="n"/>
      <s:c r="Q49" s="65" t="n"/>
      <s:c r="R49" s="66" t="str">
        <s:f>IF($A49="","",IF($J49="",9999+ROW()/100000,IF($M49&gt;$B$3,"",($B$3-$M49)+ROW()/100000)))</s:f>
        <s:v/>
      </s:c>
    </s:row>
    <s:row r="50">
      <s:c r="A50" s="67" t="n"/>
      <s:c r="B50" s="67" t="n"/>
      <s:c r="C50" s="67" t="n"/>
      <s:c r="D50" s="67" t="n"/>
      <s:c r="E50" s="67" t="n"/>
      <s:c r="F50" s="67" t="n"/>
      <s:c r="G50" s="67" t="n"/>
      <s:c r="H50" s="68" t="n"/>
      <s:c r="I50" s="69" t="str">
        <s:f>IF($H50="","",$H50*Inputs!$C$12)</s:f>
        <s:v/>
      </s:c>
      <s:c r="J50" s="70" t="n"/>
      <s:c r="K50" s="71" t="str">
        <s:f>IF($J50="","",$B$3-$J50)</s:f>
        <s:v/>
      </s:c>
      <s:c r="L50" s="72" t="str">
        <s:f>IFERROR(INDEX('CRM Playbook'!$C$6:$C$10,MATCH($B50,'CRM Playbook'!$B$6:$B$10,0)),"")</s:f>
        <s:v/>
      </s:c>
      <s:c r="M50" s="73" t="str">
        <s:f>IF(OR($J50="",$L50=""),"",$J50+$L50)</s:f>
        <s:v/>
      </s:c>
      <s:c r="N50" s="74" t="str">
        <s:f>IF($A50="","",IF($J50="","NEW - reach out",IF($M50&lt;$B$3,"OVERDUE",IF($M50&lt;=$B$3+3,"DUE","Current"))))</s:f>
        <s:v/>
      </s:c>
      <s:c r="O50" s="67" t="n"/>
      <s:c r="P50" s="67" t="n"/>
      <s:c r="Q50" s="67" t="n"/>
      <s:c r="R50" s="75" t="str">
        <s:f>IF($A50="","",IF($J50="",9999+ROW()/100000,IF($M50&gt;$B$3,"",($B$3-$M50)+ROW()/100000)))</s:f>
        <s:v/>
      </s:c>
    </s:row>
    <s:row r="51">
      <s:c r="A51" s="65" t="n"/>
      <s:c r="B51" s="65" t="n"/>
      <s:c r="C51" s="65" t="n"/>
      <s:c r="D51" s="65" t="n"/>
      <s:c r="E51" s="65" t="n"/>
      <s:c r="F51" s="65" t="n"/>
      <s:c r="G51" s="65" t="n"/>
      <s:c r="H51" s="76" t="n"/>
      <s:c r="I51" s="59" t="str">
        <s:f>IF($H51="","",$H51*Inputs!$C$12)</s:f>
        <s:v/>
      </s:c>
      <s:c r="J51" s="77" t="n"/>
      <s:c r="K51" s="61" t="str">
        <s:f>IF($J51="","",$B$3-$J51)</s:f>
        <s:v/>
      </s:c>
      <s:c r="L51" s="62" t="str">
        <s:f>IFERROR(INDEX('CRM Playbook'!$C$6:$C$10,MATCH($B51,'CRM Playbook'!$B$6:$B$10,0)),"")</s:f>
        <s:v/>
      </s:c>
      <s:c r="M51" s="63" t="str">
        <s:f>IF(OR($J51="",$L51=""),"",$J51+$L51)</s:f>
        <s:v/>
      </s:c>
      <s:c r="N51" s="64" t="str">
        <s:f>IF($A51="","",IF($J51="","NEW - reach out",IF($M51&lt;$B$3,"OVERDUE",IF($M51&lt;=$B$3+3,"DUE","Current"))))</s:f>
        <s:v/>
      </s:c>
      <s:c r="O51" s="65" t="n"/>
      <s:c r="P51" s="65" t="n"/>
      <s:c r="Q51" s="65" t="n"/>
      <s:c r="R51" s="66" t="str">
        <s:f>IF($A51="","",IF($J51="",9999+ROW()/100000,IF($M51&gt;$B$3,"",($B$3-$M51)+ROW()/100000)))</s:f>
        <s:v/>
      </s:c>
    </s:row>
    <s:row r="52">
      <s:c r="A52" s="67" t="n"/>
      <s:c r="B52" s="67" t="n"/>
      <s:c r="C52" s="67" t="n"/>
      <s:c r="D52" s="67" t="n"/>
      <s:c r="E52" s="67" t="n"/>
      <s:c r="F52" s="67" t="n"/>
      <s:c r="G52" s="67" t="n"/>
      <s:c r="H52" s="68" t="n"/>
      <s:c r="I52" s="69" t="str">
        <s:f>IF($H52="","",$H52*Inputs!$C$12)</s:f>
        <s:v/>
      </s:c>
      <s:c r="J52" s="70" t="n"/>
      <s:c r="K52" s="71" t="str">
        <s:f>IF($J52="","",$B$3-$J52)</s:f>
        <s:v/>
      </s:c>
      <s:c r="L52" s="72" t="str">
        <s:f>IFERROR(INDEX('CRM Playbook'!$C$6:$C$10,MATCH($B52,'CRM Playbook'!$B$6:$B$10,0)),"")</s:f>
        <s:v/>
      </s:c>
      <s:c r="M52" s="73" t="str">
        <s:f>IF(OR($J52="",$L52=""),"",$J52+$L52)</s:f>
        <s:v/>
      </s:c>
      <s:c r="N52" s="74" t="str">
        <s:f>IF($A52="","",IF($J52="","NEW - reach out",IF($M52&lt;$B$3,"OVERDUE",IF($M52&lt;=$B$3+3,"DUE","Current"))))</s:f>
        <s:v/>
      </s:c>
      <s:c r="O52" s="67" t="n"/>
      <s:c r="P52" s="67" t="n"/>
      <s:c r="Q52" s="67" t="n"/>
      <s:c r="R52" s="75" t="str">
        <s:f>IF($A52="","",IF($J52="",9999+ROW()/100000,IF($M52&gt;$B$3,"",($B$3-$M52)+ROW()/100000)))</s:f>
        <s:v/>
      </s:c>
    </s:row>
    <s:row r="53">
      <s:c r="A53" s="65" t="n"/>
      <s:c r="B53" s="65" t="n"/>
      <s:c r="C53" s="65" t="n"/>
      <s:c r="D53" s="65" t="n"/>
      <s:c r="E53" s="65" t="n"/>
      <s:c r="F53" s="65" t="n"/>
      <s:c r="G53" s="65" t="n"/>
      <s:c r="H53" s="76" t="n"/>
      <s:c r="I53" s="59" t="str">
        <s:f>IF($H53="","",$H53*Inputs!$C$12)</s:f>
        <s:v/>
      </s:c>
      <s:c r="J53" s="77" t="n"/>
      <s:c r="K53" s="61" t="str">
        <s:f>IF($J53="","",$B$3-$J53)</s:f>
        <s:v/>
      </s:c>
      <s:c r="L53" s="62" t="str">
        <s:f>IFERROR(INDEX('CRM Playbook'!$C$6:$C$10,MATCH($B53,'CRM Playbook'!$B$6:$B$10,0)),"")</s:f>
        <s:v/>
      </s:c>
      <s:c r="M53" s="63" t="str">
        <s:f>IF(OR($J53="",$L53=""),"",$J53+$L53)</s:f>
        <s:v/>
      </s:c>
      <s:c r="N53" s="64" t="str">
        <s:f>IF($A53="","",IF($J53="","NEW - reach out",IF($M53&lt;$B$3,"OVERDUE",IF($M53&lt;=$B$3+3,"DUE","Current"))))</s:f>
        <s:v/>
      </s:c>
      <s:c r="O53" s="65" t="n"/>
      <s:c r="P53" s="65" t="n"/>
      <s:c r="Q53" s="65" t="n"/>
      <s:c r="R53" s="66" t="str">
        <s:f>IF($A53="","",IF($J53="",9999+ROW()/100000,IF($M53&gt;$B$3,"",($B$3-$M53)+ROW()/100000)))</s:f>
        <s:v/>
      </s:c>
    </s:row>
    <s:row r="54">
      <s:c r="A54" s="67" t="n"/>
      <s:c r="B54" s="67" t="n"/>
      <s:c r="C54" s="67" t="n"/>
      <s:c r="D54" s="67" t="n"/>
      <s:c r="E54" s="67" t="n"/>
      <s:c r="F54" s="67" t="n"/>
      <s:c r="G54" s="67" t="n"/>
      <s:c r="H54" s="68" t="n"/>
      <s:c r="I54" s="69" t="str">
        <s:f>IF($H54="","",$H54*Inputs!$C$12)</s:f>
        <s:v/>
      </s:c>
      <s:c r="J54" s="70" t="n"/>
      <s:c r="K54" s="71" t="str">
        <s:f>IF($J54="","",$B$3-$J54)</s:f>
        <s:v/>
      </s:c>
      <s:c r="L54" s="72" t="str">
        <s:f>IFERROR(INDEX('CRM Playbook'!$C$6:$C$10,MATCH($B54,'CRM Playbook'!$B$6:$B$10,0)),"")</s:f>
        <s:v/>
      </s:c>
      <s:c r="M54" s="73" t="str">
        <s:f>IF(OR($J54="",$L54=""),"",$J54+$L54)</s:f>
        <s:v/>
      </s:c>
      <s:c r="N54" s="74" t="str">
        <s:f>IF($A54="","",IF($J54="","NEW - reach out",IF($M54&lt;$B$3,"OVERDUE",IF($M54&lt;=$B$3+3,"DUE","Current"))))</s:f>
        <s:v/>
      </s:c>
      <s:c r="O54" s="67" t="n"/>
      <s:c r="P54" s="67" t="n"/>
      <s:c r="Q54" s="67" t="n"/>
      <s:c r="R54" s="75" t="str">
        <s:f>IF($A54="","",IF($J54="",9999+ROW()/100000,IF($M54&gt;$B$3,"",($B$3-$M54)+ROW()/100000)))</s:f>
        <s:v/>
      </s:c>
    </s:row>
    <s:row r="55">
      <s:c r="A55" s="65" t="n"/>
      <s:c r="B55" s="65" t="n"/>
      <s:c r="C55" s="65" t="n"/>
      <s:c r="D55" s="65" t="n"/>
      <s:c r="E55" s="65" t="n"/>
      <s:c r="F55" s="65" t="n"/>
      <s:c r="G55" s="65" t="n"/>
      <s:c r="H55" s="76" t="n"/>
      <s:c r="I55" s="59" t="str">
        <s:f>IF($H55="","",$H55*Inputs!$C$12)</s:f>
        <s:v/>
      </s:c>
      <s:c r="J55" s="77" t="n"/>
      <s:c r="K55" s="61" t="str">
        <s:f>IF($J55="","",$B$3-$J55)</s:f>
        <s:v/>
      </s:c>
      <s:c r="L55" s="62" t="str">
        <s:f>IFERROR(INDEX('CRM Playbook'!$C$6:$C$10,MATCH($B55,'CRM Playbook'!$B$6:$B$10,0)),"")</s:f>
        <s:v/>
      </s:c>
      <s:c r="M55" s="63" t="str">
        <s:f>IF(OR($J55="",$L55=""),"",$J55+$L55)</s:f>
        <s:v/>
      </s:c>
      <s:c r="N55" s="64" t="str">
        <s:f>IF($A55="","",IF($J55="","NEW - reach out",IF($M55&lt;$B$3,"OVERDUE",IF($M55&lt;=$B$3+3,"DUE","Current"))))</s:f>
        <s:v/>
      </s:c>
      <s:c r="O55" s="65" t="n"/>
      <s:c r="P55" s="65" t="n"/>
      <s:c r="Q55" s="65" t="n"/>
      <s:c r="R55" s="66" t="str">
        <s:f>IF($A55="","",IF($J55="",9999+ROW()/100000,IF($M55&gt;$B$3,"",($B$3-$M55)+ROW()/100000)))</s:f>
        <s:v/>
      </s:c>
    </s:row>
    <s:row r="56">
      <s:c r="A56" s="67" t="n"/>
      <s:c r="B56" s="67" t="n"/>
      <s:c r="C56" s="67" t="n"/>
      <s:c r="D56" s="67" t="n"/>
      <s:c r="E56" s="67" t="n"/>
      <s:c r="F56" s="67" t="n"/>
      <s:c r="G56" s="67" t="n"/>
      <s:c r="H56" s="68" t="n"/>
      <s:c r="I56" s="69" t="str">
        <s:f>IF($H56="","",$H56*Inputs!$C$12)</s:f>
        <s:v/>
      </s:c>
      <s:c r="J56" s="70" t="n"/>
      <s:c r="K56" s="71" t="str">
        <s:f>IF($J56="","",$B$3-$J56)</s:f>
        <s:v/>
      </s:c>
      <s:c r="L56" s="72" t="str">
        <s:f>IFERROR(INDEX('CRM Playbook'!$C$6:$C$10,MATCH($B56,'CRM Playbook'!$B$6:$B$10,0)),"")</s:f>
        <s:v/>
      </s:c>
      <s:c r="M56" s="73" t="str">
        <s:f>IF(OR($J56="",$L56=""),"",$J56+$L56)</s:f>
        <s:v/>
      </s:c>
      <s:c r="N56" s="74" t="str">
        <s:f>IF($A56="","",IF($J56="","NEW - reach out",IF($M56&lt;$B$3,"OVERDUE",IF($M56&lt;=$B$3+3,"DUE","Current"))))</s:f>
        <s:v/>
      </s:c>
      <s:c r="O56" s="67" t="n"/>
      <s:c r="P56" s="67" t="n"/>
      <s:c r="Q56" s="67" t="n"/>
      <s:c r="R56" s="75" t="str">
        <s:f>IF($A56="","",IF($J56="",9999+ROW()/100000,IF($M56&gt;$B$3,"",($B$3-$M56)+ROW()/100000)))</s:f>
        <s:v/>
      </s:c>
    </s:row>
    <s:row r="57">
      <s:c r="A57" s="65" t="n"/>
      <s:c r="B57" s="65" t="n"/>
      <s:c r="C57" s="65" t="n"/>
      <s:c r="D57" s="65" t="n"/>
      <s:c r="E57" s="65" t="n"/>
      <s:c r="F57" s="65" t="n"/>
      <s:c r="G57" s="65" t="n"/>
      <s:c r="H57" s="76" t="n"/>
      <s:c r="I57" s="59" t="str">
        <s:f>IF($H57="","",$H57*Inputs!$C$12)</s:f>
        <s:v/>
      </s:c>
      <s:c r="J57" s="77" t="n"/>
      <s:c r="K57" s="61" t="str">
        <s:f>IF($J57="","",$B$3-$J57)</s:f>
        <s:v/>
      </s:c>
      <s:c r="L57" s="62" t="str">
        <s:f>IFERROR(INDEX('CRM Playbook'!$C$6:$C$10,MATCH($B57,'CRM Playbook'!$B$6:$B$10,0)),"")</s:f>
        <s:v/>
      </s:c>
      <s:c r="M57" s="63" t="str">
        <s:f>IF(OR($J57="",$L57=""),"",$J57+$L57)</s:f>
        <s:v/>
      </s:c>
      <s:c r="N57" s="64" t="str">
        <s:f>IF($A57="","",IF($J57="","NEW - reach out",IF($M57&lt;$B$3,"OVERDUE",IF($M57&lt;=$B$3+3,"DUE","Current"))))</s:f>
        <s:v/>
      </s:c>
      <s:c r="O57" s="65" t="n"/>
      <s:c r="P57" s="65" t="n"/>
      <s:c r="Q57" s="65" t="n"/>
      <s:c r="R57" s="66" t="str">
        <s:f>IF($A57="","",IF($J57="",9999+ROW()/100000,IF($M57&gt;$B$3,"",($B$3-$M57)+ROW()/100000)))</s:f>
        <s:v/>
      </s:c>
    </s:row>
    <s:row r="58">
      <s:c r="A58" s="67" t="n"/>
      <s:c r="B58" s="67" t="n"/>
      <s:c r="C58" s="67" t="n"/>
      <s:c r="D58" s="67" t="n"/>
      <s:c r="E58" s="67" t="n"/>
      <s:c r="F58" s="67" t="n"/>
      <s:c r="G58" s="67" t="n"/>
      <s:c r="H58" s="68" t="n"/>
      <s:c r="I58" s="69" t="str">
        <s:f>IF($H58="","",$H58*Inputs!$C$12)</s:f>
        <s:v/>
      </s:c>
      <s:c r="J58" s="70" t="n"/>
      <s:c r="K58" s="71" t="str">
        <s:f>IF($J58="","",$B$3-$J58)</s:f>
        <s:v/>
      </s:c>
      <s:c r="L58" s="72" t="str">
        <s:f>IFERROR(INDEX('CRM Playbook'!$C$6:$C$10,MATCH($B58,'CRM Playbook'!$B$6:$B$10,0)),"")</s:f>
        <s:v/>
      </s:c>
      <s:c r="M58" s="73" t="str">
        <s:f>IF(OR($J58="",$L58=""),"",$J58+$L58)</s:f>
        <s:v/>
      </s:c>
      <s:c r="N58" s="74" t="str">
        <s:f>IF($A58="","",IF($J58="","NEW - reach out",IF($M58&lt;$B$3,"OVERDUE",IF($M58&lt;=$B$3+3,"DUE","Current"))))</s:f>
        <s:v/>
      </s:c>
      <s:c r="O58" s="67" t="n"/>
      <s:c r="P58" s="67" t="n"/>
      <s:c r="Q58" s="67" t="n"/>
      <s:c r="R58" s="75" t="str">
        <s:f>IF($A58="","",IF($J58="",9999+ROW()/100000,IF($M58&gt;$B$3,"",($B$3-$M58)+ROW()/100000)))</s:f>
        <s:v/>
      </s:c>
    </s:row>
    <s:row r="59">
      <s:c r="A59" s="65" t="n"/>
      <s:c r="B59" s="65" t="n"/>
      <s:c r="C59" s="65" t="n"/>
      <s:c r="D59" s="65" t="n"/>
      <s:c r="E59" s="65" t="n"/>
      <s:c r="F59" s="65" t="n"/>
      <s:c r="G59" s="65" t="n"/>
      <s:c r="H59" s="76" t="n"/>
      <s:c r="I59" s="59" t="str">
        <s:f>IF($H59="","",$H59*Inputs!$C$12)</s:f>
        <s:v/>
      </s:c>
      <s:c r="J59" s="77" t="n"/>
      <s:c r="K59" s="61" t="str">
        <s:f>IF($J59="","",$B$3-$J59)</s:f>
        <s:v/>
      </s:c>
      <s:c r="L59" s="62" t="str">
        <s:f>IFERROR(INDEX('CRM Playbook'!$C$6:$C$10,MATCH($B59,'CRM Playbook'!$B$6:$B$10,0)),"")</s:f>
        <s:v/>
      </s:c>
      <s:c r="M59" s="63" t="str">
        <s:f>IF(OR($J59="",$L59=""),"",$J59+$L59)</s:f>
        <s:v/>
      </s:c>
      <s:c r="N59" s="64" t="str">
        <s:f>IF($A59="","",IF($J59="","NEW - reach out",IF($M59&lt;$B$3,"OVERDUE",IF($M59&lt;=$B$3+3,"DUE","Current"))))</s:f>
        <s:v/>
      </s:c>
      <s:c r="O59" s="65" t="n"/>
      <s:c r="P59" s="65" t="n"/>
      <s:c r="Q59" s="65" t="n"/>
      <s:c r="R59" s="66" t="str">
        <s:f>IF($A59="","",IF($J59="",9999+ROW()/100000,IF($M59&gt;$B$3,"",($B$3-$M59)+ROW()/100000)))</s:f>
        <s:v/>
      </s:c>
    </s:row>
    <s:row r="60">
      <s:c r="A60" s="67" t="n"/>
      <s:c r="B60" s="67" t="n"/>
      <s:c r="C60" s="67" t="n"/>
      <s:c r="D60" s="67" t="n"/>
      <s:c r="E60" s="67" t="n"/>
      <s:c r="F60" s="67" t="n"/>
      <s:c r="G60" s="67" t="n"/>
      <s:c r="H60" s="68" t="n"/>
      <s:c r="I60" s="69" t="str">
        <s:f>IF($H60="","",$H60*Inputs!$C$12)</s:f>
        <s:v/>
      </s:c>
      <s:c r="J60" s="70" t="n"/>
      <s:c r="K60" s="71" t="str">
        <s:f>IF($J60="","",$B$3-$J60)</s:f>
        <s:v/>
      </s:c>
      <s:c r="L60" s="72" t="str">
        <s:f>IFERROR(INDEX('CRM Playbook'!$C$6:$C$10,MATCH($B60,'CRM Playbook'!$B$6:$B$10,0)),"")</s:f>
        <s:v/>
      </s:c>
      <s:c r="M60" s="73" t="str">
        <s:f>IF(OR($J60="",$L60=""),"",$J60+$L60)</s:f>
        <s:v/>
      </s:c>
      <s:c r="N60" s="74" t="str">
        <s:f>IF($A60="","",IF($J60="","NEW - reach out",IF($M60&lt;$B$3,"OVERDUE",IF($M60&lt;=$B$3+3,"DUE","Current"))))</s:f>
        <s:v/>
      </s:c>
      <s:c r="O60" s="67" t="n"/>
      <s:c r="P60" s="67" t="n"/>
      <s:c r="Q60" s="67" t="n"/>
      <s:c r="R60" s="75" t="str">
        <s:f>IF($A60="","",IF($J60="",9999+ROW()/100000,IF($M60&gt;$B$3,"",($B$3-$M60)+ROW()/100000)))</s:f>
        <s:v/>
      </s:c>
    </s:row>
    <s:row r="61">
      <s:c r="A61" s="65" t="n"/>
      <s:c r="B61" s="65" t="n"/>
      <s:c r="C61" s="65" t="n"/>
      <s:c r="D61" s="65" t="n"/>
      <s:c r="E61" s="65" t="n"/>
      <s:c r="F61" s="65" t="n"/>
      <s:c r="G61" s="65" t="n"/>
      <s:c r="H61" s="76" t="n"/>
      <s:c r="I61" s="59" t="str">
        <s:f>IF($H61="","",$H61*Inputs!$C$12)</s:f>
        <s:v/>
      </s:c>
      <s:c r="J61" s="77" t="n"/>
      <s:c r="K61" s="61" t="str">
        <s:f>IF($J61="","",$B$3-$J61)</s:f>
        <s:v/>
      </s:c>
      <s:c r="L61" s="62" t="str">
        <s:f>IFERROR(INDEX('CRM Playbook'!$C$6:$C$10,MATCH($B61,'CRM Playbook'!$B$6:$B$10,0)),"")</s:f>
        <s:v/>
      </s:c>
      <s:c r="M61" s="63" t="str">
        <s:f>IF(OR($J61="",$L61=""),"",$J61+$L61)</s:f>
        <s:v/>
      </s:c>
      <s:c r="N61" s="64" t="str">
        <s:f>IF($A61="","",IF($J61="","NEW - reach out",IF($M61&lt;$B$3,"OVERDUE",IF($M61&lt;=$B$3+3,"DUE","Current"))))</s:f>
        <s:v/>
      </s:c>
      <s:c r="O61" s="65" t="n"/>
      <s:c r="P61" s="65" t="n"/>
      <s:c r="Q61" s="65" t="n"/>
      <s:c r="R61" s="66" t="str">
        <s:f>IF($A61="","",IF($J61="",9999+ROW()/100000,IF($M61&gt;$B$3,"",($B$3-$M61)+ROW()/100000)))</s:f>
        <s:v/>
      </s:c>
    </s:row>
    <s:row r="62">
      <s:c r="A62" s="67" t="n"/>
      <s:c r="B62" s="67" t="n"/>
      <s:c r="C62" s="67" t="n"/>
      <s:c r="D62" s="67" t="n"/>
      <s:c r="E62" s="67" t="n"/>
      <s:c r="F62" s="67" t="n"/>
      <s:c r="G62" s="67" t="n"/>
      <s:c r="H62" s="68" t="n"/>
      <s:c r="I62" s="69" t="str">
        <s:f>IF($H62="","",$H62*Inputs!$C$12)</s:f>
        <s:v/>
      </s:c>
      <s:c r="J62" s="70" t="n"/>
      <s:c r="K62" s="71" t="str">
        <s:f>IF($J62="","",$B$3-$J62)</s:f>
        <s:v/>
      </s:c>
      <s:c r="L62" s="72" t="str">
        <s:f>IFERROR(INDEX('CRM Playbook'!$C$6:$C$10,MATCH($B62,'CRM Playbook'!$B$6:$B$10,0)),"")</s:f>
        <s:v/>
      </s:c>
      <s:c r="M62" s="73" t="str">
        <s:f>IF(OR($J62="",$L62=""),"",$J62+$L62)</s:f>
        <s:v/>
      </s:c>
      <s:c r="N62" s="74" t="str">
        <s:f>IF($A62="","",IF($J62="","NEW - reach out",IF($M62&lt;$B$3,"OVERDUE",IF($M62&lt;=$B$3+3,"DUE","Current"))))</s:f>
        <s:v/>
      </s:c>
      <s:c r="O62" s="67" t="n"/>
      <s:c r="P62" s="67" t="n"/>
      <s:c r="Q62" s="67" t="n"/>
      <s:c r="R62" s="75" t="str">
        <s:f>IF($A62="","",IF($J62="",9999+ROW()/100000,IF($M62&gt;$B$3,"",($B$3-$M62)+ROW()/100000)))</s:f>
        <s:v/>
      </s:c>
    </s:row>
    <s:row r="63">
      <s:c r="A63" s="65" t="n"/>
      <s:c r="B63" s="65" t="n"/>
      <s:c r="C63" s="65" t="n"/>
      <s:c r="D63" s="65" t="n"/>
      <s:c r="E63" s="65" t="n"/>
      <s:c r="F63" s="65" t="n"/>
      <s:c r="G63" s="65" t="n"/>
      <s:c r="H63" s="76" t="n"/>
      <s:c r="I63" s="59" t="str">
        <s:f>IF($H63="","",$H63*Inputs!$C$12)</s:f>
        <s:v/>
      </s:c>
      <s:c r="J63" s="77" t="n"/>
      <s:c r="K63" s="61" t="str">
        <s:f>IF($J63="","",$B$3-$J63)</s:f>
        <s:v/>
      </s:c>
      <s:c r="L63" s="62" t="str">
        <s:f>IFERROR(INDEX('CRM Playbook'!$C$6:$C$10,MATCH($B63,'CRM Playbook'!$B$6:$B$10,0)),"")</s:f>
        <s:v/>
      </s:c>
      <s:c r="M63" s="63" t="str">
        <s:f>IF(OR($J63="",$L63=""),"",$J63+$L63)</s:f>
        <s:v/>
      </s:c>
      <s:c r="N63" s="64" t="str">
        <s:f>IF($A63="","",IF($J63="","NEW - reach out",IF($M63&lt;$B$3,"OVERDUE",IF($M63&lt;=$B$3+3,"DUE","Current"))))</s:f>
        <s:v/>
      </s:c>
      <s:c r="O63" s="65" t="n"/>
      <s:c r="P63" s="65" t="n"/>
      <s:c r="Q63" s="65" t="n"/>
      <s:c r="R63" s="66" t="str">
        <s:f>IF($A63="","",IF($J63="",9999+ROW()/100000,IF($M63&gt;$B$3,"",($B$3-$M63)+ROW()/100000)))</s:f>
        <s:v/>
      </s:c>
    </s:row>
    <s:row r="64">
      <s:c r="A64" s="67" t="n"/>
      <s:c r="B64" s="67" t="n"/>
      <s:c r="C64" s="67" t="n"/>
      <s:c r="D64" s="67" t="n"/>
      <s:c r="E64" s="67" t="n"/>
      <s:c r="F64" s="67" t="n"/>
      <s:c r="G64" s="67" t="n"/>
      <s:c r="H64" s="68" t="n"/>
      <s:c r="I64" s="69" t="str">
        <s:f>IF($H64="","",$H64*Inputs!$C$12)</s:f>
        <s:v/>
      </s:c>
      <s:c r="J64" s="70" t="n"/>
      <s:c r="K64" s="71" t="str">
        <s:f>IF($J64="","",$B$3-$J64)</s:f>
        <s:v/>
      </s:c>
      <s:c r="L64" s="72" t="str">
        <s:f>IFERROR(INDEX('CRM Playbook'!$C$6:$C$10,MATCH($B64,'CRM Playbook'!$B$6:$B$10,0)),"")</s:f>
        <s:v/>
      </s:c>
      <s:c r="M64" s="73" t="str">
        <s:f>IF(OR($J64="",$L64=""),"",$J64+$L64)</s:f>
        <s:v/>
      </s:c>
      <s:c r="N64" s="74" t="str">
        <s:f>IF($A64="","",IF($J64="","NEW - reach out",IF($M64&lt;$B$3,"OVERDUE",IF($M64&lt;=$B$3+3,"DUE","Current"))))</s:f>
        <s:v/>
      </s:c>
      <s:c r="O64" s="67" t="n"/>
      <s:c r="P64" s="67" t="n"/>
      <s:c r="Q64" s="67" t="n"/>
      <s:c r="R64" s="75" t="str">
        <s:f>IF($A64="","",IF($J64="",9999+ROW()/100000,IF($M64&gt;$B$3,"",($B$3-$M64)+ROW()/100000)))</s:f>
        <s:v/>
      </s:c>
    </s:row>
    <s:row r="65">
      <s:c r="A65" s="65" t="n"/>
      <s:c r="B65" s="65" t="n"/>
      <s:c r="C65" s="65" t="n"/>
      <s:c r="D65" s="65" t="n"/>
      <s:c r="E65" s="65" t="n"/>
      <s:c r="F65" s="65" t="n"/>
      <s:c r="G65" s="65" t="n"/>
      <s:c r="H65" s="76" t="n"/>
      <s:c r="I65" s="59" t="str">
        <s:f>IF($H65="","",$H65*Inputs!$C$12)</s:f>
        <s:v/>
      </s:c>
      <s:c r="J65" s="77" t="n"/>
      <s:c r="K65" s="61" t="str">
        <s:f>IF($J65="","",$B$3-$J65)</s:f>
        <s:v/>
      </s:c>
      <s:c r="L65" s="62" t="str">
        <s:f>IFERROR(INDEX('CRM Playbook'!$C$6:$C$10,MATCH($B65,'CRM Playbook'!$B$6:$B$10,0)),"")</s:f>
        <s:v/>
      </s:c>
      <s:c r="M65" s="63" t="str">
        <s:f>IF(OR($J65="",$L65=""),"",$J65+$L65)</s:f>
        <s:v/>
      </s:c>
      <s:c r="N65" s="64" t="str">
        <s:f>IF($A65="","",IF($J65="","NEW - reach out",IF($M65&lt;$B$3,"OVERDUE",IF($M65&lt;=$B$3+3,"DUE","Current"))))</s:f>
        <s:v/>
      </s:c>
      <s:c r="O65" s="65" t="n"/>
      <s:c r="P65" s="65" t="n"/>
      <s:c r="Q65" s="65" t="n"/>
      <s:c r="R65" s="66" t="str">
        <s:f>IF($A65="","",IF($J65="",9999+ROW()/100000,IF($M65&gt;$B$3,"",($B$3-$M65)+ROW()/100000)))</s:f>
        <s:v/>
      </s:c>
    </s:row>
    <s:row r="66">
      <s:c r="A66" s="67" t="n"/>
      <s:c r="B66" s="67" t="n"/>
      <s:c r="C66" s="67" t="n"/>
      <s:c r="D66" s="67" t="n"/>
      <s:c r="E66" s="67" t="n"/>
      <s:c r="F66" s="67" t="n"/>
      <s:c r="G66" s="67" t="n"/>
      <s:c r="H66" s="68" t="n"/>
      <s:c r="I66" s="69" t="str">
        <s:f>IF($H66="","",$H66*Inputs!$C$12)</s:f>
        <s:v/>
      </s:c>
      <s:c r="J66" s="70" t="n"/>
      <s:c r="K66" s="71" t="str">
        <s:f>IF($J66="","",$B$3-$J66)</s:f>
        <s:v/>
      </s:c>
      <s:c r="L66" s="72" t="str">
        <s:f>IFERROR(INDEX('CRM Playbook'!$C$6:$C$10,MATCH($B66,'CRM Playbook'!$B$6:$B$10,0)),"")</s:f>
        <s:v/>
      </s:c>
      <s:c r="M66" s="73" t="str">
        <s:f>IF(OR($J66="",$L66=""),"",$J66+$L66)</s:f>
        <s:v/>
      </s:c>
      <s:c r="N66" s="74" t="str">
        <s:f>IF($A66="","",IF($J66="","NEW - reach out",IF($M66&lt;$B$3,"OVERDUE",IF($M66&lt;=$B$3+3,"DUE","Current"))))</s:f>
        <s:v/>
      </s:c>
      <s:c r="O66" s="67" t="n"/>
      <s:c r="P66" s="67" t="n"/>
      <s:c r="Q66" s="67" t="n"/>
      <s:c r="R66" s="75" t="str">
        <s:f>IF($A66="","",IF($J66="",9999+ROW()/100000,IF($M66&gt;$B$3,"",($B$3-$M66)+ROW()/100000)))</s:f>
        <s:v/>
      </s:c>
    </s:row>
    <s:row r="67">
      <s:c r="A67" s="65" t="n"/>
      <s:c r="B67" s="65" t="n"/>
      <s:c r="C67" s="65" t="n"/>
      <s:c r="D67" s="65" t="n"/>
      <s:c r="E67" s="65" t="n"/>
      <s:c r="F67" s="65" t="n"/>
      <s:c r="G67" s="65" t="n"/>
      <s:c r="H67" s="76" t="n"/>
      <s:c r="I67" s="59" t="str">
        <s:f>IF($H67="","",$H67*Inputs!$C$12)</s:f>
        <s:v/>
      </s:c>
      <s:c r="J67" s="77" t="n"/>
      <s:c r="K67" s="61" t="str">
        <s:f>IF($J67="","",$B$3-$J67)</s:f>
        <s:v/>
      </s:c>
      <s:c r="L67" s="62" t="str">
        <s:f>IFERROR(INDEX('CRM Playbook'!$C$6:$C$10,MATCH($B67,'CRM Playbook'!$B$6:$B$10,0)),"")</s:f>
        <s:v/>
      </s:c>
      <s:c r="M67" s="63" t="str">
        <s:f>IF(OR($J67="",$L67=""),"",$J67+$L67)</s:f>
        <s:v/>
      </s:c>
      <s:c r="N67" s="64" t="str">
        <s:f>IF($A67="","",IF($J67="","NEW - reach out",IF($M67&lt;$B$3,"OVERDUE",IF($M67&lt;=$B$3+3,"DUE","Current"))))</s:f>
        <s:v/>
      </s:c>
      <s:c r="O67" s="65" t="n"/>
      <s:c r="P67" s="65" t="n"/>
      <s:c r="Q67" s="65" t="n"/>
      <s:c r="R67" s="66" t="str">
        <s:f>IF($A67="","",IF($J67="",9999+ROW()/100000,IF($M67&gt;$B$3,"",($B$3-$M67)+ROW()/100000)))</s:f>
        <s:v/>
      </s:c>
    </s:row>
    <s:row r="68">
      <s:c r="A68" s="67" t="n"/>
      <s:c r="B68" s="67" t="n"/>
      <s:c r="C68" s="67" t="n"/>
      <s:c r="D68" s="67" t="n"/>
      <s:c r="E68" s="67" t="n"/>
      <s:c r="F68" s="67" t="n"/>
      <s:c r="G68" s="67" t="n"/>
      <s:c r="H68" s="68" t="n"/>
      <s:c r="I68" s="69" t="str">
        <s:f>IF($H68="","",$H68*Inputs!$C$12)</s:f>
        <s:v/>
      </s:c>
      <s:c r="J68" s="70" t="n"/>
      <s:c r="K68" s="71" t="str">
        <s:f>IF($J68="","",$B$3-$J68)</s:f>
        <s:v/>
      </s:c>
      <s:c r="L68" s="72" t="str">
        <s:f>IFERROR(INDEX('CRM Playbook'!$C$6:$C$10,MATCH($B68,'CRM Playbook'!$B$6:$B$10,0)),"")</s:f>
        <s:v/>
      </s:c>
      <s:c r="M68" s="73" t="str">
        <s:f>IF(OR($J68="",$L68=""),"",$J68+$L68)</s:f>
        <s:v/>
      </s:c>
      <s:c r="N68" s="74" t="str">
        <s:f>IF($A68="","",IF($J68="","NEW - reach out",IF($M68&lt;$B$3,"OVERDUE",IF($M68&lt;=$B$3+3,"DUE","Current"))))</s:f>
        <s:v/>
      </s:c>
      <s:c r="O68" s="67" t="n"/>
      <s:c r="P68" s="67" t="n"/>
      <s:c r="Q68" s="67" t="n"/>
      <s:c r="R68" s="75" t="str">
        <s:f>IF($A68="","",IF($J68="",9999+ROW()/100000,IF($M68&gt;$B$3,"",($B$3-$M68)+ROW()/100000)))</s:f>
        <s:v/>
      </s:c>
    </s:row>
    <s:row r="69">
      <s:c r="A69" s="65" t="n"/>
      <s:c r="B69" s="65" t="n"/>
      <s:c r="C69" s="65" t="n"/>
      <s:c r="D69" s="65" t="n"/>
      <s:c r="E69" s="65" t="n"/>
      <s:c r="F69" s="65" t="n"/>
      <s:c r="G69" s="65" t="n"/>
      <s:c r="H69" s="76" t="n"/>
      <s:c r="I69" s="59" t="str">
        <s:f>IF($H69="","",$H69*Inputs!$C$12)</s:f>
        <s:v/>
      </s:c>
      <s:c r="J69" s="77" t="n"/>
      <s:c r="K69" s="61" t="str">
        <s:f>IF($J69="","",$B$3-$J69)</s:f>
        <s:v/>
      </s:c>
      <s:c r="L69" s="62" t="str">
        <s:f>IFERROR(INDEX('CRM Playbook'!$C$6:$C$10,MATCH($B69,'CRM Playbook'!$B$6:$B$10,0)),"")</s:f>
        <s:v/>
      </s:c>
      <s:c r="M69" s="63" t="str">
        <s:f>IF(OR($J69="",$L69=""),"",$J69+$L69)</s:f>
        <s:v/>
      </s:c>
      <s:c r="N69" s="64" t="str">
        <s:f>IF($A69="","",IF($J69="","NEW - reach out",IF($M69&lt;$B$3,"OVERDUE",IF($M69&lt;=$B$3+3,"DUE","Current"))))</s:f>
        <s:v/>
      </s:c>
      <s:c r="O69" s="65" t="n"/>
      <s:c r="P69" s="65" t="n"/>
      <s:c r="Q69" s="65" t="n"/>
      <s:c r="R69" s="66" t="str">
        <s:f>IF($A69="","",IF($J69="",9999+ROW()/100000,IF($M69&gt;$B$3,"",($B$3-$M69)+ROW()/100000)))</s:f>
        <s:v/>
      </s:c>
    </s:row>
    <s:row r="70">
      <s:c r="A70" s="67" t="n"/>
      <s:c r="B70" s="67" t="n"/>
      <s:c r="C70" s="67" t="n"/>
      <s:c r="D70" s="67" t="n"/>
      <s:c r="E70" s="67" t="n"/>
      <s:c r="F70" s="67" t="n"/>
      <s:c r="G70" s="67" t="n"/>
      <s:c r="H70" s="68" t="n"/>
      <s:c r="I70" s="69" t="str">
        <s:f>IF($H70="","",$H70*Inputs!$C$12)</s:f>
        <s:v/>
      </s:c>
      <s:c r="J70" s="70" t="n"/>
      <s:c r="K70" s="71" t="str">
        <s:f>IF($J70="","",$B$3-$J70)</s:f>
        <s:v/>
      </s:c>
      <s:c r="L70" s="72" t="str">
        <s:f>IFERROR(INDEX('CRM Playbook'!$C$6:$C$10,MATCH($B70,'CRM Playbook'!$B$6:$B$10,0)),"")</s:f>
        <s:v/>
      </s:c>
      <s:c r="M70" s="73" t="str">
        <s:f>IF(OR($J70="",$L70=""),"",$J70+$L70)</s:f>
        <s:v/>
      </s:c>
      <s:c r="N70" s="74" t="str">
        <s:f>IF($A70="","",IF($J70="","NEW - reach out",IF($M70&lt;$B$3,"OVERDUE",IF($M70&lt;=$B$3+3,"DUE","Current"))))</s:f>
        <s:v/>
      </s:c>
      <s:c r="O70" s="67" t="n"/>
      <s:c r="P70" s="67" t="n"/>
      <s:c r="Q70" s="67" t="n"/>
      <s:c r="R70" s="75" t="str">
        <s:f>IF($A70="","",IF($J70="",9999+ROW()/100000,IF($M70&gt;$B$3,"",($B$3-$M70)+ROW()/100000)))</s:f>
        <s:v/>
      </s:c>
    </s:row>
    <s:row r="71">
      <s:c r="A71" s="65" t="n"/>
      <s:c r="B71" s="65" t="n"/>
      <s:c r="C71" s="65" t="n"/>
      <s:c r="D71" s="65" t="n"/>
      <s:c r="E71" s="65" t="n"/>
      <s:c r="F71" s="65" t="n"/>
      <s:c r="G71" s="65" t="n"/>
      <s:c r="H71" s="76" t="n"/>
      <s:c r="I71" s="59" t="str">
        <s:f>IF($H71="","",$H71*Inputs!$C$12)</s:f>
        <s:v/>
      </s:c>
      <s:c r="J71" s="77" t="n"/>
      <s:c r="K71" s="61" t="str">
        <s:f>IF($J71="","",$B$3-$J71)</s:f>
        <s:v/>
      </s:c>
      <s:c r="L71" s="62" t="str">
        <s:f>IFERROR(INDEX('CRM Playbook'!$C$6:$C$10,MATCH($B71,'CRM Playbook'!$B$6:$B$10,0)),"")</s:f>
        <s:v/>
      </s:c>
      <s:c r="M71" s="63" t="str">
        <s:f>IF(OR($J71="",$L71=""),"",$J71+$L71)</s:f>
        <s:v/>
      </s:c>
      <s:c r="N71" s="64" t="str">
        <s:f>IF($A71="","",IF($J71="","NEW - reach out",IF($M71&lt;$B$3,"OVERDUE",IF($M71&lt;=$B$3+3,"DUE","Current"))))</s:f>
        <s:v/>
      </s:c>
      <s:c r="O71" s="65" t="n"/>
      <s:c r="P71" s="65" t="n"/>
      <s:c r="Q71" s="65" t="n"/>
      <s:c r="R71" s="66" t="str">
        <s:f>IF($A71="","",IF($J71="",9999+ROW()/100000,IF($M71&gt;$B$3,"",($B$3-$M71)+ROW()/100000)))</s:f>
        <s:v/>
      </s:c>
    </s:row>
    <s:row r="72">
      <s:c r="A72" s="67" t="n"/>
      <s:c r="B72" s="67" t="n"/>
      <s:c r="C72" s="67" t="n"/>
      <s:c r="D72" s="67" t="n"/>
      <s:c r="E72" s="67" t="n"/>
      <s:c r="F72" s="67" t="n"/>
      <s:c r="G72" s="67" t="n"/>
      <s:c r="H72" s="68" t="n"/>
      <s:c r="I72" s="69" t="str">
        <s:f>IF($H72="","",$H72*Inputs!$C$12)</s:f>
        <s:v/>
      </s:c>
      <s:c r="J72" s="70" t="n"/>
      <s:c r="K72" s="71" t="str">
        <s:f>IF($J72="","",$B$3-$J72)</s:f>
        <s:v/>
      </s:c>
      <s:c r="L72" s="72" t="str">
        <s:f>IFERROR(INDEX('CRM Playbook'!$C$6:$C$10,MATCH($B72,'CRM Playbook'!$B$6:$B$10,0)),"")</s:f>
        <s:v/>
      </s:c>
      <s:c r="M72" s="73" t="str">
        <s:f>IF(OR($J72="",$L72=""),"",$J72+$L72)</s:f>
        <s:v/>
      </s:c>
      <s:c r="N72" s="74" t="str">
        <s:f>IF($A72="","",IF($J72="","NEW - reach out",IF($M72&lt;$B$3,"OVERDUE",IF($M72&lt;=$B$3+3,"DUE","Current"))))</s:f>
        <s:v/>
      </s:c>
      <s:c r="O72" s="67" t="n"/>
      <s:c r="P72" s="67" t="n"/>
      <s:c r="Q72" s="67" t="n"/>
      <s:c r="R72" s="75" t="str">
        <s:f>IF($A72="","",IF($J72="",9999+ROW()/100000,IF($M72&gt;$B$3,"",($B$3-$M72)+ROW()/100000)))</s:f>
        <s:v/>
      </s:c>
    </s:row>
    <s:row r="73">
      <s:c r="A73" s="65" t="n"/>
      <s:c r="B73" s="65" t="n"/>
      <s:c r="C73" s="65" t="n"/>
      <s:c r="D73" s="65" t="n"/>
      <s:c r="E73" s="65" t="n"/>
      <s:c r="F73" s="65" t="n"/>
      <s:c r="G73" s="65" t="n"/>
      <s:c r="H73" s="76" t="n"/>
      <s:c r="I73" s="59" t="str">
        <s:f>IF($H73="","",$H73*Inputs!$C$12)</s:f>
        <s:v/>
      </s:c>
      <s:c r="J73" s="77" t="n"/>
      <s:c r="K73" s="61" t="str">
        <s:f>IF($J73="","",$B$3-$J73)</s:f>
        <s:v/>
      </s:c>
      <s:c r="L73" s="62" t="str">
        <s:f>IFERROR(INDEX('CRM Playbook'!$C$6:$C$10,MATCH($B73,'CRM Playbook'!$B$6:$B$10,0)),"")</s:f>
        <s:v/>
      </s:c>
      <s:c r="M73" s="63" t="str">
        <s:f>IF(OR($J73="",$L73=""),"",$J73+$L73)</s:f>
        <s:v/>
      </s:c>
      <s:c r="N73" s="64" t="str">
        <s:f>IF($A73="","",IF($J73="","NEW - reach out",IF($M73&lt;$B$3,"OVERDUE",IF($M73&lt;=$B$3+3,"DUE","Current"))))</s:f>
        <s:v/>
      </s:c>
      <s:c r="O73" s="65" t="n"/>
      <s:c r="P73" s="65" t="n"/>
      <s:c r="Q73" s="65" t="n"/>
      <s:c r="R73" s="66" t="str">
        <s:f>IF($A73="","",IF($J73="",9999+ROW()/100000,IF($M73&gt;$B$3,"",($B$3-$M73)+ROW()/100000)))</s:f>
        <s:v/>
      </s:c>
    </s:row>
    <s:row r="74">
      <s:c r="A74" s="67" t="n"/>
      <s:c r="B74" s="67" t="n"/>
      <s:c r="C74" s="67" t="n"/>
      <s:c r="D74" s="67" t="n"/>
      <s:c r="E74" s="67" t="n"/>
      <s:c r="F74" s="67" t="n"/>
      <s:c r="G74" s="67" t="n"/>
      <s:c r="H74" s="68" t="n"/>
      <s:c r="I74" s="69" t="str">
        <s:f>IF($H74="","",$H74*Inputs!$C$12)</s:f>
        <s:v/>
      </s:c>
      <s:c r="J74" s="70" t="n"/>
      <s:c r="K74" s="71" t="str">
        <s:f>IF($J74="","",$B$3-$J74)</s:f>
        <s:v/>
      </s:c>
      <s:c r="L74" s="72" t="str">
        <s:f>IFERROR(INDEX('CRM Playbook'!$C$6:$C$10,MATCH($B74,'CRM Playbook'!$B$6:$B$10,0)),"")</s:f>
        <s:v/>
      </s:c>
      <s:c r="M74" s="73" t="str">
        <s:f>IF(OR($J74="",$L74=""),"",$J74+$L74)</s:f>
        <s:v/>
      </s:c>
      <s:c r="N74" s="74" t="str">
        <s:f>IF($A74="","",IF($J74="","NEW - reach out",IF($M74&lt;$B$3,"OVERDUE",IF($M74&lt;=$B$3+3,"DUE","Current"))))</s:f>
        <s:v/>
      </s:c>
      <s:c r="O74" s="67" t="n"/>
      <s:c r="P74" s="67" t="n"/>
      <s:c r="Q74" s="67" t="n"/>
      <s:c r="R74" s="75" t="str">
        <s:f>IF($A74="","",IF($J74="",9999+ROW()/100000,IF($M74&gt;$B$3,"",($B$3-$M74)+ROW()/100000)))</s:f>
        <s:v/>
      </s:c>
    </s:row>
    <s:row r="75">
      <s:c r="A75" s="65" t="n"/>
      <s:c r="B75" s="65" t="n"/>
      <s:c r="C75" s="65" t="n"/>
      <s:c r="D75" s="65" t="n"/>
      <s:c r="E75" s="65" t="n"/>
      <s:c r="F75" s="65" t="n"/>
      <s:c r="G75" s="65" t="n"/>
      <s:c r="H75" s="76" t="n"/>
      <s:c r="I75" s="59" t="str">
        <s:f>IF($H75="","",$H75*Inputs!$C$12)</s:f>
        <s:v/>
      </s:c>
      <s:c r="J75" s="77" t="n"/>
      <s:c r="K75" s="61" t="str">
        <s:f>IF($J75="","",$B$3-$J75)</s:f>
        <s:v/>
      </s:c>
      <s:c r="L75" s="62" t="str">
        <s:f>IFERROR(INDEX('CRM Playbook'!$C$6:$C$10,MATCH($B75,'CRM Playbook'!$B$6:$B$10,0)),"")</s:f>
        <s:v/>
      </s:c>
      <s:c r="M75" s="63" t="str">
        <s:f>IF(OR($J75="",$L75=""),"",$J75+$L75)</s:f>
        <s:v/>
      </s:c>
      <s:c r="N75" s="64" t="str">
        <s:f>IF($A75="","",IF($J75="","NEW - reach out",IF($M75&lt;$B$3,"OVERDUE",IF($M75&lt;=$B$3+3,"DUE","Current"))))</s:f>
        <s:v/>
      </s:c>
      <s:c r="O75" s="65" t="n"/>
      <s:c r="P75" s="65" t="n"/>
      <s:c r="Q75" s="65" t="n"/>
      <s:c r="R75" s="66" t="str">
        <s:f>IF($A75="","",IF($J75="",9999+ROW()/100000,IF($M75&gt;$B$3,"",($B$3-$M75)+ROW()/100000)))</s:f>
        <s:v/>
      </s:c>
    </s:row>
    <s:row r="76">
      <s:c r="A76" s="67" t="n"/>
      <s:c r="B76" s="67" t="n"/>
      <s:c r="C76" s="67" t="n"/>
      <s:c r="D76" s="67" t="n"/>
      <s:c r="E76" s="67" t="n"/>
      <s:c r="F76" s="67" t="n"/>
      <s:c r="G76" s="67" t="n"/>
      <s:c r="H76" s="68" t="n"/>
      <s:c r="I76" s="69" t="str">
        <s:f>IF($H76="","",$H76*Inputs!$C$12)</s:f>
        <s:v/>
      </s:c>
      <s:c r="J76" s="70" t="n"/>
      <s:c r="K76" s="71" t="str">
        <s:f>IF($J76="","",$B$3-$J76)</s:f>
        <s:v/>
      </s:c>
      <s:c r="L76" s="72" t="str">
        <s:f>IFERROR(INDEX('CRM Playbook'!$C$6:$C$10,MATCH($B76,'CRM Playbook'!$B$6:$B$10,0)),"")</s:f>
        <s:v/>
      </s:c>
      <s:c r="M76" s="73" t="str">
        <s:f>IF(OR($J76="",$L76=""),"",$J76+$L76)</s:f>
        <s:v/>
      </s:c>
      <s:c r="N76" s="74" t="str">
        <s:f>IF($A76="","",IF($J76="","NEW - reach out",IF($M76&lt;$B$3,"OVERDUE",IF($M76&lt;=$B$3+3,"DUE","Current"))))</s:f>
        <s:v/>
      </s:c>
      <s:c r="O76" s="67" t="n"/>
      <s:c r="P76" s="67" t="n"/>
      <s:c r="Q76" s="67" t="n"/>
      <s:c r="R76" s="75" t="str">
        <s:f>IF($A76="","",IF($J76="",9999+ROW()/100000,IF($M76&gt;$B$3,"",($B$3-$M76)+ROW()/100000)))</s:f>
        <s:v/>
      </s:c>
    </s:row>
    <s:row r="77">
      <s:c r="A77" s="65" t="n"/>
      <s:c r="B77" s="65" t="n"/>
      <s:c r="C77" s="65" t="n"/>
      <s:c r="D77" s="65" t="n"/>
      <s:c r="E77" s="65" t="n"/>
      <s:c r="F77" s="65" t="n"/>
      <s:c r="G77" s="65" t="n"/>
      <s:c r="H77" s="76" t="n"/>
      <s:c r="I77" s="59" t="str">
        <s:f>IF($H77="","",$H77*Inputs!$C$12)</s:f>
        <s:v/>
      </s:c>
      <s:c r="J77" s="77" t="n"/>
      <s:c r="K77" s="61" t="str">
        <s:f>IF($J77="","",$B$3-$J77)</s:f>
        <s:v/>
      </s:c>
      <s:c r="L77" s="62" t="str">
        <s:f>IFERROR(INDEX('CRM Playbook'!$C$6:$C$10,MATCH($B77,'CRM Playbook'!$B$6:$B$10,0)),"")</s:f>
        <s:v/>
      </s:c>
      <s:c r="M77" s="63" t="str">
        <s:f>IF(OR($J77="",$L77=""),"",$J77+$L77)</s:f>
        <s:v/>
      </s:c>
      <s:c r="N77" s="64" t="str">
        <s:f>IF($A77="","",IF($J77="","NEW - reach out",IF($M77&lt;$B$3,"OVERDUE",IF($M77&lt;=$B$3+3,"DUE","Current"))))</s:f>
        <s:v/>
      </s:c>
      <s:c r="O77" s="65" t="n"/>
      <s:c r="P77" s="65" t="n"/>
      <s:c r="Q77" s="65" t="n"/>
      <s:c r="R77" s="66" t="str">
        <s:f>IF($A77="","",IF($J77="",9999+ROW()/100000,IF($M77&gt;$B$3,"",($B$3-$M77)+ROW()/100000)))</s:f>
        <s:v/>
      </s:c>
    </s:row>
    <s:row r="78">
      <s:c r="A78" s="67" t="n"/>
      <s:c r="B78" s="67" t="n"/>
      <s:c r="C78" s="67" t="n"/>
      <s:c r="D78" s="67" t="n"/>
      <s:c r="E78" s="67" t="n"/>
      <s:c r="F78" s="67" t="n"/>
      <s:c r="G78" s="67" t="n"/>
      <s:c r="H78" s="68" t="n"/>
      <s:c r="I78" s="69" t="str">
        <s:f>IF($H78="","",$H78*Inputs!$C$12)</s:f>
        <s:v/>
      </s:c>
      <s:c r="J78" s="70" t="n"/>
      <s:c r="K78" s="71" t="str">
        <s:f>IF($J78="","",$B$3-$J78)</s:f>
        <s:v/>
      </s:c>
      <s:c r="L78" s="72" t="str">
        <s:f>IFERROR(INDEX('CRM Playbook'!$C$6:$C$10,MATCH($B78,'CRM Playbook'!$B$6:$B$10,0)),"")</s:f>
        <s:v/>
      </s:c>
      <s:c r="M78" s="73" t="str">
        <s:f>IF(OR($J78="",$L78=""),"",$J78+$L78)</s:f>
        <s:v/>
      </s:c>
      <s:c r="N78" s="74" t="str">
        <s:f>IF($A78="","",IF($J78="","NEW - reach out",IF($M78&lt;$B$3,"OVERDUE",IF($M78&lt;=$B$3+3,"DUE","Current"))))</s:f>
        <s:v/>
      </s:c>
      <s:c r="O78" s="67" t="n"/>
      <s:c r="P78" s="67" t="n"/>
      <s:c r="Q78" s="67" t="n"/>
      <s:c r="R78" s="75" t="str">
        <s:f>IF($A78="","",IF($J78="",9999+ROW()/100000,IF($M78&gt;$B$3,"",($B$3-$M78)+ROW()/100000)))</s:f>
        <s:v/>
      </s:c>
    </s:row>
    <s:row r="79">
      <s:c r="A79" s="65" t="n"/>
      <s:c r="B79" s="65" t="n"/>
      <s:c r="C79" s="65" t="n"/>
      <s:c r="D79" s="65" t="n"/>
      <s:c r="E79" s="65" t="n"/>
      <s:c r="F79" s="65" t="n"/>
      <s:c r="G79" s="65" t="n"/>
      <s:c r="H79" s="76" t="n"/>
      <s:c r="I79" s="59" t="str">
        <s:f>IF($H79="","",$H79*Inputs!$C$12)</s:f>
        <s:v/>
      </s:c>
      <s:c r="J79" s="77" t="n"/>
      <s:c r="K79" s="61" t="str">
        <s:f>IF($J79="","",$B$3-$J79)</s:f>
        <s:v/>
      </s:c>
      <s:c r="L79" s="62" t="str">
        <s:f>IFERROR(INDEX('CRM Playbook'!$C$6:$C$10,MATCH($B79,'CRM Playbook'!$B$6:$B$10,0)),"")</s:f>
        <s:v/>
      </s:c>
      <s:c r="M79" s="63" t="str">
        <s:f>IF(OR($J79="",$L79=""),"",$J79+$L79)</s:f>
        <s:v/>
      </s:c>
      <s:c r="N79" s="64" t="str">
        <s:f>IF($A79="","",IF($J79="","NEW - reach out",IF($M79&lt;$B$3,"OVERDUE",IF($M79&lt;=$B$3+3,"DUE","Current"))))</s:f>
        <s:v/>
      </s:c>
      <s:c r="O79" s="65" t="n"/>
      <s:c r="P79" s="65" t="n"/>
      <s:c r="Q79" s="65" t="n"/>
      <s:c r="R79" s="66" t="str">
        <s:f>IF($A79="","",IF($J79="",9999+ROW()/100000,IF($M79&gt;$B$3,"",($B$3-$M79)+ROW()/100000)))</s:f>
        <s:v/>
      </s:c>
    </s:row>
    <s:row r="80">
      <s:c r="A80" s="67" t="n"/>
      <s:c r="B80" s="67" t="n"/>
      <s:c r="C80" s="67" t="n"/>
      <s:c r="D80" s="67" t="n"/>
      <s:c r="E80" s="67" t="n"/>
      <s:c r="F80" s="67" t="n"/>
      <s:c r="G80" s="67" t="n"/>
      <s:c r="H80" s="68" t="n"/>
      <s:c r="I80" s="69" t="str">
        <s:f>IF($H80="","",$H80*Inputs!$C$12)</s:f>
        <s:v/>
      </s:c>
      <s:c r="J80" s="70" t="n"/>
      <s:c r="K80" s="71" t="str">
        <s:f>IF($J80="","",$B$3-$J80)</s:f>
        <s:v/>
      </s:c>
      <s:c r="L80" s="72" t="str">
        <s:f>IFERROR(INDEX('CRM Playbook'!$C$6:$C$10,MATCH($B80,'CRM Playbook'!$B$6:$B$10,0)),"")</s:f>
        <s:v/>
      </s:c>
      <s:c r="M80" s="73" t="str">
        <s:f>IF(OR($J80="",$L80=""),"",$J80+$L80)</s:f>
        <s:v/>
      </s:c>
      <s:c r="N80" s="74" t="str">
        <s:f>IF($A80="","",IF($J80="","NEW - reach out",IF($M80&lt;$B$3,"OVERDUE",IF($M80&lt;=$B$3+3,"DUE","Current"))))</s:f>
        <s:v/>
      </s:c>
      <s:c r="O80" s="67" t="n"/>
      <s:c r="P80" s="67" t="n"/>
      <s:c r="Q80" s="67" t="n"/>
      <s:c r="R80" s="75" t="str">
        <s:f>IF($A80="","",IF($J80="",9999+ROW()/100000,IF($M80&gt;$B$3,"",($B$3-$M80)+ROW()/100000)))</s:f>
        <s:v/>
      </s:c>
    </s:row>
    <s:row r="81">
      <s:c r="A81" s="65" t="n"/>
      <s:c r="B81" s="65" t="n"/>
      <s:c r="C81" s="65" t="n"/>
      <s:c r="D81" s="65" t="n"/>
      <s:c r="E81" s="65" t="n"/>
      <s:c r="F81" s="65" t="n"/>
      <s:c r="G81" s="65" t="n"/>
      <s:c r="H81" s="76" t="n"/>
      <s:c r="I81" s="59" t="str">
        <s:f>IF($H81="","",$H81*Inputs!$C$12)</s:f>
        <s:v/>
      </s:c>
      <s:c r="J81" s="77" t="n"/>
      <s:c r="K81" s="61" t="str">
        <s:f>IF($J81="","",$B$3-$J81)</s:f>
        <s:v/>
      </s:c>
      <s:c r="L81" s="62" t="str">
        <s:f>IFERROR(INDEX('CRM Playbook'!$C$6:$C$10,MATCH($B81,'CRM Playbook'!$B$6:$B$10,0)),"")</s:f>
        <s:v/>
      </s:c>
      <s:c r="M81" s="63" t="str">
        <s:f>IF(OR($J81="",$L81=""),"",$J81+$L81)</s:f>
        <s:v/>
      </s:c>
      <s:c r="N81" s="64" t="str">
        <s:f>IF($A81="","",IF($J81="","NEW - reach out",IF($M81&lt;$B$3,"OVERDUE",IF($M81&lt;=$B$3+3,"DUE","Current"))))</s:f>
        <s:v/>
      </s:c>
      <s:c r="O81" s="65" t="n"/>
      <s:c r="P81" s="65" t="n"/>
      <s:c r="Q81" s="65" t="n"/>
      <s:c r="R81" s="66" t="str">
        <s:f>IF($A81="","",IF($J81="",9999+ROW()/100000,IF($M81&gt;$B$3,"",($B$3-$M81)+ROW()/100000)))</s:f>
        <s:v/>
      </s:c>
    </s:row>
    <s:row r="82">
      <s:c r="A82" s="67" t="n"/>
      <s:c r="B82" s="67" t="n"/>
      <s:c r="C82" s="67" t="n"/>
      <s:c r="D82" s="67" t="n"/>
      <s:c r="E82" s="67" t="n"/>
      <s:c r="F82" s="67" t="n"/>
      <s:c r="G82" s="67" t="n"/>
      <s:c r="H82" s="68" t="n"/>
      <s:c r="I82" s="69" t="str">
        <s:f>IF($H82="","",$H82*Inputs!$C$12)</s:f>
        <s:v/>
      </s:c>
      <s:c r="J82" s="70" t="n"/>
      <s:c r="K82" s="71" t="str">
        <s:f>IF($J82="","",$B$3-$J82)</s:f>
        <s:v/>
      </s:c>
      <s:c r="L82" s="72" t="str">
        <s:f>IFERROR(INDEX('CRM Playbook'!$C$6:$C$10,MATCH($B82,'CRM Playbook'!$B$6:$B$10,0)),"")</s:f>
        <s:v/>
      </s:c>
      <s:c r="M82" s="73" t="str">
        <s:f>IF(OR($J82="",$L82=""),"",$J82+$L82)</s:f>
        <s:v/>
      </s:c>
      <s:c r="N82" s="74" t="str">
        <s:f>IF($A82="","",IF($J82="","NEW - reach out",IF($M82&lt;$B$3,"OVERDUE",IF($M82&lt;=$B$3+3,"DUE","Current"))))</s:f>
        <s:v/>
      </s:c>
      <s:c r="O82" s="67" t="n"/>
      <s:c r="P82" s="67" t="n"/>
      <s:c r="Q82" s="67" t="n"/>
      <s:c r="R82" s="75" t="str">
        <s:f>IF($A82="","",IF($J82="",9999+ROW()/100000,IF($M82&gt;$B$3,"",($B$3-$M82)+ROW()/100000)))</s:f>
        <s:v/>
      </s:c>
    </s:row>
    <s:row r="83">
      <s:c r="A83" s="65" t="n"/>
      <s:c r="B83" s="65" t="n"/>
      <s:c r="C83" s="65" t="n"/>
      <s:c r="D83" s="65" t="n"/>
      <s:c r="E83" s="65" t="n"/>
      <s:c r="F83" s="65" t="n"/>
      <s:c r="G83" s="65" t="n"/>
      <s:c r="H83" s="76" t="n"/>
      <s:c r="I83" s="59" t="str">
        <s:f>IF($H83="","",$H83*Inputs!$C$12)</s:f>
        <s:v/>
      </s:c>
      <s:c r="J83" s="77" t="n"/>
      <s:c r="K83" s="61" t="str">
        <s:f>IF($J83="","",$B$3-$J83)</s:f>
        <s:v/>
      </s:c>
      <s:c r="L83" s="62" t="str">
        <s:f>IFERROR(INDEX('CRM Playbook'!$C$6:$C$10,MATCH($B83,'CRM Playbook'!$B$6:$B$10,0)),"")</s:f>
        <s:v/>
      </s:c>
      <s:c r="M83" s="63" t="str">
        <s:f>IF(OR($J83="",$L83=""),"",$J83+$L83)</s:f>
        <s:v/>
      </s:c>
      <s:c r="N83" s="64" t="str">
        <s:f>IF($A83="","",IF($J83="","NEW - reach out",IF($M83&lt;$B$3,"OVERDUE",IF($M83&lt;=$B$3+3,"DUE","Current"))))</s:f>
        <s:v/>
      </s:c>
      <s:c r="O83" s="65" t="n"/>
      <s:c r="P83" s="65" t="n"/>
      <s:c r="Q83" s="65" t="n"/>
      <s:c r="R83" s="66" t="str">
        <s:f>IF($A83="","",IF($J83="",9999+ROW()/100000,IF($M83&gt;$B$3,"",($B$3-$M83)+ROW()/100000)))</s:f>
        <s:v/>
      </s:c>
    </s:row>
    <s:row r="84">
      <s:c r="A84" s="67" t="n"/>
      <s:c r="B84" s="67" t="n"/>
      <s:c r="C84" s="67" t="n"/>
      <s:c r="D84" s="67" t="n"/>
      <s:c r="E84" s="67" t="n"/>
      <s:c r="F84" s="67" t="n"/>
      <s:c r="G84" s="67" t="n"/>
      <s:c r="H84" s="68" t="n"/>
      <s:c r="I84" s="69" t="str">
        <s:f>IF($H84="","",$H84*Inputs!$C$12)</s:f>
        <s:v/>
      </s:c>
      <s:c r="J84" s="70" t="n"/>
      <s:c r="K84" s="71" t="str">
        <s:f>IF($J84="","",$B$3-$J84)</s:f>
        <s:v/>
      </s:c>
      <s:c r="L84" s="72" t="str">
        <s:f>IFERROR(INDEX('CRM Playbook'!$C$6:$C$10,MATCH($B84,'CRM Playbook'!$B$6:$B$10,0)),"")</s:f>
        <s:v/>
      </s:c>
      <s:c r="M84" s="73" t="str">
        <s:f>IF(OR($J84="",$L84=""),"",$J84+$L84)</s:f>
        <s:v/>
      </s:c>
      <s:c r="N84" s="74" t="str">
        <s:f>IF($A84="","",IF($J84="","NEW - reach out",IF($M84&lt;$B$3,"OVERDUE",IF($M84&lt;=$B$3+3,"DUE","Current"))))</s:f>
        <s:v/>
      </s:c>
      <s:c r="O84" s="67" t="n"/>
      <s:c r="P84" s="67" t="n"/>
      <s:c r="Q84" s="67" t="n"/>
      <s:c r="R84" s="75" t="str">
        <s:f>IF($A84="","",IF($J84="",9999+ROW()/100000,IF($M84&gt;$B$3,"",($B$3-$M84)+ROW()/100000)))</s:f>
        <s:v/>
      </s:c>
    </s:row>
    <s:row r="85">
      <s:c r="A85" s="65" t="n"/>
      <s:c r="B85" s="65" t="n"/>
      <s:c r="C85" s="65" t="n"/>
      <s:c r="D85" s="65" t="n"/>
      <s:c r="E85" s="65" t="n"/>
      <s:c r="F85" s="65" t="n"/>
      <s:c r="G85" s="65" t="n"/>
      <s:c r="H85" s="76" t="n"/>
      <s:c r="I85" s="59" t="str">
        <s:f>IF($H85="","",$H85*Inputs!$C$12)</s:f>
        <s:v/>
      </s:c>
      <s:c r="J85" s="77" t="n"/>
      <s:c r="K85" s="61" t="str">
        <s:f>IF($J85="","",$B$3-$J85)</s:f>
        <s:v/>
      </s:c>
      <s:c r="L85" s="62" t="str">
        <s:f>IFERROR(INDEX('CRM Playbook'!$C$6:$C$10,MATCH($B85,'CRM Playbook'!$B$6:$B$10,0)),"")</s:f>
        <s:v/>
      </s:c>
      <s:c r="M85" s="63" t="str">
        <s:f>IF(OR($J85="",$L85=""),"",$J85+$L85)</s:f>
        <s:v/>
      </s:c>
      <s:c r="N85" s="64" t="str">
        <s:f>IF($A85="","",IF($J85="","NEW - reach out",IF($M85&lt;$B$3,"OVERDUE",IF($M85&lt;=$B$3+3,"DUE","Current"))))</s:f>
        <s:v/>
      </s:c>
      <s:c r="O85" s="65" t="n"/>
      <s:c r="P85" s="65" t="n"/>
      <s:c r="Q85" s="65" t="n"/>
      <s:c r="R85" s="66" t="str">
        <s:f>IF($A85="","",IF($J85="",9999+ROW()/100000,IF($M85&gt;$B$3,"",($B$3-$M85)+ROW()/100000)))</s:f>
        <s:v/>
      </s:c>
    </s:row>
    <s:row r="86">
      <s:c r="A86" s="67" t="n"/>
      <s:c r="B86" s="67" t="n"/>
      <s:c r="C86" s="67" t="n"/>
      <s:c r="D86" s="67" t="n"/>
      <s:c r="E86" s="67" t="n"/>
      <s:c r="F86" s="67" t="n"/>
      <s:c r="G86" s="67" t="n"/>
      <s:c r="H86" s="68" t="n"/>
      <s:c r="I86" s="69" t="str">
        <s:f>IF($H86="","",$H86*Inputs!$C$12)</s:f>
        <s:v/>
      </s:c>
      <s:c r="J86" s="70" t="n"/>
      <s:c r="K86" s="71" t="str">
        <s:f>IF($J86="","",$B$3-$J86)</s:f>
        <s:v/>
      </s:c>
      <s:c r="L86" s="72" t="str">
        <s:f>IFERROR(INDEX('CRM Playbook'!$C$6:$C$10,MATCH($B86,'CRM Playbook'!$B$6:$B$10,0)),"")</s:f>
        <s:v/>
      </s:c>
      <s:c r="M86" s="73" t="str">
        <s:f>IF(OR($J86="",$L86=""),"",$J86+$L86)</s:f>
        <s:v/>
      </s:c>
      <s:c r="N86" s="74" t="str">
        <s:f>IF($A86="","",IF($J86="","NEW - reach out",IF($M86&lt;$B$3,"OVERDUE",IF($M86&lt;=$B$3+3,"DUE","Current"))))</s:f>
        <s:v/>
      </s:c>
      <s:c r="O86" s="67" t="n"/>
      <s:c r="P86" s="67" t="n"/>
      <s:c r="Q86" s="67" t="n"/>
      <s:c r="R86" s="75" t="str">
        <s:f>IF($A86="","",IF($J86="",9999+ROW()/100000,IF($M86&gt;$B$3,"",($B$3-$M86)+ROW()/100000)))</s:f>
        <s:v/>
      </s:c>
    </s:row>
    <s:row r="87">
      <s:c r="A87" s="65" t="n"/>
      <s:c r="B87" s="65" t="n"/>
      <s:c r="C87" s="65" t="n"/>
      <s:c r="D87" s="65" t="n"/>
      <s:c r="E87" s="65" t="n"/>
      <s:c r="F87" s="65" t="n"/>
      <s:c r="G87" s="65" t="n"/>
      <s:c r="H87" s="76" t="n"/>
      <s:c r="I87" s="59" t="str">
        <s:f>IF($H87="","",$H87*Inputs!$C$12)</s:f>
        <s:v/>
      </s:c>
      <s:c r="J87" s="77" t="n"/>
      <s:c r="K87" s="61" t="str">
        <s:f>IF($J87="","",$B$3-$J87)</s:f>
        <s:v/>
      </s:c>
      <s:c r="L87" s="62" t="str">
        <s:f>IFERROR(INDEX('CRM Playbook'!$C$6:$C$10,MATCH($B87,'CRM Playbook'!$B$6:$B$10,0)),"")</s:f>
        <s:v/>
      </s:c>
      <s:c r="M87" s="63" t="str">
        <s:f>IF(OR($J87="",$L87=""),"",$J87+$L87)</s:f>
        <s:v/>
      </s:c>
      <s:c r="N87" s="64" t="str">
        <s:f>IF($A87="","",IF($J87="","NEW - reach out",IF($M87&lt;$B$3,"OVERDUE",IF($M87&lt;=$B$3+3,"DUE","Current"))))</s:f>
        <s:v/>
      </s:c>
      <s:c r="O87" s="65" t="n"/>
      <s:c r="P87" s="65" t="n"/>
      <s:c r="Q87" s="65" t="n"/>
      <s:c r="R87" s="66" t="str">
        <s:f>IF($A87="","",IF($J87="",9999+ROW()/100000,IF($M87&gt;$B$3,"",($B$3-$M87)+ROW()/100000)))</s:f>
        <s:v/>
      </s:c>
    </s:row>
    <s:row r="88">
      <s:c r="A88" s="67" t="n"/>
      <s:c r="B88" s="67" t="n"/>
      <s:c r="C88" s="67" t="n"/>
      <s:c r="D88" s="67" t="n"/>
      <s:c r="E88" s="67" t="n"/>
      <s:c r="F88" s="67" t="n"/>
      <s:c r="G88" s="67" t="n"/>
      <s:c r="H88" s="68" t="n"/>
      <s:c r="I88" s="69" t="str">
        <s:f>IF($H88="","",$H88*Inputs!$C$12)</s:f>
        <s:v/>
      </s:c>
      <s:c r="J88" s="70" t="n"/>
      <s:c r="K88" s="71" t="str">
        <s:f>IF($J88="","",$B$3-$J88)</s:f>
        <s:v/>
      </s:c>
      <s:c r="L88" s="72" t="str">
        <s:f>IFERROR(INDEX('CRM Playbook'!$C$6:$C$10,MATCH($B88,'CRM Playbook'!$B$6:$B$10,0)),"")</s:f>
        <s:v/>
      </s:c>
      <s:c r="M88" s="73" t="str">
        <s:f>IF(OR($J88="",$L88=""),"",$J88+$L88)</s:f>
        <s:v/>
      </s:c>
      <s:c r="N88" s="74" t="str">
        <s:f>IF($A88="","",IF($J88="","NEW - reach out",IF($M88&lt;$B$3,"OVERDUE",IF($M88&lt;=$B$3+3,"DUE","Current"))))</s:f>
        <s:v/>
      </s:c>
      <s:c r="O88" s="67" t="n"/>
      <s:c r="P88" s="67" t="n"/>
      <s:c r="Q88" s="67" t="n"/>
      <s:c r="R88" s="75" t="str">
        <s:f>IF($A88="","",IF($J88="",9999+ROW()/100000,IF($M88&gt;$B$3,"",($B$3-$M88)+ROW()/100000)))</s:f>
        <s:v/>
      </s:c>
    </s:row>
    <s:row r="89">
      <s:c r="A89" s="65" t="n"/>
      <s:c r="B89" s="65" t="n"/>
      <s:c r="C89" s="65" t="n"/>
      <s:c r="D89" s="65" t="n"/>
      <s:c r="E89" s="65" t="n"/>
      <s:c r="F89" s="65" t="n"/>
      <s:c r="G89" s="65" t="n"/>
      <s:c r="H89" s="76" t="n"/>
      <s:c r="I89" s="59" t="str">
        <s:f>IF($H89="","",$H89*Inputs!$C$12)</s:f>
        <s:v/>
      </s:c>
      <s:c r="J89" s="77" t="n"/>
      <s:c r="K89" s="61" t="str">
        <s:f>IF($J89="","",$B$3-$J89)</s:f>
        <s:v/>
      </s:c>
      <s:c r="L89" s="62" t="str">
        <s:f>IFERROR(INDEX('CRM Playbook'!$C$6:$C$10,MATCH($B89,'CRM Playbook'!$B$6:$B$10,0)),"")</s:f>
        <s:v/>
      </s:c>
      <s:c r="M89" s="63" t="str">
        <s:f>IF(OR($J89="",$L89=""),"",$J89+$L89)</s:f>
        <s:v/>
      </s:c>
      <s:c r="N89" s="64" t="str">
        <s:f>IF($A89="","",IF($J89="","NEW - reach out",IF($M89&lt;$B$3,"OVERDUE",IF($M89&lt;=$B$3+3,"DUE","Current"))))</s:f>
        <s:v/>
      </s:c>
      <s:c r="O89" s="65" t="n"/>
      <s:c r="P89" s="65" t="n"/>
      <s:c r="Q89" s="65" t="n"/>
      <s:c r="R89" s="66" t="str">
        <s:f>IF($A89="","",IF($J89="",9999+ROW()/100000,IF($M89&gt;$B$3,"",($B$3-$M89)+ROW()/100000)))</s:f>
        <s:v/>
      </s:c>
    </s:row>
    <s:row r="90">
      <s:c r="A90" s="67" t="n"/>
      <s:c r="B90" s="67" t="n"/>
      <s:c r="C90" s="67" t="n"/>
      <s:c r="D90" s="67" t="n"/>
      <s:c r="E90" s="67" t="n"/>
      <s:c r="F90" s="67" t="n"/>
      <s:c r="G90" s="67" t="n"/>
      <s:c r="H90" s="68" t="n"/>
      <s:c r="I90" s="69" t="str">
        <s:f>IF($H90="","",$H90*Inputs!$C$12)</s:f>
        <s:v/>
      </s:c>
      <s:c r="J90" s="70" t="n"/>
      <s:c r="K90" s="71" t="str">
        <s:f>IF($J90="","",$B$3-$J90)</s:f>
        <s:v/>
      </s:c>
      <s:c r="L90" s="72" t="str">
        <s:f>IFERROR(INDEX('CRM Playbook'!$C$6:$C$10,MATCH($B90,'CRM Playbook'!$B$6:$B$10,0)),"")</s:f>
        <s:v/>
      </s:c>
      <s:c r="M90" s="73" t="str">
        <s:f>IF(OR($J90="",$L90=""),"",$J90+$L90)</s:f>
        <s:v/>
      </s:c>
      <s:c r="N90" s="74" t="str">
        <s:f>IF($A90="","",IF($J90="","NEW - reach out",IF($M90&lt;$B$3,"OVERDUE",IF($M90&lt;=$B$3+3,"DUE","Current"))))</s:f>
        <s:v/>
      </s:c>
      <s:c r="O90" s="67" t="n"/>
      <s:c r="P90" s="67" t="n"/>
      <s:c r="Q90" s="67" t="n"/>
      <s:c r="R90" s="75" t="str">
        <s:f>IF($A90="","",IF($J90="",9999+ROW()/100000,IF($M90&gt;$B$3,"",($B$3-$M90)+ROW()/100000)))</s:f>
        <s:v/>
      </s:c>
    </s:row>
    <s:row r="91">
      <s:c r="A91" s="65" t="n"/>
      <s:c r="B91" s="65" t="n"/>
      <s:c r="C91" s="65" t="n"/>
      <s:c r="D91" s="65" t="n"/>
      <s:c r="E91" s="65" t="n"/>
      <s:c r="F91" s="65" t="n"/>
      <s:c r="G91" s="65" t="n"/>
      <s:c r="H91" s="76" t="n"/>
      <s:c r="I91" s="59" t="str">
        <s:f>IF($H91="","",$H91*Inputs!$C$12)</s:f>
        <s:v/>
      </s:c>
      <s:c r="J91" s="77" t="n"/>
      <s:c r="K91" s="61" t="str">
        <s:f>IF($J91="","",$B$3-$J91)</s:f>
        <s:v/>
      </s:c>
      <s:c r="L91" s="62" t="str">
        <s:f>IFERROR(INDEX('CRM Playbook'!$C$6:$C$10,MATCH($B91,'CRM Playbook'!$B$6:$B$10,0)),"")</s:f>
        <s:v/>
      </s:c>
      <s:c r="M91" s="63" t="str">
        <s:f>IF(OR($J91="",$L91=""),"",$J91+$L91)</s:f>
        <s:v/>
      </s:c>
      <s:c r="N91" s="64" t="str">
        <s:f>IF($A91="","",IF($J91="","NEW - reach out",IF($M91&lt;$B$3,"OVERDUE",IF($M91&lt;=$B$3+3,"DUE","Current"))))</s:f>
        <s:v/>
      </s:c>
      <s:c r="O91" s="65" t="n"/>
      <s:c r="P91" s="65" t="n"/>
      <s:c r="Q91" s="65" t="n"/>
      <s:c r="R91" s="66" t="str">
        <s:f>IF($A91="","",IF($J91="",9999+ROW()/100000,IF($M91&gt;$B$3,"",($B$3-$M91)+ROW()/100000)))</s:f>
        <s:v/>
      </s:c>
    </s:row>
    <s:row r="92">
      <s:c r="A92" s="67" t="n"/>
      <s:c r="B92" s="67" t="n"/>
      <s:c r="C92" s="67" t="n"/>
      <s:c r="D92" s="67" t="n"/>
      <s:c r="E92" s="67" t="n"/>
      <s:c r="F92" s="67" t="n"/>
      <s:c r="G92" s="67" t="n"/>
      <s:c r="H92" s="68" t="n"/>
      <s:c r="I92" s="69" t="str">
        <s:f>IF($H92="","",$H92*Inputs!$C$12)</s:f>
        <s:v/>
      </s:c>
      <s:c r="J92" s="70" t="n"/>
      <s:c r="K92" s="71" t="str">
        <s:f>IF($J92="","",$B$3-$J92)</s:f>
        <s:v/>
      </s:c>
      <s:c r="L92" s="72" t="str">
        <s:f>IFERROR(INDEX('CRM Playbook'!$C$6:$C$10,MATCH($B92,'CRM Playbook'!$B$6:$B$10,0)),"")</s:f>
        <s:v/>
      </s:c>
      <s:c r="M92" s="73" t="str">
        <s:f>IF(OR($J92="",$L92=""),"",$J92+$L92)</s:f>
        <s:v/>
      </s:c>
      <s:c r="N92" s="74" t="str">
        <s:f>IF($A92="","",IF($J92="","NEW - reach out",IF($M92&lt;$B$3,"OVERDUE",IF($M92&lt;=$B$3+3,"DUE","Current"))))</s:f>
        <s:v/>
      </s:c>
      <s:c r="O92" s="67" t="n"/>
      <s:c r="P92" s="67" t="n"/>
      <s:c r="Q92" s="67" t="n"/>
      <s:c r="R92" s="75" t="str">
        <s:f>IF($A92="","",IF($J92="",9999+ROW()/100000,IF($M92&gt;$B$3,"",($B$3-$M92)+ROW()/100000)))</s:f>
        <s:v/>
      </s:c>
    </s:row>
    <s:row r="93">
      <s:c r="A93" s="65" t="n"/>
      <s:c r="B93" s="65" t="n"/>
      <s:c r="C93" s="65" t="n"/>
      <s:c r="D93" s="65" t="n"/>
      <s:c r="E93" s="65" t="n"/>
      <s:c r="F93" s="65" t="n"/>
      <s:c r="G93" s="65" t="n"/>
      <s:c r="H93" s="76" t="n"/>
      <s:c r="I93" s="59" t="str">
        <s:f>IF($H93="","",$H93*Inputs!$C$12)</s:f>
        <s:v/>
      </s:c>
      <s:c r="J93" s="77" t="n"/>
      <s:c r="K93" s="61" t="str">
        <s:f>IF($J93="","",$B$3-$J93)</s:f>
        <s:v/>
      </s:c>
      <s:c r="L93" s="62" t="str">
        <s:f>IFERROR(INDEX('CRM Playbook'!$C$6:$C$10,MATCH($B93,'CRM Playbook'!$B$6:$B$10,0)),"")</s:f>
        <s:v/>
      </s:c>
      <s:c r="M93" s="63" t="str">
        <s:f>IF(OR($J93="",$L93=""),"",$J93+$L93)</s:f>
        <s:v/>
      </s:c>
      <s:c r="N93" s="64" t="str">
        <s:f>IF($A93="","",IF($J93="","NEW - reach out",IF($M93&lt;$B$3,"OVERDUE",IF($M93&lt;=$B$3+3,"DUE","Current"))))</s:f>
        <s:v/>
      </s:c>
      <s:c r="O93" s="65" t="n"/>
      <s:c r="P93" s="65" t="n"/>
      <s:c r="Q93" s="65" t="n"/>
      <s:c r="R93" s="66" t="str">
        <s:f>IF($A93="","",IF($J93="",9999+ROW()/100000,IF($M93&gt;$B$3,"",($B$3-$M93)+ROW()/100000)))</s:f>
        <s:v/>
      </s:c>
    </s:row>
    <s:row r="94">
      <s:c r="A94" s="67" t="n"/>
      <s:c r="B94" s="67" t="n"/>
      <s:c r="C94" s="67" t="n"/>
      <s:c r="D94" s="67" t="n"/>
      <s:c r="E94" s="67" t="n"/>
      <s:c r="F94" s="67" t="n"/>
      <s:c r="G94" s="67" t="n"/>
      <s:c r="H94" s="68" t="n"/>
      <s:c r="I94" s="69" t="str">
        <s:f>IF($H94="","",$H94*Inputs!$C$12)</s:f>
        <s:v/>
      </s:c>
      <s:c r="J94" s="70" t="n"/>
      <s:c r="K94" s="71" t="str">
        <s:f>IF($J94="","",$B$3-$J94)</s:f>
        <s:v/>
      </s:c>
      <s:c r="L94" s="72" t="str">
        <s:f>IFERROR(INDEX('CRM Playbook'!$C$6:$C$10,MATCH($B94,'CRM Playbook'!$B$6:$B$10,0)),"")</s:f>
        <s:v/>
      </s:c>
      <s:c r="M94" s="73" t="str">
        <s:f>IF(OR($J94="",$L94=""),"",$J94+$L94)</s:f>
        <s:v/>
      </s:c>
      <s:c r="N94" s="74" t="str">
        <s:f>IF($A94="","",IF($J94="","NEW - reach out",IF($M94&lt;$B$3,"OVERDUE",IF($M94&lt;=$B$3+3,"DUE","Current"))))</s:f>
        <s:v/>
      </s:c>
      <s:c r="O94" s="67" t="n"/>
      <s:c r="P94" s="67" t="n"/>
      <s:c r="Q94" s="67" t="n"/>
      <s:c r="R94" s="75" t="str">
        <s:f>IF($A94="","",IF($J94="",9999+ROW()/100000,IF($M94&gt;$B$3,"",($B$3-$M94)+ROW()/100000)))</s:f>
        <s:v/>
      </s:c>
    </s:row>
    <s:row r="95">
      <s:c r="A95" s="65" t="n"/>
      <s:c r="B95" s="65" t="n"/>
      <s:c r="C95" s="65" t="n"/>
      <s:c r="D95" s="65" t="n"/>
      <s:c r="E95" s="65" t="n"/>
      <s:c r="F95" s="65" t="n"/>
      <s:c r="G95" s="65" t="n"/>
      <s:c r="H95" s="76" t="n"/>
      <s:c r="I95" s="59" t="str">
        <s:f>IF($H95="","",$H95*Inputs!$C$12)</s:f>
        <s:v/>
      </s:c>
      <s:c r="J95" s="77" t="n"/>
      <s:c r="K95" s="61" t="str">
        <s:f>IF($J95="","",$B$3-$J95)</s:f>
        <s:v/>
      </s:c>
      <s:c r="L95" s="62" t="str">
        <s:f>IFERROR(INDEX('CRM Playbook'!$C$6:$C$10,MATCH($B95,'CRM Playbook'!$B$6:$B$10,0)),"")</s:f>
        <s:v/>
      </s:c>
      <s:c r="M95" s="63" t="str">
        <s:f>IF(OR($J95="",$L95=""),"",$J95+$L95)</s:f>
        <s:v/>
      </s:c>
      <s:c r="N95" s="64" t="str">
        <s:f>IF($A95="","",IF($J95="","NEW - reach out",IF($M95&lt;$B$3,"OVERDUE",IF($M95&lt;=$B$3+3,"DUE","Current"))))</s:f>
        <s:v/>
      </s:c>
      <s:c r="O95" s="65" t="n"/>
      <s:c r="P95" s="65" t="n"/>
      <s:c r="Q95" s="65" t="n"/>
      <s:c r="R95" s="66" t="str">
        <s:f>IF($A95="","",IF($J95="",9999+ROW()/100000,IF($M95&gt;$B$3,"",($B$3-$M95)+ROW()/100000)))</s:f>
        <s:v/>
      </s:c>
    </s:row>
    <s:row r="96">
      <s:c r="A96" s="67" t="n"/>
      <s:c r="B96" s="67" t="n"/>
      <s:c r="C96" s="67" t="n"/>
      <s:c r="D96" s="67" t="n"/>
      <s:c r="E96" s="67" t="n"/>
      <s:c r="F96" s="67" t="n"/>
      <s:c r="G96" s="67" t="n"/>
      <s:c r="H96" s="68" t="n"/>
      <s:c r="I96" s="69" t="str">
        <s:f>IF($H96="","",$H96*Inputs!$C$12)</s:f>
        <s:v/>
      </s:c>
      <s:c r="J96" s="70" t="n"/>
      <s:c r="K96" s="71" t="str">
        <s:f>IF($J96="","",$B$3-$J96)</s:f>
        <s:v/>
      </s:c>
      <s:c r="L96" s="72" t="str">
        <s:f>IFERROR(INDEX('CRM Playbook'!$C$6:$C$10,MATCH($B96,'CRM Playbook'!$B$6:$B$10,0)),"")</s:f>
        <s:v/>
      </s:c>
      <s:c r="M96" s="73" t="str">
        <s:f>IF(OR($J96="",$L96=""),"",$J96+$L96)</s:f>
        <s:v/>
      </s:c>
      <s:c r="N96" s="74" t="str">
        <s:f>IF($A96="","",IF($J96="","NEW - reach out",IF($M96&lt;$B$3,"OVERDUE",IF($M96&lt;=$B$3+3,"DUE","Current"))))</s:f>
        <s:v/>
      </s:c>
      <s:c r="O96" s="67" t="n"/>
      <s:c r="P96" s="67" t="n"/>
      <s:c r="Q96" s="67" t="n"/>
      <s:c r="R96" s="75" t="str">
        <s:f>IF($A96="","",IF($J96="",9999+ROW()/100000,IF($M96&gt;$B$3,"",($B$3-$M96)+ROW()/100000)))</s:f>
        <s:v/>
      </s:c>
    </s:row>
    <s:row r="97">
      <s:c r="A97" s="65" t="n"/>
      <s:c r="B97" s="65" t="n"/>
      <s:c r="C97" s="65" t="n"/>
      <s:c r="D97" s="65" t="n"/>
      <s:c r="E97" s="65" t="n"/>
      <s:c r="F97" s="65" t="n"/>
      <s:c r="G97" s="65" t="n"/>
      <s:c r="H97" s="76" t="n"/>
      <s:c r="I97" s="59" t="str">
        <s:f>IF($H97="","",$H97*Inputs!$C$12)</s:f>
        <s:v/>
      </s:c>
      <s:c r="J97" s="77" t="n"/>
      <s:c r="K97" s="61" t="str">
        <s:f>IF($J97="","",$B$3-$J97)</s:f>
        <s:v/>
      </s:c>
      <s:c r="L97" s="62" t="str">
        <s:f>IFERROR(INDEX('CRM Playbook'!$C$6:$C$10,MATCH($B97,'CRM Playbook'!$B$6:$B$10,0)),"")</s:f>
        <s:v/>
      </s:c>
      <s:c r="M97" s="63" t="str">
        <s:f>IF(OR($J97="",$L97=""),"",$J97+$L97)</s:f>
        <s:v/>
      </s:c>
      <s:c r="N97" s="64" t="str">
        <s:f>IF($A97="","",IF($J97="","NEW - reach out",IF($M97&lt;$B$3,"OVERDUE",IF($M97&lt;=$B$3+3,"DUE","Current"))))</s:f>
        <s:v/>
      </s:c>
      <s:c r="O97" s="65" t="n"/>
      <s:c r="P97" s="65" t="n"/>
      <s:c r="Q97" s="65" t="n"/>
      <s:c r="R97" s="66" t="str">
        <s:f>IF($A97="","",IF($J97="",9999+ROW()/100000,IF($M97&gt;$B$3,"",($B$3-$M97)+ROW()/100000)))</s:f>
        <s:v/>
      </s:c>
    </s:row>
    <s:row r="98">
      <s:c r="A98" s="67" t="n"/>
      <s:c r="B98" s="67" t="n"/>
      <s:c r="C98" s="67" t="n"/>
      <s:c r="D98" s="67" t="n"/>
      <s:c r="E98" s="67" t="n"/>
      <s:c r="F98" s="67" t="n"/>
      <s:c r="G98" s="67" t="n"/>
      <s:c r="H98" s="68" t="n"/>
      <s:c r="I98" s="69" t="str">
        <s:f>IF($H98="","",$H98*Inputs!$C$12)</s:f>
        <s:v/>
      </s:c>
      <s:c r="J98" s="70" t="n"/>
      <s:c r="K98" s="71" t="str">
        <s:f>IF($J98="","",$B$3-$J98)</s:f>
        <s:v/>
      </s:c>
      <s:c r="L98" s="72" t="str">
        <s:f>IFERROR(INDEX('CRM Playbook'!$C$6:$C$10,MATCH($B98,'CRM Playbook'!$B$6:$B$10,0)),"")</s:f>
        <s:v/>
      </s:c>
      <s:c r="M98" s="73" t="str">
        <s:f>IF(OR($J98="",$L98=""),"",$J98+$L98)</s:f>
        <s:v/>
      </s:c>
      <s:c r="N98" s="74" t="str">
        <s:f>IF($A98="","",IF($J98="","NEW - reach out",IF($M98&lt;$B$3,"OVERDUE",IF($M98&lt;=$B$3+3,"DUE","Current"))))</s:f>
        <s:v/>
      </s:c>
      <s:c r="O98" s="67" t="n"/>
      <s:c r="P98" s="67" t="n"/>
      <s:c r="Q98" s="67" t="n"/>
      <s:c r="R98" s="75" t="str">
        <s:f>IF($A98="","",IF($J98="",9999+ROW()/100000,IF($M98&gt;$B$3,"",($B$3-$M98)+ROW()/100000)))</s:f>
        <s:v/>
      </s:c>
    </s:row>
    <s:row r="99">
      <s:c r="A99" s="65" t="n"/>
      <s:c r="B99" s="65" t="n"/>
      <s:c r="C99" s="65" t="n"/>
      <s:c r="D99" s="65" t="n"/>
      <s:c r="E99" s="65" t="n"/>
      <s:c r="F99" s="65" t="n"/>
      <s:c r="G99" s="65" t="n"/>
      <s:c r="H99" s="76" t="n"/>
      <s:c r="I99" s="59" t="str">
        <s:f>IF($H99="","",$H99*Inputs!$C$12)</s:f>
        <s:v/>
      </s:c>
      <s:c r="J99" s="77" t="n"/>
      <s:c r="K99" s="61" t="str">
        <s:f>IF($J99="","",$B$3-$J99)</s:f>
        <s:v/>
      </s:c>
      <s:c r="L99" s="62" t="str">
        <s:f>IFERROR(INDEX('CRM Playbook'!$C$6:$C$10,MATCH($B99,'CRM Playbook'!$B$6:$B$10,0)),"")</s:f>
        <s:v/>
      </s:c>
      <s:c r="M99" s="63" t="str">
        <s:f>IF(OR($J99="",$L99=""),"",$J99+$L99)</s:f>
        <s:v/>
      </s:c>
      <s:c r="N99" s="64" t="str">
        <s:f>IF($A99="","",IF($J99="","NEW - reach out",IF($M99&lt;$B$3,"OVERDUE",IF($M99&lt;=$B$3+3,"DUE","Current"))))</s:f>
        <s:v/>
      </s:c>
      <s:c r="O99" s="65" t="n"/>
      <s:c r="P99" s="65" t="n"/>
      <s:c r="Q99" s="65" t="n"/>
      <s:c r="R99" s="66" t="str">
        <s:f>IF($A99="","",IF($J99="",9999+ROW()/100000,IF($M99&gt;$B$3,"",($B$3-$M99)+ROW()/100000)))</s:f>
        <s:v/>
      </s:c>
    </s:row>
    <s:row r="100">
      <s:c r="A100" s="67" t="n"/>
      <s:c r="B100" s="67" t="n"/>
      <s:c r="C100" s="67" t="n"/>
      <s:c r="D100" s="67" t="n"/>
      <s:c r="E100" s="67" t="n"/>
      <s:c r="F100" s="67" t="n"/>
      <s:c r="G100" s="67" t="n"/>
      <s:c r="H100" s="68" t="n"/>
      <s:c r="I100" s="69" t="str">
        <s:f>IF($H100="","",$H100*Inputs!$C$12)</s:f>
        <s:v/>
      </s:c>
      <s:c r="J100" s="70" t="n"/>
      <s:c r="K100" s="71" t="str">
        <s:f>IF($J100="","",$B$3-$J100)</s:f>
        <s:v/>
      </s:c>
      <s:c r="L100" s="72" t="str">
        <s:f>IFERROR(INDEX('CRM Playbook'!$C$6:$C$10,MATCH($B100,'CRM Playbook'!$B$6:$B$10,0)),"")</s:f>
        <s:v/>
      </s:c>
      <s:c r="M100" s="73" t="str">
        <s:f>IF(OR($J100="",$L100=""),"",$J100+$L100)</s:f>
        <s:v/>
      </s:c>
      <s:c r="N100" s="74" t="str">
        <s:f>IF($A100="","",IF($J100="","NEW - reach out",IF($M100&lt;$B$3,"OVERDUE",IF($M100&lt;=$B$3+3,"DUE","Current"))))</s:f>
        <s:v/>
      </s:c>
      <s:c r="O100" s="67" t="n"/>
      <s:c r="P100" s="67" t="n"/>
      <s:c r="Q100" s="67" t="n"/>
      <s:c r="R100" s="75" t="str">
        <s:f>IF($A100="","",IF($J100="",9999+ROW()/100000,IF($M100&gt;$B$3,"",($B$3-$M100)+ROW()/100000)))</s:f>
        <s:v/>
      </s:c>
    </s:row>
    <s:row r="101">
      <s:c r="A101" s="65" t="n"/>
      <s:c r="B101" s="65" t="n"/>
      <s:c r="C101" s="65" t="n"/>
      <s:c r="D101" s="65" t="n"/>
      <s:c r="E101" s="65" t="n"/>
      <s:c r="F101" s="65" t="n"/>
      <s:c r="G101" s="65" t="n"/>
      <s:c r="H101" s="76" t="n"/>
      <s:c r="I101" s="59" t="str">
        <s:f>IF($H101="","",$H101*Inputs!$C$12)</s:f>
        <s:v/>
      </s:c>
      <s:c r="J101" s="77" t="n"/>
      <s:c r="K101" s="61" t="str">
        <s:f>IF($J101="","",$B$3-$J101)</s:f>
        <s:v/>
      </s:c>
      <s:c r="L101" s="62" t="str">
        <s:f>IFERROR(INDEX('CRM Playbook'!$C$6:$C$10,MATCH($B101,'CRM Playbook'!$B$6:$B$10,0)),"")</s:f>
        <s:v/>
      </s:c>
      <s:c r="M101" s="63" t="str">
        <s:f>IF(OR($J101="",$L101=""),"",$J101+$L101)</s:f>
        <s:v/>
      </s:c>
      <s:c r="N101" s="64" t="str">
        <s:f>IF($A101="","",IF($J101="","NEW - reach out",IF($M101&lt;$B$3,"OVERDUE",IF($M101&lt;=$B$3+3,"DUE","Current"))))</s:f>
        <s:v/>
      </s:c>
      <s:c r="O101" s="65" t="n"/>
      <s:c r="P101" s="65" t="n"/>
      <s:c r="Q101" s="65" t="n"/>
      <s:c r="R101" s="66" t="str">
        <s:f>IF($A101="","",IF($J101="",9999+ROW()/100000,IF($M101&gt;$B$3,"",($B$3-$M101)+ROW()/100000)))</s:f>
        <s:v/>
      </s:c>
    </s:row>
    <s:row r="102">
      <s:c r="A102" s="67" t="n"/>
      <s:c r="B102" s="67" t="n"/>
      <s:c r="C102" s="67" t="n"/>
      <s:c r="D102" s="67" t="n"/>
      <s:c r="E102" s="67" t="n"/>
      <s:c r="F102" s="67" t="n"/>
      <s:c r="G102" s="67" t="n"/>
      <s:c r="H102" s="68" t="n"/>
      <s:c r="I102" s="69" t="str">
        <s:f>IF($H102="","",$H102*Inputs!$C$12)</s:f>
        <s:v/>
      </s:c>
      <s:c r="J102" s="70" t="n"/>
      <s:c r="K102" s="71" t="str">
        <s:f>IF($J102="","",$B$3-$J102)</s:f>
        <s:v/>
      </s:c>
      <s:c r="L102" s="72" t="str">
        <s:f>IFERROR(INDEX('CRM Playbook'!$C$6:$C$10,MATCH($B102,'CRM Playbook'!$B$6:$B$10,0)),"")</s:f>
        <s:v/>
      </s:c>
      <s:c r="M102" s="73" t="str">
        <s:f>IF(OR($J102="",$L102=""),"",$J102+$L102)</s:f>
        <s:v/>
      </s:c>
      <s:c r="N102" s="74" t="str">
        <s:f>IF($A102="","",IF($J102="","NEW - reach out",IF($M102&lt;$B$3,"OVERDUE",IF($M102&lt;=$B$3+3,"DUE","Current"))))</s:f>
        <s:v/>
      </s:c>
      <s:c r="O102" s="67" t="n"/>
      <s:c r="P102" s="67" t="n"/>
      <s:c r="Q102" s="67" t="n"/>
      <s:c r="R102" s="75" t="str">
        <s:f>IF($A102="","",IF($J102="",9999+ROW()/100000,IF($M102&gt;$B$3,"",($B$3-$M102)+ROW()/100000)))</s:f>
        <s:v/>
      </s:c>
    </s:row>
    <s:row r="103">
      <s:c r="A103" s="65" t="n"/>
      <s:c r="B103" s="65" t="n"/>
      <s:c r="C103" s="65" t="n"/>
      <s:c r="D103" s="65" t="n"/>
      <s:c r="E103" s="65" t="n"/>
      <s:c r="F103" s="65" t="n"/>
      <s:c r="G103" s="65" t="n"/>
      <s:c r="H103" s="76" t="n"/>
      <s:c r="I103" s="59" t="str">
        <s:f>IF($H103="","",$H103*Inputs!$C$12)</s:f>
        <s:v/>
      </s:c>
      <s:c r="J103" s="77" t="n"/>
      <s:c r="K103" s="61" t="str">
        <s:f>IF($J103="","",$B$3-$J103)</s:f>
        <s:v/>
      </s:c>
      <s:c r="L103" s="62" t="str">
        <s:f>IFERROR(INDEX('CRM Playbook'!$C$6:$C$10,MATCH($B103,'CRM Playbook'!$B$6:$B$10,0)),"")</s:f>
        <s:v/>
      </s:c>
      <s:c r="M103" s="63" t="str">
        <s:f>IF(OR($J103="",$L103=""),"",$J103+$L103)</s:f>
        <s:v/>
      </s:c>
      <s:c r="N103" s="64" t="str">
        <s:f>IF($A103="","",IF($J103="","NEW - reach out",IF($M103&lt;$B$3,"OVERDUE",IF($M103&lt;=$B$3+3,"DUE","Current"))))</s:f>
        <s:v/>
      </s:c>
      <s:c r="O103" s="65" t="n"/>
      <s:c r="P103" s="65" t="n"/>
      <s:c r="Q103" s="65" t="n"/>
      <s:c r="R103" s="66" t="str">
        <s:f>IF($A103="","",IF($J103="",9999+ROW()/100000,IF($M103&gt;$B$3,"",($B$3-$M103)+ROW()/100000)))</s:f>
        <s:v/>
      </s:c>
    </s:row>
    <s:row r="104">
      <s:c r="A104" s="67" t="n"/>
      <s:c r="B104" s="67" t="n"/>
      <s:c r="C104" s="67" t="n"/>
      <s:c r="D104" s="67" t="n"/>
      <s:c r="E104" s="67" t="n"/>
      <s:c r="F104" s="67" t="n"/>
      <s:c r="G104" s="67" t="n"/>
      <s:c r="H104" s="68" t="n"/>
      <s:c r="I104" s="69" t="str">
        <s:f>IF($H104="","",$H104*Inputs!$C$12)</s:f>
        <s:v/>
      </s:c>
      <s:c r="J104" s="70" t="n"/>
      <s:c r="K104" s="71" t="str">
        <s:f>IF($J104="","",$B$3-$J104)</s:f>
        <s:v/>
      </s:c>
      <s:c r="L104" s="72" t="str">
        <s:f>IFERROR(INDEX('CRM Playbook'!$C$6:$C$10,MATCH($B104,'CRM Playbook'!$B$6:$B$10,0)),"")</s:f>
        <s:v/>
      </s:c>
      <s:c r="M104" s="73" t="str">
        <s:f>IF(OR($J104="",$L104=""),"",$J104+$L104)</s:f>
        <s:v/>
      </s:c>
      <s:c r="N104" s="74" t="str">
        <s:f>IF($A104="","",IF($J104="","NEW - reach out",IF($M104&lt;$B$3,"OVERDUE",IF($M104&lt;=$B$3+3,"DUE","Current"))))</s:f>
        <s:v/>
      </s:c>
      <s:c r="O104" s="67" t="n"/>
      <s:c r="P104" s="67" t="n"/>
      <s:c r="Q104" s="67" t="n"/>
      <s:c r="R104" s="75" t="str">
        <s:f>IF($A104="","",IF($J104="",9999+ROW()/100000,IF($M104&gt;$B$3,"",($B$3-$M104)+ROW()/100000)))</s:f>
        <s:v/>
      </s:c>
    </s:row>
    <s:row r="105">
      <s:c r="A105" s="65" t="n"/>
      <s:c r="B105" s="65" t="n"/>
      <s:c r="C105" s="65" t="n"/>
      <s:c r="D105" s="65" t="n"/>
      <s:c r="E105" s="65" t="n"/>
      <s:c r="F105" s="65" t="n"/>
      <s:c r="G105" s="65" t="n"/>
      <s:c r="H105" s="76" t="n"/>
      <s:c r="I105" s="59" t="str">
        <s:f>IF($H105="","",$H105*Inputs!$C$12)</s:f>
        <s:v/>
      </s:c>
      <s:c r="J105" s="77" t="n"/>
      <s:c r="K105" s="61" t="str">
        <s:f>IF($J105="","",$B$3-$J105)</s:f>
        <s:v/>
      </s:c>
      <s:c r="L105" s="62" t="str">
        <s:f>IFERROR(INDEX('CRM Playbook'!$C$6:$C$10,MATCH($B105,'CRM Playbook'!$B$6:$B$10,0)),"")</s:f>
        <s:v/>
      </s:c>
      <s:c r="M105" s="63" t="str">
        <s:f>IF(OR($J105="",$L105=""),"",$J105+$L105)</s:f>
        <s:v/>
      </s:c>
      <s:c r="N105" s="64" t="str">
        <s:f>IF($A105="","",IF($J105="","NEW - reach out",IF($M105&lt;$B$3,"OVERDUE",IF($M105&lt;=$B$3+3,"DUE","Current"))))</s:f>
        <s:v/>
      </s:c>
      <s:c r="O105" s="65" t="n"/>
      <s:c r="P105" s="65" t="n"/>
      <s:c r="Q105" s="65" t="n"/>
      <s:c r="R105" s="66" t="str">
        <s:f>IF($A105="","",IF($J105="",9999+ROW()/100000,IF($M105&gt;$B$3,"",($B$3-$M105)+ROW()/100000)))</s:f>
        <s:v/>
      </s:c>
    </s:row>
    <s:row r="106">
      <s:c r="A106" s="67" t="n"/>
      <s:c r="B106" s="67" t="n"/>
      <s:c r="C106" s="67" t="n"/>
      <s:c r="D106" s="67" t="n"/>
      <s:c r="E106" s="67" t="n"/>
      <s:c r="F106" s="67" t="n"/>
      <s:c r="G106" s="67" t="n"/>
      <s:c r="H106" s="68" t="n"/>
      <s:c r="I106" s="69" t="str">
        <s:f>IF($H106="","",$H106*Inputs!$C$12)</s:f>
        <s:v/>
      </s:c>
      <s:c r="J106" s="70" t="n"/>
      <s:c r="K106" s="71" t="str">
        <s:f>IF($J106="","",$B$3-$J106)</s:f>
        <s:v/>
      </s:c>
      <s:c r="L106" s="72" t="str">
        <s:f>IFERROR(INDEX('CRM Playbook'!$C$6:$C$10,MATCH($B106,'CRM Playbook'!$B$6:$B$10,0)),"")</s:f>
        <s:v/>
      </s:c>
      <s:c r="M106" s="73" t="str">
        <s:f>IF(OR($J106="",$L106=""),"",$J106+$L106)</s:f>
        <s:v/>
      </s:c>
      <s:c r="N106" s="74" t="str">
        <s:f>IF($A106="","",IF($J106="","NEW - reach out",IF($M106&lt;$B$3,"OVERDUE",IF($M106&lt;=$B$3+3,"DUE","Current"))))</s:f>
        <s:v/>
      </s:c>
      <s:c r="O106" s="67" t="n"/>
      <s:c r="P106" s="67" t="n"/>
      <s:c r="Q106" s="67" t="n"/>
      <s:c r="R106" s="75" t="str">
        <s:f>IF($A106="","",IF($J106="",9999+ROW()/100000,IF($M106&gt;$B$3,"",($B$3-$M106)+ROW()/100000)))</s:f>
        <s:v/>
      </s:c>
    </s:row>
    <s:row r="107">
      <s:c r="A107" s="65" t="n"/>
      <s:c r="B107" s="65" t="n"/>
      <s:c r="C107" s="65" t="n"/>
      <s:c r="D107" s="65" t="n"/>
      <s:c r="E107" s="65" t="n"/>
      <s:c r="F107" s="65" t="n"/>
      <s:c r="G107" s="65" t="n"/>
      <s:c r="H107" s="76" t="n"/>
      <s:c r="I107" s="59" t="str">
        <s:f>IF($H107="","",$H107*Inputs!$C$12)</s:f>
        <s:v/>
      </s:c>
      <s:c r="J107" s="77" t="n"/>
      <s:c r="K107" s="61" t="str">
        <s:f>IF($J107="","",$B$3-$J107)</s:f>
        <s:v/>
      </s:c>
      <s:c r="L107" s="62" t="str">
        <s:f>IFERROR(INDEX('CRM Playbook'!$C$6:$C$10,MATCH($B107,'CRM Playbook'!$B$6:$B$10,0)),"")</s:f>
        <s:v/>
      </s:c>
      <s:c r="M107" s="63" t="str">
        <s:f>IF(OR($J107="",$L107=""),"",$J107+$L107)</s:f>
        <s:v/>
      </s:c>
      <s:c r="N107" s="64" t="str">
        <s:f>IF($A107="","",IF($J107="","NEW - reach out",IF($M107&lt;$B$3,"OVERDUE",IF($M107&lt;=$B$3+3,"DUE","Current"))))</s:f>
        <s:v/>
      </s:c>
      <s:c r="O107" s="65" t="n"/>
      <s:c r="P107" s="65" t="n"/>
      <s:c r="Q107" s="65" t="n"/>
      <s:c r="R107" s="66" t="str">
        <s:f>IF($A107="","",IF($J107="",9999+ROW()/100000,IF($M107&gt;$B$3,"",($B$3-$M107)+ROW()/100000)))</s:f>
        <s:v/>
      </s:c>
    </s:row>
    <s:row r="108">
      <s:c r="A108" s="67" t="n"/>
      <s:c r="B108" s="67" t="n"/>
      <s:c r="C108" s="67" t="n"/>
      <s:c r="D108" s="67" t="n"/>
      <s:c r="E108" s="67" t="n"/>
      <s:c r="F108" s="67" t="n"/>
      <s:c r="G108" s="67" t="n"/>
      <s:c r="H108" s="68" t="n"/>
      <s:c r="I108" s="69" t="str">
        <s:f>IF($H108="","",$H108*Inputs!$C$12)</s:f>
        <s:v/>
      </s:c>
      <s:c r="J108" s="70" t="n"/>
      <s:c r="K108" s="71" t="str">
        <s:f>IF($J108="","",$B$3-$J108)</s:f>
        <s:v/>
      </s:c>
      <s:c r="L108" s="72" t="str">
        <s:f>IFERROR(INDEX('CRM Playbook'!$C$6:$C$10,MATCH($B108,'CRM Playbook'!$B$6:$B$10,0)),"")</s:f>
        <s:v/>
      </s:c>
      <s:c r="M108" s="73" t="str">
        <s:f>IF(OR($J108="",$L108=""),"",$J108+$L108)</s:f>
        <s:v/>
      </s:c>
      <s:c r="N108" s="74" t="str">
        <s:f>IF($A108="","",IF($J108="","NEW - reach out",IF($M108&lt;$B$3,"OVERDUE",IF($M108&lt;=$B$3+3,"DUE","Current"))))</s:f>
        <s:v/>
      </s:c>
      <s:c r="O108" s="67" t="n"/>
      <s:c r="P108" s="67" t="n"/>
      <s:c r="Q108" s="67" t="n"/>
      <s:c r="R108" s="75" t="str">
        <s:f>IF($A108="","",IF($J108="",9999+ROW()/100000,IF($M108&gt;$B$3,"",($B$3-$M108)+ROW()/100000)))</s:f>
        <s:v/>
      </s:c>
    </s:row>
    <s:row r="109">
      <s:c r="A109" s="65" t="n"/>
      <s:c r="B109" s="65" t="n"/>
      <s:c r="C109" s="65" t="n"/>
      <s:c r="D109" s="65" t="n"/>
      <s:c r="E109" s="65" t="n"/>
      <s:c r="F109" s="65" t="n"/>
      <s:c r="G109" s="65" t="n"/>
      <s:c r="H109" s="76" t="n"/>
      <s:c r="I109" s="59" t="str">
        <s:f>IF($H109="","",$H109*Inputs!$C$12)</s:f>
        <s:v/>
      </s:c>
      <s:c r="J109" s="77" t="n"/>
      <s:c r="K109" s="61" t="str">
        <s:f>IF($J109="","",$B$3-$J109)</s:f>
        <s:v/>
      </s:c>
      <s:c r="L109" s="62" t="str">
        <s:f>IFERROR(INDEX('CRM Playbook'!$C$6:$C$10,MATCH($B109,'CRM Playbook'!$B$6:$B$10,0)),"")</s:f>
        <s:v/>
      </s:c>
      <s:c r="M109" s="63" t="str">
        <s:f>IF(OR($J109="",$L109=""),"",$J109+$L109)</s:f>
        <s:v/>
      </s:c>
      <s:c r="N109" s="64" t="str">
        <s:f>IF($A109="","",IF($J109="","NEW - reach out",IF($M109&lt;$B$3,"OVERDUE",IF($M109&lt;=$B$3+3,"DUE","Current"))))</s:f>
        <s:v/>
      </s:c>
      <s:c r="O109" s="65" t="n"/>
      <s:c r="P109" s="65" t="n"/>
      <s:c r="Q109" s="65" t="n"/>
      <s:c r="R109" s="66" t="str">
        <s:f>IF($A109="","",IF($J109="",9999+ROW()/100000,IF($M109&gt;$B$3,"",($B$3-$M109)+ROW()/100000)))</s:f>
        <s:v/>
      </s:c>
    </s:row>
    <s:row r="110">
      <s:c r="A110" s="67" t="n"/>
      <s:c r="B110" s="67" t="n"/>
      <s:c r="C110" s="67" t="n"/>
      <s:c r="D110" s="67" t="n"/>
      <s:c r="E110" s="67" t="n"/>
      <s:c r="F110" s="67" t="n"/>
      <s:c r="G110" s="67" t="n"/>
      <s:c r="H110" s="68" t="n"/>
      <s:c r="I110" s="69" t="str">
        <s:f>IF($H110="","",$H110*Inputs!$C$12)</s:f>
        <s:v/>
      </s:c>
      <s:c r="J110" s="70" t="n"/>
      <s:c r="K110" s="71" t="str">
        <s:f>IF($J110="","",$B$3-$J110)</s:f>
        <s:v/>
      </s:c>
      <s:c r="L110" s="72" t="str">
        <s:f>IFERROR(INDEX('CRM Playbook'!$C$6:$C$10,MATCH($B110,'CRM Playbook'!$B$6:$B$10,0)),"")</s:f>
        <s:v/>
      </s:c>
      <s:c r="M110" s="73" t="str">
        <s:f>IF(OR($J110="",$L110=""),"",$J110+$L110)</s:f>
        <s:v/>
      </s:c>
      <s:c r="N110" s="74" t="str">
        <s:f>IF($A110="","",IF($J110="","NEW - reach out",IF($M110&lt;$B$3,"OVERDUE",IF($M110&lt;=$B$3+3,"DUE","Current"))))</s:f>
        <s:v/>
      </s:c>
      <s:c r="O110" s="67" t="n"/>
      <s:c r="P110" s="67" t="n"/>
      <s:c r="Q110" s="67" t="n"/>
      <s:c r="R110" s="75" t="str">
        <s:f>IF($A110="","",IF($J110="",9999+ROW()/100000,IF($M110&gt;$B$3,"",($B$3-$M110)+ROW()/100000)))</s:f>
        <s:v/>
      </s:c>
    </s:row>
    <s:row r="111">
      <s:c r="A111" s="65" t="n"/>
      <s:c r="B111" s="65" t="n"/>
      <s:c r="C111" s="65" t="n"/>
      <s:c r="D111" s="65" t="n"/>
      <s:c r="E111" s="65" t="n"/>
      <s:c r="F111" s="65" t="n"/>
      <s:c r="G111" s="65" t="n"/>
      <s:c r="H111" s="76" t="n"/>
      <s:c r="I111" s="59" t="str">
        <s:f>IF($H111="","",$H111*Inputs!$C$12)</s:f>
        <s:v/>
      </s:c>
      <s:c r="J111" s="77" t="n"/>
      <s:c r="K111" s="61" t="str">
        <s:f>IF($J111="","",$B$3-$J111)</s:f>
        <s:v/>
      </s:c>
      <s:c r="L111" s="62" t="str">
        <s:f>IFERROR(INDEX('CRM Playbook'!$C$6:$C$10,MATCH($B111,'CRM Playbook'!$B$6:$B$10,0)),"")</s:f>
        <s:v/>
      </s:c>
      <s:c r="M111" s="63" t="str">
        <s:f>IF(OR($J111="",$L111=""),"",$J111+$L111)</s:f>
        <s:v/>
      </s:c>
      <s:c r="N111" s="64" t="str">
        <s:f>IF($A111="","",IF($J111="","NEW - reach out",IF($M111&lt;$B$3,"OVERDUE",IF($M111&lt;=$B$3+3,"DUE","Current"))))</s:f>
        <s:v/>
      </s:c>
      <s:c r="O111" s="65" t="n"/>
      <s:c r="P111" s="65" t="n"/>
      <s:c r="Q111" s="65" t="n"/>
      <s:c r="R111" s="66" t="str">
        <s:f>IF($A111="","",IF($J111="",9999+ROW()/100000,IF($M111&gt;$B$3,"",($B$3-$M111)+ROW()/100000)))</s:f>
        <s:v/>
      </s:c>
    </s:row>
    <s:row r="112">
      <s:c r="A112" s="67" t="n"/>
      <s:c r="B112" s="67" t="n"/>
      <s:c r="C112" s="67" t="n"/>
      <s:c r="D112" s="67" t="n"/>
      <s:c r="E112" s="67" t="n"/>
      <s:c r="F112" s="67" t="n"/>
      <s:c r="G112" s="67" t="n"/>
      <s:c r="H112" s="68" t="n"/>
      <s:c r="I112" s="69" t="str">
        <s:f>IF($H112="","",$H112*Inputs!$C$12)</s:f>
        <s:v/>
      </s:c>
      <s:c r="J112" s="70" t="n"/>
      <s:c r="K112" s="71" t="str">
        <s:f>IF($J112="","",$B$3-$J112)</s:f>
        <s:v/>
      </s:c>
      <s:c r="L112" s="72" t="str">
        <s:f>IFERROR(INDEX('CRM Playbook'!$C$6:$C$10,MATCH($B112,'CRM Playbook'!$B$6:$B$10,0)),"")</s:f>
        <s:v/>
      </s:c>
      <s:c r="M112" s="73" t="str">
        <s:f>IF(OR($J112="",$L112=""),"",$J112+$L112)</s:f>
        <s:v/>
      </s:c>
      <s:c r="N112" s="74" t="str">
        <s:f>IF($A112="","",IF($J112="","NEW - reach out",IF($M112&lt;$B$3,"OVERDUE",IF($M112&lt;=$B$3+3,"DUE","Current"))))</s:f>
        <s:v/>
      </s:c>
      <s:c r="O112" s="67" t="n"/>
      <s:c r="P112" s="67" t="n"/>
      <s:c r="Q112" s="67" t="n"/>
      <s:c r="R112" s="75" t="str">
        <s:f>IF($A112="","",IF($J112="",9999+ROW()/100000,IF($M112&gt;$B$3,"",($B$3-$M112)+ROW()/100000)))</s:f>
        <s:v/>
      </s:c>
    </s:row>
    <s:row r="113">
      <s:c r="A113" s="65" t="n"/>
      <s:c r="B113" s="65" t="n"/>
      <s:c r="C113" s="65" t="n"/>
      <s:c r="D113" s="65" t="n"/>
      <s:c r="E113" s="65" t="n"/>
      <s:c r="F113" s="65" t="n"/>
      <s:c r="G113" s="65" t="n"/>
      <s:c r="H113" s="76" t="n"/>
      <s:c r="I113" s="59" t="str">
        <s:f>IF($H113="","",$H113*Inputs!$C$12)</s:f>
        <s:v/>
      </s:c>
      <s:c r="J113" s="77" t="n"/>
      <s:c r="K113" s="61" t="str">
        <s:f>IF($J113="","",$B$3-$J113)</s:f>
        <s:v/>
      </s:c>
      <s:c r="L113" s="62" t="str">
        <s:f>IFERROR(INDEX('CRM Playbook'!$C$6:$C$10,MATCH($B113,'CRM Playbook'!$B$6:$B$10,0)),"")</s:f>
        <s:v/>
      </s:c>
      <s:c r="M113" s="63" t="str">
        <s:f>IF(OR($J113="",$L113=""),"",$J113+$L113)</s:f>
        <s:v/>
      </s:c>
      <s:c r="N113" s="64" t="str">
        <s:f>IF($A113="","",IF($J113="","NEW - reach out",IF($M113&lt;$B$3,"OVERDUE",IF($M113&lt;=$B$3+3,"DUE","Current"))))</s:f>
        <s:v/>
      </s:c>
      <s:c r="O113" s="65" t="n"/>
      <s:c r="P113" s="65" t="n"/>
      <s:c r="Q113" s="65" t="n"/>
      <s:c r="R113" s="66" t="str">
        <s:f>IF($A113="","",IF($J113="",9999+ROW()/100000,IF($M113&gt;$B$3,"",($B$3-$M113)+ROW()/100000)))</s:f>
        <s:v/>
      </s:c>
    </s:row>
    <s:row r="114">
      <s:c r="A114" s="67" t="n"/>
      <s:c r="B114" s="67" t="n"/>
      <s:c r="C114" s="67" t="n"/>
      <s:c r="D114" s="67" t="n"/>
      <s:c r="E114" s="67" t="n"/>
      <s:c r="F114" s="67" t="n"/>
      <s:c r="G114" s="67" t="n"/>
      <s:c r="H114" s="68" t="n"/>
      <s:c r="I114" s="69" t="str">
        <s:f>IF($H114="","",$H114*Inputs!$C$12)</s:f>
        <s:v/>
      </s:c>
      <s:c r="J114" s="70" t="n"/>
      <s:c r="K114" s="71" t="str">
        <s:f>IF($J114="","",$B$3-$J114)</s:f>
        <s:v/>
      </s:c>
      <s:c r="L114" s="72" t="str">
        <s:f>IFERROR(INDEX('CRM Playbook'!$C$6:$C$10,MATCH($B114,'CRM Playbook'!$B$6:$B$10,0)),"")</s:f>
        <s:v/>
      </s:c>
      <s:c r="M114" s="73" t="str">
        <s:f>IF(OR($J114="",$L114=""),"",$J114+$L114)</s:f>
        <s:v/>
      </s:c>
      <s:c r="N114" s="74" t="str">
        <s:f>IF($A114="","",IF($J114="","NEW - reach out",IF($M114&lt;$B$3,"OVERDUE",IF($M114&lt;=$B$3+3,"DUE","Current"))))</s:f>
        <s:v/>
      </s:c>
      <s:c r="O114" s="67" t="n"/>
      <s:c r="P114" s="67" t="n"/>
      <s:c r="Q114" s="67" t="n"/>
      <s:c r="R114" s="75" t="str">
        <s:f>IF($A114="","",IF($J114="",9999+ROW()/100000,IF($M114&gt;$B$3,"",($B$3-$M114)+ROW()/100000)))</s:f>
        <s:v/>
      </s:c>
    </s:row>
    <s:row r="115">
      <s:c r="A115" s="65" t="n"/>
      <s:c r="B115" s="65" t="n"/>
      <s:c r="C115" s="65" t="n"/>
      <s:c r="D115" s="65" t="n"/>
      <s:c r="E115" s="65" t="n"/>
      <s:c r="F115" s="65" t="n"/>
      <s:c r="G115" s="65" t="n"/>
      <s:c r="H115" s="76" t="n"/>
      <s:c r="I115" s="59" t="str">
        <s:f>IF($H115="","",$H115*Inputs!$C$12)</s:f>
        <s:v/>
      </s:c>
      <s:c r="J115" s="77" t="n"/>
      <s:c r="K115" s="61" t="str">
        <s:f>IF($J115="","",$B$3-$J115)</s:f>
        <s:v/>
      </s:c>
      <s:c r="L115" s="62" t="str">
        <s:f>IFERROR(INDEX('CRM Playbook'!$C$6:$C$10,MATCH($B115,'CRM Playbook'!$B$6:$B$10,0)),"")</s:f>
        <s:v/>
      </s:c>
      <s:c r="M115" s="63" t="str">
        <s:f>IF(OR($J115="",$L115=""),"",$J115+$L115)</s:f>
        <s:v/>
      </s:c>
      <s:c r="N115" s="64" t="str">
        <s:f>IF($A115="","",IF($J115="","NEW - reach out",IF($M115&lt;$B$3,"OVERDUE",IF($M115&lt;=$B$3+3,"DUE","Current"))))</s:f>
        <s:v/>
      </s:c>
      <s:c r="O115" s="65" t="n"/>
      <s:c r="P115" s="65" t="n"/>
      <s:c r="Q115" s="65" t="n"/>
      <s:c r="R115" s="66" t="str">
        <s:f>IF($A115="","",IF($J115="",9999+ROW()/100000,IF($M115&gt;$B$3,"",($B$3-$M115)+ROW()/100000)))</s:f>
        <s:v/>
      </s:c>
    </s:row>
    <s:row r="116">
      <s:c r="A116" s="67" t="n"/>
      <s:c r="B116" s="67" t="n"/>
      <s:c r="C116" s="67" t="n"/>
      <s:c r="D116" s="67" t="n"/>
      <s:c r="E116" s="67" t="n"/>
      <s:c r="F116" s="67" t="n"/>
      <s:c r="G116" s="67" t="n"/>
      <s:c r="H116" s="68" t="n"/>
      <s:c r="I116" s="69" t="str">
        <s:f>IF($H116="","",$H116*Inputs!$C$12)</s:f>
        <s:v/>
      </s:c>
      <s:c r="J116" s="70" t="n"/>
      <s:c r="K116" s="71" t="str">
        <s:f>IF($J116="","",$B$3-$J116)</s:f>
        <s:v/>
      </s:c>
      <s:c r="L116" s="72" t="str">
        <s:f>IFERROR(INDEX('CRM Playbook'!$C$6:$C$10,MATCH($B116,'CRM Playbook'!$B$6:$B$10,0)),"")</s:f>
        <s:v/>
      </s:c>
      <s:c r="M116" s="73" t="str">
        <s:f>IF(OR($J116="",$L116=""),"",$J116+$L116)</s:f>
        <s:v/>
      </s:c>
      <s:c r="N116" s="74" t="str">
        <s:f>IF($A116="","",IF($J116="","NEW - reach out",IF($M116&lt;$B$3,"OVERDUE",IF($M116&lt;=$B$3+3,"DUE","Current"))))</s:f>
        <s:v/>
      </s:c>
      <s:c r="O116" s="67" t="n"/>
      <s:c r="P116" s="67" t="n"/>
      <s:c r="Q116" s="67" t="n"/>
      <s:c r="R116" s="75" t="str">
        <s:f>IF($A116="","",IF($J116="",9999+ROW()/100000,IF($M116&gt;$B$3,"",($B$3-$M116)+ROW()/100000)))</s:f>
        <s:v/>
      </s:c>
    </s:row>
    <s:row r="117">
      <s:c r="A117" s="65" t="n"/>
      <s:c r="B117" s="65" t="n"/>
      <s:c r="C117" s="65" t="n"/>
      <s:c r="D117" s="65" t="n"/>
      <s:c r="E117" s="65" t="n"/>
      <s:c r="F117" s="65" t="n"/>
      <s:c r="G117" s="65" t="n"/>
      <s:c r="H117" s="76" t="n"/>
      <s:c r="I117" s="59" t="str">
        <s:f>IF($H117="","",$H117*Inputs!$C$12)</s:f>
        <s:v/>
      </s:c>
      <s:c r="J117" s="77" t="n"/>
      <s:c r="K117" s="61" t="str">
        <s:f>IF($J117="","",$B$3-$J117)</s:f>
        <s:v/>
      </s:c>
      <s:c r="L117" s="62" t="str">
        <s:f>IFERROR(INDEX('CRM Playbook'!$C$6:$C$10,MATCH($B117,'CRM Playbook'!$B$6:$B$10,0)),"")</s:f>
        <s:v/>
      </s:c>
      <s:c r="M117" s="63" t="str">
        <s:f>IF(OR($J117="",$L117=""),"",$J117+$L117)</s:f>
        <s:v/>
      </s:c>
      <s:c r="N117" s="64" t="str">
        <s:f>IF($A117="","",IF($J117="","NEW - reach out",IF($M117&lt;$B$3,"OVERDUE",IF($M117&lt;=$B$3+3,"DUE","Current"))))</s:f>
        <s:v/>
      </s:c>
      <s:c r="O117" s="65" t="n"/>
      <s:c r="P117" s="65" t="n"/>
      <s:c r="Q117" s="65" t="n"/>
      <s:c r="R117" s="66" t="str">
        <s:f>IF($A117="","",IF($J117="",9999+ROW()/100000,IF($M117&gt;$B$3,"",($B$3-$M117)+ROW()/100000)))</s:f>
        <s:v/>
      </s:c>
    </s:row>
    <s:row r="118">
      <s:c r="A118" s="67" t="n"/>
      <s:c r="B118" s="67" t="n"/>
      <s:c r="C118" s="67" t="n"/>
      <s:c r="D118" s="67" t="n"/>
      <s:c r="E118" s="67" t="n"/>
      <s:c r="F118" s="67" t="n"/>
      <s:c r="G118" s="67" t="n"/>
      <s:c r="H118" s="68" t="n"/>
      <s:c r="I118" s="69" t="str">
        <s:f>IF($H118="","",$H118*Inputs!$C$12)</s:f>
        <s:v/>
      </s:c>
      <s:c r="J118" s="70" t="n"/>
      <s:c r="K118" s="71" t="str">
        <s:f>IF($J118="","",$B$3-$J118)</s:f>
        <s:v/>
      </s:c>
      <s:c r="L118" s="72" t="str">
        <s:f>IFERROR(INDEX('CRM Playbook'!$C$6:$C$10,MATCH($B118,'CRM Playbook'!$B$6:$B$10,0)),"")</s:f>
        <s:v/>
      </s:c>
      <s:c r="M118" s="73" t="str">
        <s:f>IF(OR($J118="",$L118=""),"",$J118+$L118)</s:f>
        <s:v/>
      </s:c>
      <s:c r="N118" s="74" t="str">
        <s:f>IF($A118="","",IF($J118="","NEW - reach out",IF($M118&lt;$B$3,"OVERDUE",IF($M118&lt;=$B$3+3,"DUE","Current"))))</s:f>
        <s:v/>
      </s:c>
      <s:c r="O118" s="67" t="n"/>
      <s:c r="P118" s="67" t="n"/>
      <s:c r="Q118" s="67" t="n"/>
      <s:c r="R118" s="75" t="str">
        <s:f>IF($A118="","",IF($J118="",9999+ROW()/100000,IF($M118&gt;$B$3,"",($B$3-$M118)+ROW()/100000)))</s:f>
        <s:v/>
      </s:c>
    </s:row>
    <s:row r="119">
      <s:c r="A119" s="65" t="n"/>
      <s:c r="B119" s="65" t="n"/>
      <s:c r="C119" s="65" t="n"/>
      <s:c r="D119" s="65" t="n"/>
      <s:c r="E119" s="65" t="n"/>
      <s:c r="F119" s="65" t="n"/>
      <s:c r="G119" s="65" t="n"/>
      <s:c r="H119" s="76" t="n"/>
      <s:c r="I119" s="59" t="str">
        <s:f>IF($H119="","",$H119*Inputs!$C$12)</s:f>
        <s:v/>
      </s:c>
      <s:c r="J119" s="77" t="n"/>
      <s:c r="K119" s="61" t="str">
        <s:f>IF($J119="","",$B$3-$J119)</s:f>
        <s:v/>
      </s:c>
      <s:c r="L119" s="62" t="str">
        <s:f>IFERROR(INDEX('CRM Playbook'!$C$6:$C$10,MATCH($B119,'CRM Playbook'!$B$6:$B$10,0)),"")</s:f>
        <s:v/>
      </s:c>
      <s:c r="M119" s="63" t="str">
        <s:f>IF(OR($J119="",$L119=""),"",$J119+$L119)</s:f>
        <s:v/>
      </s:c>
      <s:c r="N119" s="64" t="str">
        <s:f>IF($A119="","",IF($J119="","NEW - reach out",IF($M119&lt;$B$3,"OVERDUE",IF($M119&lt;=$B$3+3,"DUE","Current"))))</s:f>
        <s:v/>
      </s:c>
      <s:c r="O119" s="65" t="n"/>
      <s:c r="P119" s="65" t="n"/>
      <s:c r="Q119" s="65" t="n"/>
      <s:c r="R119" s="66" t="str">
        <s:f>IF($A119="","",IF($J119="",9999+ROW()/100000,IF($M119&gt;$B$3,"",($B$3-$M119)+ROW()/100000)))</s:f>
        <s:v/>
      </s:c>
    </s:row>
    <s:row r="120">
      <s:c r="A120" s="67" t="n"/>
      <s:c r="B120" s="67" t="n"/>
      <s:c r="C120" s="67" t="n"/>
      <s:c r="D120" s="67" t="n"/>
      <s:c r="E120" s="67" t="n"/>
      <s:c r="F120" s="67" t="n"/>
      <s:c r="G120" s="67" t="n"/>
      <s:c r="H120" s="68" t="n"/>
      <s:c r="I120" s="69" t="str">
        <s:f>IF($H120="","",$H120*Inputs!$C$12)</s:f>
        <s:v/>
      </s:c>
      <s:c r="J120" s="70" t="n"/>
      <s:c r="K120" s="71" t="str">
        <s:f>IF($J120="","",$B$3-$J120)</s:f>
        <s:v/>
      </s:c>
      <s:c r="L120" s="72" t="str">
        <s:f>IFERROR(INDEX('CRM Playbook'!$C$6:$C$10,MATCH($B120,'CRM Playbook'!$B$6:$B$10,0)),"")</s:f>
        <s:v/>
      </s:c>
      <s:c r="M120" s="73" t="str">
        <s:f>IF(OR($J120="",$L120=""),"",$J120+$L120)</s:f>
        <s:v/>
      </s:c>
      <s:c r="N120" s="74" t="str">
        <s:f>IF($A120="","",IF($J120="","NEW - reach out",IF($M120&lt;$B$3,"OVERDUE",IF($M120&lt;=$B$3+3,"DUE","Current"))))</s:f>
        <s:v/>
      </s:c>
      <s:c r="O120" s="67" t="n"/>
      <s:c r="P120" s="67" t="n"/>
      <s:c r="Q120" s="67" t="n"/>
      <s:c r="R120" s="75" t="str">
        <s:f>IF($A120="","",IF($J120="",9999+ROW()/100000,IF($M120&gt;$B$3,"",($B$3-$M120)+ROW()/100000)))</s:f>
        <s:v/>
      </s:c>
    </s:row>
    <s:row r="121">
      <s:c r="A121" s="65" t="n"/>
      <s:c r="B121" s="65" t="n"/>
      <s:c r="C121" s="65" t="n"/>
      <s:c r="D121" s="65" t="n"/>
      <s:c r="E121" s="65" t="n"/>
      <s:c r="F121" s="65" t="n"/>
      <s:c r="G121" s="65" t="n"/>
      <s:c r="H121" s="76" t="n"/>
      <s:c r="I121" s="59" t="str">
        <s:f>IF($H121="","",$H121*Inputs!$C$12)</s:f>
        <s:v/>
      </s:c>
      <s:c r="J121" s="77" t="n"/>
      <s:c r="K121" s="61" t="str">
        <s:f>IF($J121="","",$B$3-$J121)</s:f>
        <s:v/>
      </s:c>
      <s:c r="L121" s="62" t="str">
        <s:f>IFERROR(INDEX('CRM Playbook'!$C$6:$C$10,MATCH($B121,'CRM Playbook'!$B$6:$B$10,0)),"")</s:f>
        <s:v/>
      </s:c>
      <s:c r="M121" s="63" t="str">
        <s:f>IF(OR($J121="",$L121=""),"",$J121+$L121)</s:f>
        <s:v/>
      </s:c>
      <s:c r="N121" s="64" t="str">
        <s:f>IF($A121="","",IF($J121="","NEW - reach out",IF($M121&lt;$B$3,"OVERDUE",IF($M121&lt;=$B$3+3,"DUE","Current"))))</s:f>
        <s:v/>
      </s:c>
      <s:c r="O121" s="65" t="n"/>
      <s:c r="P121" s="65" t="n"/>
      <s:c r="Q121" s="65" t="n"/>
      <s:c r="R121" s="66" t="str">
        <s:f>IF($A121="","",IF($J121="",9999+ROW()/100000,IF($M121&gt;$B$3,"",($B$3-$M121)+ROW()/100000)))</s:f>
        <s:v/>
      </s:c>
    </s:row>
    <s:row r="122">
      <s:c r="A122" s="67" t="n"/>
      <s:c r="B122" s="67" t="n"/>
      <s:c r="C122" s="67" t="n"/>
      <s:c r="D122" s="67" t="n"/>
      <s:c r="E122" s="67" t="n"/>
      <s:c r="F122" s="67" t="n"/>
      <s:c r="G122" s="67" t="n"/>
      <s:c r="H122" s="68" t="n"/>
      <s:c r="I122" s="69" t="str">
        <s:f>IF($H122="","",$H122*Inputs!$C$12)</s:f>
        <s:v/>
      </s:c>
      <s:c r="J122" s="70" t="n"/>
      <s:c r="K122" s="71" t="str">
        <s:f>IF($J122="","",$B$3-$J122)</s:f>
        <s:v/>
      </s:c>
      <s:c r="L122" s="72" t="str">
        <s:f>IFERROR(INDEX('CRM Playbook'!$C$6:$C$10,MATCH($B122,'CRM Playbook'!$B$6:$B$10,0)),"")</s:f>
        <s:v/>
      </s:c>
      <s:c r="M122" s="73" t="str">
        <s:f>IF(OR($J122="",$L122=""),"",$J122+$L122)</s:f>
        <s:v/>
      </s:c>
      <s:c r="N122" s="74" t="str">
        <s:f>IF($A122="","",IF($J122="","NEW - reach out",IF($M122&lt;$B$3,"OVERDUE",IF($M122&lt;=$B$3+3,"DUE","Current"))))</s:f>
        <s:v/>
      </s:c>
      <s:c r="O122" s="67" t="n"/>
      <s:c r="P122" s="67" t="n"/>
      <s:c r="Q122" s="67" t="n"/>
      <s:c r="R122" s="75" t="str">
        <s:f>IF($A122="","",IF($J122="",9999+ROW()/100000,IF($M122&gt;$B$3,"",($B$3-$M122)+ROW()/100000)))</s:f>
        <s:v/>
      </s:c>
    </s:row>
    <s:row r="123">
      <s:c r="A123" s="65" t="n"/>
      <s:c r="B123" s="65" t="n"/>
      <s:c r="C123" s="65" t="n"/>
      <s:c r="D123" s="65" t="n"/>
      <s:c r="E123" s="65" t="n"/>
      <s:c r="F123" s="65" t="n"/>
      <s:c r="G123" s="65" t="n"/>
      <s:c r="H123" s="76" t="n"/>
      <s:c r="I123" s="59" t="str">
        <s:f>IF($H123="","",$H123*Inputs!$C$12)</s:f>
        <s:v/>
      </s:c>
      <s:c r="J123" s="77" t="n"/>
      <s:c r="K123" s="61" t="str">
        <s:f>IF($J123="","",$B$3-$J123)</s:f>
        <s:v/>
      </s:c>
      <s:c r="L123" s="62" t="str">
        <s:f>IFERROR(INDEX('CRM Playbook'!$C$6:$C$10,MATCH($B123,'CRM Playbook'!$B$6:$B$10,0)),"")</s:f>
        <s:v/>
      </s:c>
      <s:c r="M123" s="63" t="str">
        <s:f>IF(OR($J123="",$L123=""),"",$J123+$L123)</s:f>
        <s:v/>
      </s:c>
      <s:c r="N123" s="64" t="str">
        <s:f>IF($A123="","",IF($J123="","NEW - reach out",IF($M123&lt;$B$3,"OVERDUE",IF($M123&lt;=$B$3+3,"DUE","Current"))))</s:f>
        <s:v/>
      </s:c>
      <s:c r="O123" s="65" t="n"/>
      <s:c r="P123" s="65" t="n"/>
      <s:c r="Q123" s="65" t="n"/>
      <s:c r="R123" s="66" t="str">
        <s:f>IF($A123="","",IF($J123="",9999+ROW()/100000,IF($M123&gt;$B$3,"",($B$3-$M123)+ROW()/100000)))</s:f>
        <s:v/>
      </s:c>
    </s:row>
    <s:row r="124">
      <s:c r="A124" s="67" t="n"/>
      <s:c r="B124" s="67" t="n"/>
      <s:c r="C124" s="67" t="n"/>
      <s:c r="D124" s="67" t="n"/>
      <s:c r="E124" s="67" t="n"/>
      <s:c r="F124" s="67" t="n"/>
      <s:c r="G124" s="67" t="n"/>
      <s:c r="H124" s="68" t="n"/>
      <s:c r="I124" s="69" t="str">
        <s:f>IF($H124="","",$H124*Inputs!$C$12)</s:f>
        <s:v/>
      </s:c>
      <s:c r="J124" s="70" t="n"/>
      <s:c r="K124" s="71" t="str">
        <s:f>IF($J124="","",$B$3-$J124)</s:f>
        <s:v/>
      </s:c>
      <s:c r="L124" s="72" t="str">
        <s:f>IFERROR(INDEX('CRM Playbook'!$C$6:$C$10,MATCH($B124,'CRM Playbook'!$B$6:$B$10,0)),"")</s:f>
        <s:v/>
      </s:c>
      <s:c r="M124" s="73" t="str">
        <s:f>IF(OR($J124="",$L124=""),"",$J124+$L124)</s:f>
        <s:v/>
      </s:c>
      <s:c r="N124" s="74" t="str">
        <s:f>IF($A124="","",IF($J124="","NEW - reach out",IF($M124&lt;$B$3,"OVERDUE",IF($M124&lt;=$B$3+3,"DUE","Current"))))</s:f>
        <s:v/>
      </s:c>
      <s:c r="O124" s="67" t="n"/>
      <s:c r="P124" s="67" t="n"/>
      <s:c r="Q124" s="67" t="n"/>
      <s:c r="R124" s="75" t="str">
        <s:f>IF($A124="","",IF($J124="",9999+ROW()/100000,IF($M124&gt;$B$3,"",($B$3-$M124)+ROW()/100000)))</s:f>
        <s:v/>
      </s:c>
    </s:row>
    <s:row r="125">
      <s:c r="A125" s="65" t="n"/>
      <s:c r="B125" s="65" t="n"/>
      <s:c r="C125" s="65" t="n"/>
      <s:c r="D125" s="65" t="n"/>
      <s:c r="E125" s="65" t="n"/>
      <s:c r="F125" s="65" t="n"/>
      <s:c r="G125" s="65" t="n"/>
      <s:c r="H125" s="76" t="n"/>
      <s:c r="I125" s="59" t="str">
        <s:f>IF($H125="","",$H125*Inputs!$C$12)</s:f>
        <s:v/>
      </s:c>
      <s:c r="J125" s="77" t="n"/>
      <s:c r="K125" s="61" t="str">
        <s:f>IF($J125="","",$B$3-$J125)</s:f>
        <s:v/>
      </s:c>
      <s:c r="L125" s="62" t="str">
        <s:f>IFERROR(INDEX('CRM Playbook'!$C$6:$C$10,MATCH($B125,'CRM Playbook'!$B$6:$B$10,0)),"")</s:f>
        <s:v/>
      </s:c>
      <s:c r="M125" s="63" t="str">
        <s:f>IF(OR($J125="",$L125=""),"",$J125+$L125)</s:f>
        <s:v/>
      </s:c>
      <s:c r="N125" s="64" t="str">
        <s:f>IF($A125="","",IF($J125="","NEW - reach out",IF($M125&lt;$B$3,"OVERDUE",IF($M125&lt;=$B$3+3,"DUE","Current"))))</s:f>
        <s:v/>
      </s:c>
      <s:c r="O125" s="65" t="n"/>
      <s:c r="P125" s="65" t="n"/>
      <s:c r="Q125" s="65" t="n"/>
      <s:c r="R125" s="66" t="str">
        <s:f>IF($A125="","",IF($J125="",9999+ROW()/100000,IF($M125&gt;$B$3,"",($B$3-$M125)+ROW()/100000)))</s:f>
        <s:v/>
      </s:c>
    </s:row>
    <s:row r="126">
      <s:c r="A126" s="67" t="n"/>
      <s:c r="B126" s="67" t="n"/>
      <s:c r="C126" s="67" t="n"/>
      <s:c r="D126" s="67" t="n"/>
      <s:c r="E126" s="67" t="n"/>
      <s:c r="F126" s="67" t="n"/>
      <s:c r="G126" s="67" t="n"/>
      <s:c r="H126" s="68" t="n"/>
      <s:c r="I126" s="69" t="str">
        <s:f>IF($H126="","",$H126*Inputs!$C$12)</s:f>
        <s:v/>
      </s:c>
      <s:c r="J126" s="70" t="n"/>
      <s:c r="K126" s="71" t="str">
        <s:f>IF($J126="","",$B$3-$J126)</s:f>
        <s:v/>
      </s:c>
      <s:c r="L126" s="72" t="str">
        <s:f>IFERROR(INDEX('CRM Playbook'!$C$6:$C$10,MATCH($B126,'CRM Playbook'!$B$6:$B$10,0)),"")</s:f>
        <s:v/>
      </s:c>
      <s:c r="M126" s="73" t="str">
        <s:f>IF(OR($J126="",$L126=""),"",$J126+$L126)</s:f>
        <s:v/>
      </s:c>
      <s:c r="N126" s="74" t="str">
        <s:f>IF($A126="","",IF($J126="","NEW - reach out",IF($M126&lt;$B$3,"OVERDUE",IF($M126&lt;=$B$3+3,"DUE","Current"))))</s:f>
        <s:v/>
      </s:c>
      <s:c r="O126" s="67" t="n"/>
      <s:c r="P126" s="67" t="n"/>
      <s:c r="Q126" s="67" t="n"/>
      <s:c r="R126" s="75" t="str">
        <s:f>IF($A126="","",IF($J126="",9999+ROW()/100000,IF($M126&gt;$B$3,"",($B$3-$M126)+ROW()/100000)))</s:f>
        <s:v/>
      </s:c>
    </s:row>
    <s:row r="127">
      <s:c r="A127" s="65" t="n"/>
      <s:c r="B127" s="65" t="n"/>
      <s:c r="C127" s="65" t="n"/>
      <s:c r="D127" s="65" t="n"/>
      <s:c r="E127" s="65" t="n"/>
      <s:c r="F127" s="65" t="n"/>
      <s:c r="G127" s="65" t="n"/>
      <s:c r="H127" s="76" t="n"/>
      <s:c r="I127" s="59" t="str">
        <s:f>IF($H127="","",$H127*Inputs!$C$12)</s:f>
        <s:v/>
      </s:c>
      <s:c r="J127" s="77" t="n"/>
      <s:c r="K127" s="61" t="str">
        <s:f>IF($J127="","",$B$3-$J127)</s:f>
        <s:v/>
      </s:c>
      <s:c r="L127" s="62" t="str">
        <s:f>IFERROR(INDEX('CRM Playbook'!$C$6:$C$10,MATCH($B127,'CRM Playbook'!$B$6:$B$10,0)),"")</s:f>
        <s:v/>
      </s:c>
      <s:c r="M127" s="63" t="str">
        <s:f>IF(OR($J127="",$L127=""),"",$J127+$L127)</s:f>
        <s:v/>
      </s:c>
      <s:c r="N127" s="64" t="str">
        <s:f>IF($A127="","",IF($J127="","NEW - reach out",IF($M127&lt;$B$3,"OVERDUE",IF($M127&lt;=$B$3+3,"DUE","Current"))))</s:f>
        <s:v/>
      </s:c>
      <s:c r="O127" s="65" t="n"/>
      <s:c r="P127" s="65" t="n"/>
      <s:c r="Q127" s="65" t="n"/>
      <s:c r="R127" s="66" t="str">
        <s:f>IF($A127="","",IF($J127="",9999+ROW()/100000,IF($M127&gt;$B$3,"",($B$3-$M127)+ROW()/100000)))</s:f>
        <s:v/>
      </s:c>
    </s:row>
    <s:row r="128">
      <s:c r="A128" s="67" t="n"/>
      <s:c r="B128" s="67" t="n"/>
      <s:c r="C128" s="67" t="n"/>
      <s:c r="D128" s="67" t="n"/>
      <s:c r="E128" s="67" t="n"/>
      <s:c r="F128" s="67" t="n"/>
      <s:c r="G128" s="67" t="n"/>
      <s:c r="H128" s="68" t="n"/>
      <s:c r="I128" s="69" t="str">
        <s:f>IF($H128="","",$H128*Inputs!$C$12)</s:f>
        <s:v/>
      </s:c>
      <s:c r="J128" s="70" t="n"/>
      <s:c r="K128" s="71" t="str">
        <s:f>IF($J128="","",$B$3-$J128)</s:f>
        <s:v/>
      </s:c>
      <s:c r="L128" s="72" t="str">
        <s:f>IFERROR(INDEX('CRM Playbook'!$C$6:$C$10,MATCH($B128,'CRM Playbook'!$B$6:$B$10,0)),"")</s:f>
        <s:v/>
      </s:c>
      <s:c r="M128" s="73" t="str">
        <s:f>IF(OR($J128="",$L128=""),"",$J128+$L128)</s:f>
        <s:v/>
      </s:c>
      <s:c r="N128" s="74" t="str">
        <s:f>IF($A128="","",IF($J128="","NEW - reach out",IF($M128&lt;$B$3,"OVERDUE",IF($M128&lt;=$B$3+3,"DUE","Current"))))</s:f>
        <s:v/>
      </s:c>
      <s:c r="O128" s="67" t="n"/>
      <s:c r="P128" s="67" t="n"/>
      <s:c r="Q128" s="67" t="n"/>
      <s:c r="R128" s="75" t="str">
        <s:f>IF($A128="","",IF($J128="",9999+ROW()/100000,IF($M128&gt;$B$3,"",($B$3-$M128)+ROW()/100000)))</s:f>
        <s:v/>
      </s:c>
    </s:row>
    <s:row r="129">
      <s:c r="A129" s="65" t="n"/>
      <s:c r="B129" s="65" t="n"/>
      <s:c r="C129" s="65" t="n"/>
      <s:c r="D129" s="65" t="n"/>
      <s:c r="E129" s="65" t="n"/>
      <s:c r="F129" s="65" t="n"/>
      <s:c r="G129" s="65" t="n"/>
      <s:c r="H129" s="76" t="n"/>
      <s:c r="I129" s="59" t="str">
        <s:f>IF($H129="","",$H129*Inputs!$C$12)</s:f>
        <s:v/>
      </s:c>
      <s:c r="J129" s="77" t="n"/>
      <s:c r="K129" s="61" t="str">
        <s:f>IF($J129="","",$B$3-$J129)</s:f>
        <s:v/>
      </s:c>
      <s:c r="L129" s="62" t="str">
        <s:f>IFERROR(INDEX('CRM Playbook'!$C$6:$C$10,MATCH($B129,'CRM Playbook'!$B$6:$B$10,0)),"")</s:f>
        <s:v/>
      </s:c>
      <s:c r="M129" s="63" t="str">
        <s:f>IF(OR($J129="",$L129=""),"",$J129+$L129)</s:f>
        <s:v/>
      </s:c>
      <s:c r="N129" s="64" t="str">
        <s:f>IF($A129="","",IF($J129="","NEW - reach out",IF($M129&lt;$B$3,"OVERDUE",IF($M129&lt;=$B$3+3,"DUE","Current"))))</s:f>
        <s:v/>
      </s:c>
      <s:c r="O129" s="65" t="n"/>
      <s:c r="P129" s="65" t="n"/>
      <s:c r="Q129" s="65" t="n"/>
      <s:c r="R129" s="66" t="str">
        <s:f>IF($A129="","",IF($J129="",9999+ROW()/100000,IF($M129&gt;$B$3,"",($B$3-$M129)+ROW()/100000)))</s:f>
        <s:v/>
      </s:c>
    </s:row>
    <s:row r="130">
      <s:c r="A130" s="67" t="n"/>
      <s:c r="B130" s="67" t="n"/>
      <s:c r="C130" s="67" t="n"/>
      <s:c r="D130" s="67" t="n"/>
      <s:c r="E130" s="67" t="n"/>
      <s:c r="F130" s="67" t="n"/>
      <s:c r="G130" s="67" t="n"/>
      <s:c r="H130" s="68" t="n"/>
      <s:c r="I130" s="69" t="str">
        <s:f>IF($H130="","",$H130*Inputs!$C$12)</s:f>
        <s:v/>
      </s:c>
      <s:c r="J130" s="70" t="n"/>
      <s:c r="K130" s="71" t="str">
        <s:f>IF($J130="","",$B$3-$J130)</s:f>
        <s:v/>
      </s:c>
      <s:c r="L130" s="72" t="str">
        <s:f>IFERROR(INDEX('CRM Playbook'!$C$6:$C$10,MATCH($B130,'CRM Playbook'!$B$6:$B$10,0)),"")</s:f>
        <s:v/>
      </s:c>
      <s:c r="M130" s="73" t="str">
        <s:f>IF(OR($J130="",$L130=""),"",$J130+$L130)</s:f>
        <s:v/>
      </s:c>
      <s:c r="N130" s="74" t="str">
        <s:f>IF($A130="","",IF($J130="","NEW - reach out",IF($M130&lt;$B$3,"OVERDUE",IF($M130&lt;=$B$3+3,"DUE","Current"))))</s:f>
        <s:v/>
      </s:c>
      <s:c r="O130" s="67" t="n"/>
      <s:c r="P130" s="67" t="n"/>
      <s:c r="Q130" s="67" t="n"/>
      <s:c r="R130" s="75" t="str">
        <s:f>IF($A130="","",IF($J130="",9999+ROW()/100000,IF($M130&gt;$B$3,"",($B$3-$M130)+ROW()/100000)))</s:f>
        <s:v/>
      </s:c>
    </s:row>
    <s:row r="131">
      <s:c r="A131" s="65" t="n"/>
      <s:c r="B131" s="65" t="n"/>
      <s:c r="C131" s="65" t="n"/>
      <s:c r="D131" s="65" t="n"/>
      <s:c r="E131" s="65" t="n"/>
      <s:c r="F131" s="65" t="n"/>
      <s:c r="G131" s="65" t="n"/>
      <s:c r="H131" s="76" t="n"/>
      <s:c r="I131" s="59" t="str">
        <s:f>IF($H131="","",$H131*Inputs!$C$12)</s:f>
        <s:v/>
      </s:c>
      <s:c r="J131" s="77" t="n"/>
      <s:c r="K131" s="61" t="str">
        <s:f>IF($J131="","",$B$3-$J131)</s:f>
        <s:v/>
      </s:c>
      <s:c r="L131" s="62" t="str">
        <s:f>IFERROR(INDEX('CRM Playbook'!$C$6:$C$10,MATCH($B131,'CRM Playbook'!$B$6:$B$10,0)),"")</s:f>
        <s:v/>
      </s:c>
      <s:c r="M131" s="63" t="str">
        <s:f>IF(OR($J131="",$L131=""),"",$J131+$L131)</s:f>
        <s:v/>
      </s:c>
      <s:c r="N131" s="64" t="str">
        <s:f>IF($A131="","",IF($J131="","NEW - reach out",IF($M131&lt;$B$3,"OVERDUE",IF($M131&lt;=$B$3+3,"DUE","Current"))))</s:f>
        <s:v/>
      </s:c>
      <s:c r="O131" s="65" t="n"/>
      <s:c r="P131" s="65" t="n"/>
      <s:c r="Q131" s="65" t="n"/>
      <s:c r="R131" s="66" t="str">
        <s:f>IF($A131="","",IF($J131="",9999+ROW()/100000,IF($M131&gt;$B$3,"",($B$3-$M131)+ROW()/100000)))</s:f>
        <s:v/>
      </s:c>
    </s:row>
    <s:row r="132">
      <s:c r="A132" s="67" t="n"/>
      <s:c r="B132" s="67" t="n"/>
      <s:c r="C132" s="67" t="n"/>
      <s:c r="D132" s="67" t="n"/>
      <s:c r="E132" s="67" t="n"/>
      <s:c r="F132" s="67" t="n"/>
      <s:c r="G132" s="67" t="n"/>
      <s:c r="H132" s="68" t="n"/>
      <s:c r="I132" s="69" t="str">
        <s:f>IF($H132="","",$H132*Inputs!$C$12)</s:f>
        <s:v/>
      </s:c>
      <s:c r="J132" s="70" t="n"/>
      <s:c r="K132" s="71" t="str">
        <s:f>IF($J132="","",$B$3-$J132)</s:f>
        <s:v/>
      </s:c>
      <s:c r="L132" s="72" t="str">
        <s:f>IFERROR(INDEX('CRM Playbook'!$C$6:$C$10,MATCH($B132,'CRM Playbook'!$B$6:$B$10,0)),"")</s:f>
        <s:v/>
      </s:c>
      <s:c r="M132" s="73" t="str">
        <s:f>IF(OR($J132="",$L132=""),"",$J132+$L132)</s:f>
        <s:v/>
      </s:c>
      <s:c r="N132" s="74" t="str">
        <s:f>IF($A132="","",IF($J132="","NEW - reach out",IF($M132&lt;$B$3,"OVERDUE",IF($M132&lt;=$B$3+3,"DUE","Current"))))</s:f>
        <s:v/>
      </s:c>
      <s:c r="O132" s="67" t="n"/>
      <s:c r="P132" s="67" t="n"/>
      <s:c r="Q132" s="67" t="n"/>
      <s:c r="R132" s="75" t="str">
        <s:f>IF($A132="","",IF($J132="",9999+ROW()/100000,IF($M132&gt;$B$3,"",($B$3-$M132)+ROW()/100000)))</s:f>
        <s:v/>
      </s:c>
    </s:row>
    <s:row r="133">
      <s:c r="A133" s="65" t="n"/>
      <s:c r="B133" s="65" t="n"/>
      <s:c r="C133" s="65" t="n"/>
      <s:c r="D133" s="65" t="n"/>
      <s:c r="E133" s="65" t="n"/>
      <s:c r="F133" s="65" t="n"/>
      <s:c r="G133" s="65" t="n"/>
      <s:c r="H133" s="76" t="n"/>
      <s:c r="I133" s="59" t="str">
        <s:f>IF($H133="","",$H133*Inputs!$C$12)</s:f>
        <s:v/>
      </s:c>
      <s:c r="J133" s="77" t="n"/>
      <s:c r="K133" s="61" t="str">
        <s:f>IF($J133="","",$B$3-$J133)</s:f>
        <s:v/>
      </s:c>
      <s:c r="L133" s="62" t="str">
        <s:f>IFERROR(INDEX('CRM Playbook'!$C$6:$C$10,MATCH($B133,'CRM Playbook'!$B$6:$B$10,0)),"")</s:f>
        <s:v/>
      </s:c>
      <s:c r="M133" s="63" t="str">
        <s:f>IF(OR($J133="",$L133=""),"",$J133+$L133)</s:f>
        <s:v/>
      </s:c>
      <s:c r="N133" s="64" t="str">
        <s:f>IF($A133="","",IF($J133="","NEW - reach out",IF($M133&lt;$B$3,"OVERDUE",IF($M133&lt;=$B$3+3,"DUE","Current"))))</s:f>
        <s:v/>
      </s:c>
      <s:c r="O133" s="65" t="n"/>
      <s:c r="P133" s="65" t="n"/>
      <s:c r="Q133" s="65" t="n"/>
      <s:c r="R133" s="66" t="str">
        <s:f>IF($A133="","",IF($J133="",9999+ROW()/100000,IF($M133&gt;$B$3,"",($B$3-$M133)+ROW()/100000)))</s:f>
        <s:v/>
      </s:c>
    </s:row>
    <s:row r="134">
      <s:c r="A134" s="67" t="n"/>
      <s:c r="B134" s="67" t="n"/>
      <s:c r="C134" s="67" t="n"/>
      <s:c r="D134" s="67" t="n"/>
      <s:c r="E134" s="67" t="n"/>
      <s:c r="F134" s="67" t="n"/>
      <s:c r="G134" s="67" t="n"/>
      <s:c r="H134" s="68" t="n"/>
      <s:c r="I134" s="69" t="str">
        <s:f>IF($H134="","",$H134*Inputs!$C$12)</s:f>
        <s:v/>
      </s:c>
      <s:c r="J134" s="70" t="n"/>
      <s:c r="K134" s="71" t="str">
        <s:f>IF($J134="","",$B$3-$J134)</s:f>
        <s:v/>
      </s:c>
      <s:c r="L134" s="72" t="str">
        <s:f>IFERROR(INDEX('CRM Playbook'!$C$6:$C$10,MATCH($B134,'CRM Playbook'!$B$6:$B$10,0)),"")</s:f>
        <s:v/>
      </s:c>
      <s:c r="M134" s="73" t="str">
        <s:f>IF(OR($J134="",$L134=""),"",$J134+$L134)</s:f>
        <s:v/>
      </s:c>
      <s:c r="N134" s="74" t="str">
        <s:f>IF($A134="","",IF($J134="","NEW - reach out",IF($M134&lt;$B$3,"OVERDUE",IF($M134&lt;=$B$3+3,"DUE","Current"))))</s:f>
        <s:v/>
      </s:c>
      <s:c r="O134" s="67" t="n"/>
      <s:c r="P134" s="67" t="n"/>
      <s:c r="Q134" s="67" t="n"/>
      <s:c r="R134" s="75" t="str">
        <s:f>IF($A134="","",IF($J134="",9999+ROW()/100000,IF($M134&gt;$B$3,"",($B$3-$M134)+ROW()/100000)))</s:f>
        <s:v/>
      </s:c>
    </s:row>
    <s:row r="135">
      <s:c r="A135" s="65" t="n"/>
      <s:c r="B135" s="65" t="n"/>
      <s:c r="C135" s="65" t="n"/>
      <s:c r="D135" s="65" t="n"/>
      <s:c r="E135" s="65" t="n"/>
      <s:c r="F135" s="65" t="n"/>
      <s:c r="G135" s="65" t="n"/>
      <s:c r="H135" s="76" t="n"/>
      <s:c r="I135" s="59" t="str">
        <s:f>IF($H135="","",$H135*Inputs!$C$12)</s:f>
        <s:v/>
      </s:c>
      <s:c r="J135" s="77" t="n"/>
      <s:c r="K135" s="61" t="str">
        <s:f>IF($J135="","",$B$3-$J135)</s:f>
        <s:v/>
      </s:c>
      <s:c r="L135" s="62" t="str">
        <s:f>IFERROR(INDEX('CRM Playbook'!$C$6:$C$10,MATCH($B135,'CRM Playbook'!$B$6:$B$10,0)),"")</s:f>
        <s:v/>
      </s:c>
      <s:c r="M135" s="63" t="str">
        <s:f>IF(OR($J135="",$L135=""),"",$J135+$L135)</s:f>
        <s:v/>
      </s:c>
      <s:c r="N135" s="64" t="str">
        <s:f>IF($A135="","",IF($J135="","NEW - reach out",IF($M135&lt;$B$3,"OVERDUE",IF($M135&lt;=$B$3+3,"DUE","Current"))))</s:f>
        <s:v/>
      </s:c>
      <s:c r="O135" s="65" t="n"/>
      <s:c r="P135" s="65" t="n"/>
      <s:c r="Q135" s="65" t="n"/>
      <s:c r="R135" s="66" t="str">
        <s:f>IF($A135="","",IF($J135="",9999+ROW()/100000,IF($M135&gt;$B$3,"",($B$3-$M135)+ROW()/100000)))</s:f>
        <s:v/>
      </s:c>
    </s:row>
    <s:row r="136">
      <s:c r="A136" s="67" t="n"/>
      <s:c r="B136" s="67" t="n"/>
      <s:c r="C136" s="67" t="n"/>
      <s:c r="D136" s="67" t="n"/>
      <s:c r="E136" s="67" t="n"/>
      <s:c r="F136" s="67" t="n"/>
      <s:c r="G136" s="67" t="n"/>
      <s:c r="H136" s="68" t="n"/>
      <s:c r="I136" s="69" t="str">
        <s:f>IF($H136="","",$H136*Inputs!$C$12)</s:f>
        <s:v/>
      </s:c>
      <s:c r="J136" s="70" t="n"/>
      <s:c r="K136" s="71" t="str">
        <s:f>IF($J136="","",$B$3-$J136)</s:f>
        <s:v/>
      </s:c>
      <s:c r="L136" s="72" t="str">
        <s:f>IFERROR(INDEX('CRM Playbook'!$C$6:$C$10,MATCH($B136,'CRM Playbook'!$B$6:$B$10,0)),"")</s:f>
        <s:v/>
      </s:c>
      <s:c r="M136" s="73" t="str">
        <s:f>IF(OR($J136="",$L136=""),"",$J136+$L136)</s:f>
        <s:v/>
      </s:c>
      <s:c r="N136" s="74" t="str">
        <s:f>IF($A136="","",IF($J136="","NEW - reach out",IF($M136&lt;$B$3,"OVERDUE",IF($M136&lt;=$B$3+3,"DUE","Current"))))</s:f>
        <s:v/>
      </s:c>
      <s:c r="O136" s="67" t="n"/>
      <s:c r="P136" s="67" t="n"/>
      <s:c r="Q136" s="67" t="n"/>
      <s:c r="R136" s="75" t="str">
        <s:f>IF($A136="","",IF($J136="",9999+ROW()/100000,IF($M136&gt;$B$3,"",($B$3-$M136)+ROW()/100000)))</s:f>
        <s:v/>
      </s:c>
    </s:row>
    <s:row r="137">
      <s:c r="A137" s="65" t="n"/>
      <s:c r="B137" s="65" t="n"/>
      <s:c r="C137" s="65" t="n"/>
      <s:c r="D137" s="65" t="n"/>
      <s:c r="E137" s="65" t="n"/>
      <s:c r="F137" s="65" t="n"/>
      <s:c r="G137" s="65" t="n"/>
      <s:c r="H137" s="76" t="n"/>
      <s:c r="I137" s="59" t="str">
        <s:f>IF($H137="","",$H137*Inputs!$C$12)</s:f>
        <s:v/>
      </s:c>
      <s:c r="J137" s="77" t="n"/>
      <s:c r="K137" s="61" t="str">
        <s:f>IF($J137="","",$B$3-$J137)</s:f>
        <s:v/>
      </s:c>
      <s:c r="L137" s="62" t="str">
        <s:f>IFERROR(INDEX('CRM Playbook'!$C$6:$C$10,MATCH($B137,'CRM Playbook'!$B$6:$B$10,0)),"")</s:f>
        <s:v/>
      </s:c>
      <s:c r="M137" s="63" t="str">
        <s:f>IF(OR($J137="",$L137=""),"",$J137+$L137)</s:f>
        <s:v/>
      </s:c>
      <s:c r="N137" s="64" t="str">
        <s:f>IF($A137="","",IF($J137="","NEW - reach out",IF($M137&lt;$B$3,"OVERDUE",IF($M137&lt;=$B$3+3,"DUE","Current"))))</s:f>
        <s:v/>
      </s:c>
      <s:c r="O137" s="65" t="n"/>
      <s:c r="P137" s="65" t="n"/>
      <s:c r="Q137" s="65" t="n"/>
      <s:c r="R137" s="66" t="str">
        <s:f>IF($A137="","",IF($J137="",9999+ROW()/100000,IF($M137&gt;$B$3,"",($B$3-$M137)+ROW()/100000)))</s:f>
        <s:v/>
      </s:c>
    </s:row>
    <s:row r="138">
      <s:c r="A138" s="67" t="n"/>
      <s:c r="B138" s="67" t="n"/>
      <s:c r="C138" s="67" t="n"/>
      <s:c r="D138" s="67" t="n"/>
      <s:c r="E138" s="67" t="n"/>
      <s:c r="F138" s="67" t="n"/>
      <s:c r="G138" s="67" t="n"/>
      <s:c r="H138" s="68" t="n"/>
      <s:c r="I138" s="69" t="str">
        <s:f>IF($H138="","",$H138*Inputs!$C$12)</s:f>
        <s:v/>
      </s:c>
      <s:c r="J138" s="70" t="n"/>
      <s:c r="K138" s="71" t="str">
        <s:f>IF($J138="","",$B$3-$J138)</s:f>
        <s:v/>
      </s:c>
      <s:c r="L138" s="72" t="str">
        <s:f>IFERROR(INDEX('CRM Playbook'!$C$6:$C$10,MATCH($B138,'CRM Playbook'!$B$6:$B$10,0)),"")</s:f>
        <s:v/>
      </s:c>
      <s:c r="M138" s="73" t="str">
        <s:f>IF(OR($J138="",$L138=""),"",$J138+$L138)</s:f>
        <s:v/>
      </s:c>
      <s:c r="N138" s="74" t="str">
        <s:f>IF($A138="","",IF($J138="","NEW - reach out",IF($M138&lt;$B$3,"OVERDUE",IF($M138&lt;=$B$3+3,"DUE","Current"))))</s:f>
        <s:v/>
      </s:c>
      <s:c r="O138" s="67" t="n"/>
      <s:c r="P138" s="67" t="n"/>
      <s:c r="Q138" s="67" t="n"/>
      <s:c r="R138" s="75" t="str">
        <s:f>IF($A138="","",IF($J138="",9999+ROW()/100000,IF($M138&gt;$B$3,"",($B$3-$M138)+ROW()/100000)))</s:f>
        <s:v/>
      </s:c>
    </s:row>
    <s:row r="139">
      <s:c r="A139" s="65" t="n"/>
      <s:c r="B139" s="65" t="n"/>
      <s:c r="C139" s="65" t="n"/>
      <s:c r="D139" s="65" t="n"/>
      <s:c r="E139" s="65" t="n"/>
      <s:c r="F139" s="65" t="n"/>
      <s:c r="G139" s="65" t="n"/>
      <s:c r="H139" s="76" t="n"/>
      <s:c r="I139" s="59" t="str">
        <s:f>IF($H139="","",$H139*Inputs!$C$12)</s:f>
        <s:v/>
      </s:c>
      <s:c r="J139" s="77" t="n"/>
      <s:c r="K139" s="61" t="str">
        <s:f>IF($J139="","",$B$3-$J139)</s:f>
        <s:v/>
      </s:c>
      <s:c r="L139" s="62" t="str">
        <s:f>IFERROR(INDEX('CRM Playbook'!$C$6:$C$10,MATCH($B139,'CRM Playbook'!$B$6:$B$10,0)),"")</s:f>
        <s:v/>
      </s:c>
      <s:c r="M139" s="63" t="str">
        <s:f>IF(OR($J139="",$L139=""),"",$J139+$L139)</s:f>
        <s:v/>
      </s:c>
      <s:c r="N139" s="64" t="str">
        <s:f>IF($A139="","",IF($J139="","NEW - reach out",IF($M139&lt;$B$3,"OVERDUE",IF($M139&lt;=$B$3+3,"DUE","Current"))))</s:f>
        <s:v/>
      </s:c>
      <s:c r="O139" s="65" t="n"/>
      <s:c r="P139" s="65" t="n"/>
      <s:c r="Q139" s="65" t="n"/>
      <s:c r="R139" s="66" t="str">
        <s:f>IF($A139="","",IF($J139="",9999+ROW()/100000,IF($M139&gt;$B$3,"",($B$3-$M139)+ROW()/100000)))</s:f>
        <s:v/>
      </s:c>
    </s:row>
    <s:row r="140">
      <s:c r="A140" s="67" t="n"/>
      <s:c r="B140" s="67" t="n"/>
      <s:c r="C140" s="67" t="n"/>
      <s:c r="D140" s="67" t="n"/>
      <s:c r="E140" s="67" t="n"/>
      <s:c r="F140" s="67" t="n"/>
      <s:c r="G140" s="67" t="n"/>
      <s:c r="H140" s="68" t="n"/>
      <s:c r="I140" s="69" t="str">
        <s:f>IF($H140="","",$H140*Inputs!$C$12)</s:f>
        <s:v/>
      </s:c>
      <s:c r="J140" s="70" t="n"/>
      <s:c r="K140" s="71" t="str">
        <s:f>IF($J140="","",$B$3-$J140)</s:f>
        <s:v/>
      </s:c>
      <s:c r="L140" s="72" t="str">
        <s:f>IFERROR(INDEX('CRM Playbook'!$C$6:$C$10,MATCH($B140,'CRM Playbook'!$B$6:$B$10,0)),"")</s:f>
        <s:v/>
      </s:c>
      <s:c r="M140" s="73" t="str">
        <s:f>IF(OR($J140="",$L140=""),"",$J140+$L140)</s:f>
        <s:v/>
      </s:c>
      <s:c r="N140" s="74" t="str">
        <s:f>IF($A140="","",IF($J140="","NEW - reach out",IF($M140&lt;$B$3,"OVERDUE",IF($M140&lt;=$B$3+3,"DUE","Current"))))</s:f>
        <s:v/>
      </s:c>
      <s:c r="O140" s="67" t="n"/>
      <s:c r="P140" s="67" t="n"/>
      <s:c r="Q140" s="67" t="n"/>
      <s:c r="R140" s="75" t="str">
        <s:f>IF($A140="","",IF($J140="",9999+ROW()/100000,IF($M140&gt;$B$3,"",($B$3-$M140)+ROW()/100000)))</s:f>
        <s:v/>
      </s:c>
    </s:row>
    <s:row r="141">
      <s:c r="A141" s="65" t="n"/>
      <s:c r="B141" s="65" t="n"/>
      <s:c r="C141" s="65" t="n"/>
      <s:c r="D141" s="65" t="n"/>
      <s:c r="E141" s="65" t="n"/>
      <s:c r="F141" s="65" t="n"/>
      <s:c r="G141" s="65" t="n"/>
      <s:c r="H141" s="76" t="n"/>
      <s:c r="I141" s="59" t="str">
        <s:f>IF($H141="","",$H141*Inputs!$C$12)</s:f>
        <s:v/>
      </s:c>
      <s:c r="J141" s="77" t="n"/>
      <s:c r="K141" s="61" t="str">
        <s:f>IF($J141="","",$B$3-$J141)</s:f>
        <s:v/>
      </s:c>
      <s:c r="L141" s="62" t="str">
        <s:f>IFERROR(INDEX('CRM Playbook'!$C$6:$C$10,MATCH($B141,'CRM Playbook'!$B$6:$B$10,0)),"")</s:f>
        <s:v/>
      </s:c>
      <s:c r="M141" s="63" t="str">
        <s:f>IF(OR($J141="",$L141=""),"",$J141+$L141)</s:f>
        <s:v/>
      </s:c>
      <s:c r="N141" s="64" t="str">
        <s:f>IF($A141="","",IF($J141="","NEW - reach out",IF($M141&lt;$B$3,"OVERDUE",IF($M141&lt;=$B$3+3,"DUE","Current"))))</s:f>
        <s:v/>
      </s:c>
      <s:c r="O141" s="65" t="n"/>
      <s:c r="P141" s="65" t="n"/>
      <s:c r="Q141" s="65" t="n"/>
      <s:c r="R141" s="66" t="str">
        <s:f>IF($A141="","",IF($J141="",9999+ROW()/100000,IF($M141&gt;$B$3,"",($B$3-$M141)+ROW()/100000)))</s:f>
        <s:v/>
      </s:c>
    </s:row>
    <s:row r="142">
      <s:c r="A142" s="67" t="n"/>
      <s:c r="B142" s="67" t="n"/>
      <s:c r="C142" s="67" t="n"/>
      <s:c r="D142" s="67" t="n"/>
      <s:c r="E142" s="67" t="n"/>
      <s:c r="F142" s="67" t="n"/>
      <s:c r="G142" s="67" t="n"/>
      <s:c r="H142" s="68" t="n"/>
      <s:c r="I142" s="69" t="str">
        <s:f>IF($H142="","",$H142*Inputs!$C$12)</s:f>
        <s:v/>
      </s:c>
      <s:c r="J142" s="70" t="n"/>
      <s:c r="K142" s="71" t="str">
        <s:f>IF($J142="","",$B$3-$J142)</s:f>
        <s:v/>
      </s:c>
      <s:c r="L142" s="72" t="str">
        <s:f>IFERROR(INDEX('CRM Playbook'!$C$6:$C$10,MATCH($B142,'CRM Playbook'!$B$6:$B$10,0)),"")</s:f>
        <s:v/>
      </s:c>
      <s:c r="M142" s="73" t="str">
        <s:f>IF(OR($J142="",$L142=""),"",$J142+$L142)</s:f>
        <s:v/>
      </s:c>
      <s:c r="N142" s="74" t="str">
        <s:f>IF($A142="","",IF($J142="","NEW - reach out",IF($M142&lt;$B$3,"OVERDUE",IF($M142&lt;=$B$3+3,"DUE","Current"))))</s:f>
        <s:v/>
      </s:c>
      <s:c r="O142" s="67" t="n"/>
      <s:c r="P142" s="67" t="n"/>
      <s:c r="Q142" s="67" t="n"/>
      <s:c r="R142" s="75" t="str">
        <s:f>IF($A142="","",IF($J142="",9999+ROW()/100000,IF($M142&gt;$B$3,"",($B$3-$M142)+ROW()/100000)))</s:f>
        <s:v/>
      </s:c>
    </s:row>
    <s:row r="143">
      <s:c r="A143" s="65" t="n"/>
      <s:c r="B143" s="65" t="n"/>
      <s:c r="C143" s="65" t="n"/>
      <s:c r="D143" s="65" t="n"/>
      <s:c r="E143" s="65" t="n"/>
      <s:c r="F143" s="65" t="n"/>
      <s:c r="G143" s="65" t="n"/>
      <s:c r="H143" s="76" t="n"/>
      <s:c r="I143" s="59" t="str">
        <s:f>IF($H143="","",$H143*Inputs!$C$12)</s:f>
        <s:v/>
      </s:c>
      <s:c r="J143" s="77" t="n"/>
      <s:c r="K143" s="61" t="str">
        <s:f>IF($J143="","",$B$3-$J143)</s:f>
        <s:v/>
      </s:c>
      <s:c r="L143" s="62" t="str">
        <s:f>IFERROR(INDEX('CRM Playbook'!$C$6:$C$10,MATCH($B143,'CRM Playbook'!$B$6:$B$10,0)),"")</s:f>
        <s:v/>
      </s:c>
      <s:c r="M143" s="63" t="str">
        <s:f>IF(OR($J143="",$L143=""),"",$J143+$L143)</s:f>
        <s:v/>
      </s:c>
      <s:c r="N143" s="64" t="str">
        <s:f>IF($A143="","",IF($J143="","NEW - reach out",IF($M143&lt;$B$3,"OVERDUE",IF($M143&lt;=$B$3+3,"DUE","Current"))))</s:f>
        <s:v/>
      </s:c>
      <s:c r="O143" s="65" t="n"/>
      <s:c r="P143" s="65" t="n"/>
      <s:c r="Q143" s="65" t="n"/>
      <s:c r="R143" s="66" t="str">
        <s:f>IF($A143="","",IF($J143="",9999+ROW()/100000,IF($M143&gt;$B$3,"",($B$3-$M143)+ROW()/100000)))</s:f>
        <s:v/>
      </s:c>
    </s:row>
    <s:row r="144">
      <s:c r="A144" s="67" t="n"/>
      <s:c r="B144" s="67" t="n"/>
      <s:c r="C144" s="67" t="n"/>
      <s:c r="D144" s="67" t="n"/>
      <s:c r="E144" s="67" t="n"/>
      <s:c r="F144" s="67" t="n"/>
      <s:c r="G144" s="67" t="n"/>
      <s:c r="H144" s="68" t="n"/>
      <s:c r="I144" s="69" t="str">
        <s:f>IF($H144="","",$H144*Inputs!$C$12)</s:f>
        <s:v/>
      </s:c>
      <s:c r="J144" s="70" t="n"/>
      <s:c r="K144" s="71" t="str">
        <s:f>IF($J144="","",$B$3-$J144)</s:f>
        <s:v/>
      </s:c>
      <s:c r="L144" s="72" t="str">
        <s:f>IFERROR(INDEX('CRM Playbook'!$C$6:$C$10,MATCH($B144,'CRM Playbook'!$B$6:$B$10,0)),"")</s:f>
        <s:v/>
      </s:c>
      <s:c r="M144" s="73" t="str">
        <s:f>IF(OR($J144="",$L144=""),"",$J144+$L144)</s:f>
        <s:v/>
      </s:c>
      <s:c r="N144" s="74" t="str">
        <s:f>IF($A144="","",IF($J144="","NEW - reach out",IF($M144&lt;$B$3,"OVERDUE",IF($M144&lt;=$B$3+3,"DUE","Current"))))</s:f>
        <s:v/>
      </s:c>
      <s:c r="O144" s="67" t="n"/>
      <s:c r="P144" s="67" t="n"/>
      <s:c r="Q144" s="67" t="n"/>
      <s:c r="R144" s="75" t="str">
        <s:f>IF($A144="","",IF($J144="",9999+ROW()/100000,IF($M144&gt;$B$3,"",($B$3-$M144)+ROW()/100000)))</s:f>
        <s:v/>
      </s:c>
    </s:row>
    <s:row r="145">
      <s:c r="A145" s="65" t="n"/>
      <s:c r="B145" s="65" t="n"/>
      <s:c r="C145" s="65" t="n"/>
      <s:c r="D145" s="65" t="n"/>
      <s:c r="E145" s="65" t="n"/>
      <s:c r="F145" s="65" t="n"/>
      <s:c r="G145" s="65" t="n"/>
      <s:c r="H145" s="76" t="n"/>
      <s:c r="I145" s="59" t="str">
        <s:f>IF($H145="","",$H145*Inputs!$C$12)</s:f>
        <s:v/>
      </s:c>
      <s:c r="J145" s="77" t="n"/>
      <s:c r="K145" s="61" t="str">
        <s:f>IF($J145="","",$B$3-$J145)</s:f>
        <s:v/>
      </s:c>
      <s:c r="L145" s="62" t="str">
        <s:f>IFERROR(INDEX('CRM Playbook'!$C$6:$C$10,MATCH($B145,'CRM Playbook'!$B$6:$B$10,0)),"")</s:f>
        <s:v/>
      </s:c>
      <s:c r="M145" s="63" t="str">
        <s:f>IF(OR($J145="",$L145=""),"",$J145+$L145)</s:f>
        <s:v/>
      </s:c>
      <s:c r="N145" s="64" t="str">
        <s:f>IF($A145="","",IF($J145="","NEW - reach out",IF($M145&lt;$B$3,"OVERDUE",IF($M145&lt;=$B$3+3,"DUE","Current"))))</s:f>
        <s:v/>
      </s:c>
      <s:c r="O145" s="65" t="n"/>
      <s:c r="P145" s="65" t="n"/>
      <s:c r="Q145" s="65" t="n"/>
      <s:c r="R145" s="66" t="str">
        <s:f>IF($A145="","",IF($J145="",9999+ROW()/100000,IF($M145&gt;$B$3,"",($B$3-$M145)+ROW()/100000)))</s:f>
        <s:v/>
      </s:c>
    </s:row>
    <s:row r="146">
      <s:c r="A146" s="67" t="n"/>
      <s:c r="B146" s="67" t="n"/>
      <s:c r="C146" s="67" t="n"/>
      <s:c r="D146" s="67" t="n"/>
      <s:c r="E146" s="67" t="n"/>
      <s:c r="F146" s="67" t="n"/>
      <s:c r="G146" s="67" t="n"/>
      <s:c r="H146" s="68" t="n"/>
      <s:c r="I146" s="69" t="str">
        <s:f>IF($H146="","",$H146*Inputs!$C$12)</s:f>
        <s:v/>
      </s:c>
      <s:c r="J146" s="70" t="n"/>
      <s:c r="K146" s="71" t="str">
        <s:f>IF($J146="","",$B$3-$J146)</s:f>
        <s:v/>
      </s:c>
      <s:c r="L146" s="72" t="str">
        <s:f>IFERROR(INDEX('CRM Playbook'!$C$6:$C$10,MATCH($B146,'CRM Playbook'!$B$6:$B$10,0)),"")</s:f>
        <s:v/>
      </s:c>
      <s:c r="M146" s="73" t="str">
        <s:f>IF(OR($J146="",$L146=""),"",$J146+$L146)</s:f>
        <s:v/>
      </s:c>
      <s:c r="N146" s="74" t="str">
        <s:f>IF($A146="","",IF($J146="","NEW - reach out",IF($M146&lt;$B$3,"OVERDUE",IF($M146&lt;=$B$3+3,"DUE","Current"))))</s:f>
        <s:v/>
      </s:c>
      <s:c r="O146" s="67" t="n"/>
      <s:c r="P146" s="67" t="n"/>
      <s:c r="Q146" s="67" t="n"/>
      <s:c r="R146" s="75" t="str">
        <s:f>IF($A146="","",IF($J146="",9999+ROW()/100000,IF($M146&gt;$B$3,"",($B$3-$M146)+ROW()/100000)))</s:f>
        <s:v/>
      </s:c>
    </s:row>
    <s:row r="147">
      <s:c r="A147" s="65" t="n"/>
      <s:c r="B147" s="65" t="n"/>
      <s:c r="C147" s="65" t="n"/>
      <s:c r="D147" s="65" t="n"/>
      <s:c r="E147" s="65" t="n"/>
      <s:c r="F147" s="65" t="n"/>
      <s:c r="G147" s="65" t="n"/>
      <s:c r="H147" s="76" t="n"/>
      <s:c r="I147" s="59" t="str">
        <s:f>IF($H147="","",$H147*Inputs!$C$12)</s:f>
        <s:v/>
      </s:c>
      <s:c r="J147" s="77" t="n"/>
      <s:c r="K147" s="61" t="str">
        <s:f>IF($J147="","",$B$3-$J147)</s:f>
        <s:v/>
      </s:c>
      <s:c r="L147" s="62" t="str">
        <s:f>IFERROR(INDEX('CRM Playbook'!$C$6:$C$10,MATCH($B147,'CRM Playbook'!$B$6:$B$10,0)),"")</s:f>
        <s:v/>
      </s:c>
      <s:c r="M147" s="63" t="str">
        <s:f>IF(OR($J147="",$L147=""),"",$J147+$L147)</s:f>
        <s:v/>
      </s:c>
      <s:c r="N147" s="64" t="str">
        <s:f>IF($A147="","",IF($J147="","NEW - reach out",IF($M147&lt;$B$3,"OVERDUE",IF($M147&lt;=$B$3+3,"DUE","Current"))))</s:f>
        <s:v/>
      </s:c>
      <s:c r="O147" s="65" t="n"/>
      <s:c r="P147" s="65" t="n"/>
      <s:c r="Q147" s="65" t="n"/>
      <s:c r="R147" s="66" t="str">
        <s:f>IF($A147="","",IF($J147="",9999+ROW()/100000,IF($M147&gt;$B$3,"",($B$3-$M147)+ROW()/100000)))</s:f>
        <s:v/>
      </s:c>
    </s:row>
    <s:row r="148">
      <s:c r="A148" s="67" t="n"/>
      <s:c r="B148" s="67" t="n"/>
      <s:c r="C148" s="67" t="n"/>
      <s:c r="D148" s="67" t="n"/>
      <s:c r="E148" s="67" t="n"/>
      <s:c r="F148" s="67" t="n"/>
      <s:c r="G148" s="67" t="n"/>
      <s:c r="H148" s="68" t="n"/>
      <s:c r="I148" s="69" t="str">
        <s:f>IF($H148="","",$H148*Inputs!$C$12)</s:f>
        <s:v/>
      </s:c>
      <s:c r="J148" s="70" t="n"/>
      <s:c r="K148" s="71" t="str">
        <s:f>IF($J148="","",$B$3-$J148)</s:f>
        <s:v/>
      </s:c>
      <s:c r="L148" s="72" t="str">
        <s:f>IFERROR(INDEX('CRM Playbook'!$C$6:$C$10,MATCH($B148,'CRM Playbook'!$B$6:$B$10,0)),"")</s:f>
        <s:v/>
      </s:c>
      <s:c r="M148" s="73" t="str">
        <s:f>IF(OR($J148="",$L148=""),"",$J148+$L148)</s:f>
        <s:v/>
      </s:c>
      <s:c r="N148" s="74" t="str">
        <s:f>IF($A148="","",IF($J148="","NEW - reach out",IF($M148&lt;$B$3,"OVERDUE",IF($M148&lt;=$B$3+3,"DUE","Current"))))</s:f>
        <s:v/>
      </s:c>
      <s:c r="O148" s="67" t="n"/>
      <s:c r="P148" s="67" t="n"/>
      <s:c r="Q148" s="67" t="n"/>
      <s:c r="R148" s="75" t="str">
        <s:f>IF($A148="","",IF($J148="",9999+ROW()/100000,IF($M148&gt;$B$3,"",($B$3-$M148)+ROW()/100000)))</s:f>
        <s:v/>
      </s:c>
    </s:row>
    <s:row r="149">
      <s:c r="A149" s="65" t="n"/>
      <s:c r="B149" s="65" t="n"/>
      <s:c r="C149" s="65" t="n"/>
      <s:c r="D149" s="65" t="n"/>
      <s:c r="E149" s="65" t="n"/>
      <s:c r="F149" s="65" t="n"/>
      <s:c r="G149" s="65" t="n"/>
      <s:c r="H149" s="76" t="n"/>
      <s:c r="I149" s="59" t="str">
        <s:f>IF($H149="","",$H149*Inputs!$C$12)</s:f>
        <s:v/>
      </s:c>
      <s:c r="J149" s="77" t="n"/>
      <s:c r="K149" s="61" t="str">
        <s:f>IF($J149="","",$B$3-$J149)</s:f>
        <s:v/>
      </s:c>
      <s:c r="L149" s="62" t="str">
        <s:f>IFERROR(INDEX('CRM Playbook'!$C$6:$C$10,MATCH($B149,'CRM Playbook'!$B$6:$B$10,0)),"")</s:f>
        <s:v/>
      </s:c>
      <s:c r="M149" s="63" t="str">
        <s:f>IF(OR($J149="",$L149=""),"",$J149+$L149)</s:f>
        <s:v/>
      </s:c>
      <s:c r="N149" s="64" t="str">
        <s:f>IF($A149="","",IF($J149="","NEW - reach out",IF($M149&lt;$B$3,"OVERDUE",IF($M149&lt;=$B$3+3,"DUE","Current"))))</s:f>
        <s:v/>
      </s:c>
      <s:c r="O149" s="65" t="n"/>
      <s:c r="P149" s="65" t="n"/>
      <s:c r="Q149" s="65" t="n"/>
      <s:c r="R149" s="66" t="str">
        <s:f>IF($A149="","",IF($J149="",9999+ROW()/100000,IF($M149&gt;$B$3,"",($B$3-$M149)+ROW()/100000)))</s:f>
        <s:v/>
      </s:c>
    </s:row>
    <s:row r="150">
      <s:c r="A150" s="67" t="n"/>
      <s:c r="B150" s="67" t="n"/>
      <s:c r="C150" s="67" t="n"/>
      <s:c r="D150" s="67" t="n"/>
      <s:c r="E150" s="67" t="n"/>
      <s:c r="F150" s="67" t="n"/>
      <s:c r="G150" s="67" t="n"/>
      <s:c r="H150" s="68" t="n"/>
      <s:c r="I150" s="69" t="str">
        <s:f>IF($H150="","",$H150*Inputs!$C$12)</s:f>
        <s:v/>
      </s:c>
      <s:c r="J150" s="70" t="n"/>
      <s:c r="K150" s="71" t="str">
        <s:f>IF($J150="","",$B$3-$J150)</s:f>
        <s:v/>
      </s:c>
      <s:c r="L150" s="72" t="str">
        <s:f>IFERROR(INDEX('CRM Playbook'!$C$6:$C$10,MATCH($B150,'CRM Playbook'!$B$6:$B$10,0)),"")</s:f>
        <s:v/>
      </s:c>
      <s:c r="M150" s="73" t="str">
        <s:f>IF(OR($J150="",$L150=""),"",$J150+$L150)</s:f>
        <s:v/>
      </s:c>
      <s:c r="N150" s="74" t="str">
        <s:f>IF($A150="","",IF($J150="","NEW - reach out",IF($M150&lt;$B$3,"OVERDUE",IF($M150&lt;=$B$3+3,"DUE","Current"))))</s:f>
        <s:v/>
      </s:c>
      <s:c r="O150" s="67" t="n"/>
      <s:c r="P150" s="67" t="n"/>
      <s:c r="Q150" s="67" t="n"/>
      <s:c r="R150" s="75" t="str">
        <s:f>IF($A150="","",IF($J150="",9999+ROW()/100000,IF($M150&gt;$B$3,"",($B$3-$M150)+ROW()/100000)))</s:f>
        <s:v/>
      </s:c>
    </s:row>
    <s:row r="151">
      <s:c r="A151" s="65" t="n"/>
      <s:c r="B151" s="65" t="n"/>
      <s:c r="C151" s="65" t="n"/>
      <s:c r="D151" s="65" t="n"/>
      <s:c r="E151" s="65" t="n"/>
      <s:c r="F151" s="65" t="n"/>
      <s:c r="G151" s="65" t="n"/>
      <s:c r="H151" s="76" t="n"/>
      <s:c r="I151" s="59" t="str">
        <s:f>IF($H151="","",$H151*Inputs!$C$12)</s:f>
        <s:v/>
      </s:c>
      <s:c r="J151" s="77" t="n"/>
      <s:c r="K151" s="61" t="str">
        <s:f>IF($J151="","",$B$3-$J151)</s:f>
        <s:v/>
      </s:c>
      <s:c r="L151" s="62" t="str">
        <s:f>IFERROR(INDEX('CRM Playbook'!$C$6:$C$10,MATCH($B151,'CRM Playbook'!$B$6:$B$10,0)),"")</s:f>
        <s:v/>
      </s:c>
      <s:c r="M151" s="63" t="str">
        <s:f>IF(OR($J151="",$L151=""),"",$J151+$L151)</s:f>
        <s:v/>
      </s:c>
      <s:c r="N151" s="64" t="str">
        <s:f>IF($A151="","",IF($J151="","NEW - reach out",IF($M151&lt;$B$3,"OVERDUE",IF($M151&lt;=$B$3+3,"DUE","Current"))))</s:f>
        <s:v/>
      </s:c>
      <s:c r="O151" s="65" t="n"/>
      <s:c r="P151" s="65" t="n"/>
      <s:c r="Q151" s="65" t="n"/>
      <s:c r="R151" s="66" t="str">
        <s:f>IF($A151="","",IF($J151="",9999+ROW()/100000,IF($M151&gt;$B$3,"",($B$3-$M151)+ROW()/100000)))</s:f>
        <s:v/>
      </s:c>
    </s:row>
    <s:row r="152">
      <s:c r="A152" s="67" t="n"/>
      <s:c r="B152" s="67" t="n"/>
      <s:c r="C152" s="67" t="n"/>
      <s:c r="D152" s="67" t="n"/>
      <s:c r="E152" s="67" t="n"/>
      <s:c r="F152" s="67" t="n"/>
      <s:c r="G152" s="67" t="n"/>
      <s:c r="H152" s="68" t="n"/>
      <s:c r="I152" s="69" t="str">
        <s:f>IF($H152="","",$H152*Inputs!$C$12)</s:f>
        <s:v/>
      </s:c>
      <s:c r="J152" s="70" t="n"/>
      <s:c r="K152" s="71" t="str">
        <s:f>IF($J152="","",$B$3-$J152)</s:f>
        <s:v/>
      </s:c>
      <s:c r="L152" s="72" t="str">
        <s:f>IFERROR(INDEX('CRM Playbook'!$C$6:$C$10,MATCH($B152,'CRM Playbook'!$B$6:$B$10,0)),"")</s:f>
        <s:v/>
      </s:c>
      <s:c r="M152" s="73" t="str">
        <s:f>IF(OR($J152="",$L152=""),"",$J152+$L152)</s:f>
        <s:v/>
      </s:c>
      <s:c r="N152" s="74" t="str">
        <s:f>IF($A152="","",IF($J152="","NEW - reach out",IF($M152&lt;$B$3,"OVERDUE",IF($M152&lt;=$B$3+3,"DUE","Current"))))</s:f>
        <s:v/>
      </s:c>
      <s:c r="O152" s="67" t="n"/>
      <s:c r="P152" s="67" t="n"/>
      <s:c r="Q152" s="67" t="n"/>
      <s:c r="R152" s="75" t="str">
        <s:f>IF($A152="","",IF($J152="",9999+ROW()/100000,IF($M152&gt;$B$3,"",($B$3-$M152)+ROW()/100000)))</s:f>
        <s:v/>
      </s:c>
    </s:row>
    <s:row r="153">
      <s:c r="A153" s="65" t="n"/>
      <s:c r="B153" s="65" t="n"/>
      <s:c r="C153" s="65" t="n"/>
      <s:c r="D153" s="65" t="n"/>
      <s:c r="E153" s="65" t="n"/>
      <s:c r="F153" s="65" t="n"/>
      <s:c r="G153" s="65" t="n"/>
      <s:c r="H153" s="76" t="n"/>
      <s:c r="I153" s="59" t="str">
        <s:f>IF($H153="","",$H153*Inputs!$C$12)</s:f>
        <s:v/>
      </s:c>
      <s:c r="J153" s="77" t="n"/>
      <s:c r="K153" s="61" t="str">
        <s:f>IF($J153="","",$B$3-$J153)</s:f>
        <s:v/>
      </s:c>
      <s:c r="L153" s="62" t="str">
        <s:f>IFERROR(INDEX('CRM Playbook'!$C$6:$C$10,MATCH($B153,'CRM Playbook'!$B$6:$B$10,0)),"")</s:f>
        <s:v/>
      </s:c>
      <s:c r="M153" s="63" t="str">
        <s:f>IF(OR($J153="",$L153=""),"",$J153+$L153)</s:f>
        <s:v/>
      </s:c>
      <s:c r="N153" s="64" t="str">
        <s:f>IF($A153="","",IF($J153="","NEW - reach out",IF($M153&lt;$B$3,"OVERDUE",IF($M153&lt;=$B$3+3,"DUE","Current"))))</s:f>
        <s:v/>
      </s:c>
      <s:c r="O153" s="65" t="n"/>
      <s:c r="P153" s="65" t="n"/>
      <s:c r="Q153" s="65" t="n"/>
      <s:c r="R153" s="66" t="str">
        <s:f>IF($A153="","",IF($J153="",9999+ROW()/100000,IF($M153&gt;$B$3,"",($B$3-$M153)+ROW()/100000)))</s:f>
        <s:v/>
      </s:c>
    </s:row>
    <s:row r="154">
      <s:c r="A154" s="67" t="n"/>
      <s:c r="B154" s="67" t="n"/>
      <s:c r="C154" s="67" t="n"/>
      <s:c r="D154" s="67" t="n"/>
      <s:c r="E154" s="67" t="n"/>
      <s:c r="F154" s="67" t="n"/>
      <s:c r="G154" s="67" t="n"/>
      <s:c r="H154" s="68" t="n"/>
      <s:c r="I154" s="69" t="str">
        <s:f>IF($H154="","",$H154*Inputs!$C$12)</s:f>
        <s:v/>
      </s:c>
      <s:c r="J154" s="70" t="n"/>
      <s:c r="K154" s="71" t="str">
        <s:f>IF($J154="","",$B$3-$J154)</s:f>
        <s:v/>
      </s:c>
      <s:c r="L154" s="72" t="str">
        <s:f>IFERROR(INDEX('CRM Playbook'!$C$6:$C$10,MATCH($B154,'CRM Playbook'!$B$6:$B$10,0)),"")</s:f>
        <s:v/>
      </s:c>
      <s:c r="M154" s="73" t="str">
        <s:f>IF(OR($J154="",$L154=""),"",$J154+$L154)</s:f>
        <s:v/>
      </s:c>
      <s:c r="N154" s="74" t="str">
        <s:f>IF($A154="","",IF($J154="","NEW - reach out",IF($M154&lt;$B$3,"OVERDUE",IF($M154&lt;=$B$3+3,"DUE","Current"))))</s:f>
        <s:v/>
      </s:c>
      <s:c r="O154" s="67" t="n"/>
      <s:c r="P154" s="67" t="n"/>
      <s:c r="Q154" s="67" t="n"/>
      <s:c r="R154" s="75" t="str">
        <s:f>IF($A154="","",IF($J154="",9999+ROW()/100000,IF($M154&gt;$B$3,"",($B$3-$M154)+ROW()/100000)))</s:f>
        <s:v/>
      </s:c>
    </s:row>
    <s:row r="155">
      <s:c r="A155" s="65" t="n"/>
      <s:c r="B155" s="65" t="n"/>
      <s:c r="C155" s="65" t="n"/>
      <s:c r="D155" s="65" t="n"/>
      <s:c r="E155" s="65" t="n"/>
      <s:c r="F155" s="65" t="n"/>
      <s:c r="G155" s="65" t="n"/>
      <s:c r="H155" s="76" t="n"/>
      <s:c r="I155" s="59" t="str">
        <s:f>IF($H155="","",$H155*Inputs!$C$12)</s:f>
        <s:v/>
      </s:c>
      <s:c r="J155" s="77" t="n"/>
      <s:c r="K155" s="61" t="str">
        <s:f>IF($J155="","",$B$3-$J155)</s:f>
        <s:v/>
      </s:c>
      <s:c r="L155" s="62" t="str">
        <s:f>IFERROR(INDEX('CRM Playbook'!$C$6:$C$10,MATCH($B155,'CRM Playbook'!$B$6:$B$10,0)),"")</s:f>
        <s:v/>
      </s:c>
      <s:c r="M155" s="63" t="str">
        <s:f>IF(OR($J155="",$L155=""),"",$J155+$L155)</s:f>
        <s:v/>
      </s:c>
      <s:c r="N155" s="64" t="str">
        <s:f>IF($A155="","",IF($J155="","NEW - reach out",IF($M155&lt;$B$3,"OVERDUE",IF($M155&lt;=$B$3+3,"DUE","Current"))))</s:f>
        <s:v/>
      </s:c>
      <s:c r="O155" s="65" t="n"/>
      <s:c r="P155" s="65" t="n"/>
      <s:c r="Q155" s="65" t="n"/>
      <s:c r="R155" s="66" t="str">
        <s:f>IF($A155="","",IF($J155="",9999+ROW()/100000,IF($M155&gt;$B$3,"",($B$3-$M155)+ROW()/100000)))</s:f>
        <s:v/>
      </s:c>
    </s:row>
    <s:row r="156">
      <s:c r="A156" s="67" t="n"/>
      <s:c r="B156" s="67" t="n"/>
      <s:c r="C156" s="67" t="n"/>
      <s:c r="D156" s="67" t="n"/>
      <s:c r="E156" s="67" t="n"/>
      <s:c r="F156" s="67" t="n"/>
      <s:c r="G156" s="67" t="n"/>
      <s:c r="H156" s="68" t="n"/>
      <s:c r="I156" s="69" t="str">
        <s:f>IF($H156="","",$H156*Inputs!$C$12)</s:f>
        <s:v/>
      </s:c>
      <s:c r="J156" s="70" t="n"/>
      <s:c r="K156" s="71" t="str">
        <s:f>IF($J156="","",$B$3-$J156)</s:f>
        <s:v/>
      </s:c>
      <s:c r="L156" s="72" t="str">
        <s:f>IFERROR(INDEX('CRM Playbook'!$C$6:$C$10,MATCH($B156,'CRM Playbook'!$B$6:$B$10,0)),"")</s:f>
        <s:v/>
      </s:c>
      <s:c r="M156" s="73" t="str">
        <s:f>IF(OR($J156="",$L156=""),"",$J156+$L156)</s:f>
        <s:v/>
      </s:c>
      <s:c r="N156" s="74" t="str">
        <s:f>IF($A156="","",IF($J156="","NEW - reach out",IF($M156&lt;$B$3,"OVERDUE",IF($M156&lt;=$B$3+3,"DUE","Current"))))</s:f>
        <s:v/>
      </s:c>
      <s:c r="O156" s="67" t="n"/>
      <s:c r="P156" s="67" t="n"/>
      <s:c r="Q156" s="67" t="n"/>
      <s:c r="R156" s="75" t="str">
        <s:f>IF($A156="","",IF($J156="",9999+ROW()/100000,IF($M156&gt;$B$3,"",($B$3-$M156)+ROW()/100000)))</s:f>
        <s:v/>
      </s:c>
    </s:row>
    <s:row r="157">
      <s:c r="A157" s="65" t="n"/>
      <s:c r="B157" s="65" t="n"/>
      <s:c r="C157" s="65" t="n"/>
      <s:c r="D157" s="65" t="n"/>
      <s:c r="E157" s="65" t="n"/>
      <s:c r="F157" s="65" t="n"/>
      <s:c r="G157" s="65" t="n"/>
      <s:c r="H157" s="76" t="n"/>
      <s:c r="I157" s="59" t="str">
        <s:f>IF($H157="","",$H157*Inputs!$C$12)</s:f>
        <s:v/>
      </s:c>
      <s:c r="J157" s="77" t="n"/>
      <s:c r="K157" s="61" t="str">
        <s:f>IF($J157="","",$B$3-$J157)</s:f>
        <s:v/>
      </s:c>
      <s:c r="L157" s="62" t="str">
        <s:f>IFERROR(INDEX('CRM Playbook'!$C$6:$C$10,MATCH($B157,'CRM Playbook'!$B$6:$B$10,0)),"")</s:f>
        <s:v/>
      </s:c>
      <s:c r="M157" s="63" t="str">
        <s:f>IF(OR($J157="",$L157=""),"",$J157+$L157)</s:f>
        <s:v/>
      </s:c>
      <s:c r="N157" s="64" t="str">
        <s:f>IF($A157="","",IF($J157="","NEW - reach out",IF($M157&lt;$B$3,"OVERDUE",IF($M157&lt;=$B$3+3,"DUE","Current"))))</s:f>
        <s:v/>
      </s:c>
      <s:c r="O157" s="65" t="n"/>
      <s:c r="P157" s="65" t="n"/>
      <s:c r="Q157" s="65" t="n"/>
      <s:c r="R157" s="66" t="str">
        <s:f>IF($A157="","",IF($J157="",9999+ROW()/100000,IF($M157&gt;$B$3,"",($B$3-$M157)+ROW()/100000)))</s:f>
        <s:v/>
      </s:c>
    </s:row>
    <s:row r="158">
      <s:c r="A158" s="67" t="n"/>
      <s:c r="B158" s="67" t="n"/>
      <s:c r="C158" s="67" t="n"/>
      <s:c r="D158" s="67" t="n"/>
      <s:c r="E158" s="67" t="n"/>
      <s:c r="F158" s="67" t="n"/>
      <s:c r="G158" s="67" t="n"/>
      <s:c r="H158" s="68" t="n"/>
      <s:c r="I158" s="69" t="str">
        <s:f>IF($H158="","",$H158*Inputs!$C$12)</s:f>
        <s:v/>
      </s:c>
      <s:c r="J158" s="70" t="n"/>
      <s:c r="K158" s="71" t="str">
        <s:f>IF($J158="","",$B$3-$J158)</s:f>
        <s:v/>
      </s:c>
      <s:c r="L158" s="72" t="str">
        <s:f>IFERROR(INDEX('CRM Playbook'!$C$6:$C$10,MATCH($B158,'CRM Playbook'!$B$6:$B$10,0)),"")</s:f>
        <s:v/>
      </s:c>
      <s:c r="M158" s="73" t="str">
        <s:f>IF(OR($J158="",$L158=""),"",$J158+$L158)</s:f>
        <s:v/>
      </s:c>
      <s:c r="N158" s="74" t="str">
        <s:f>IF($A158="","",IF($J158="","NEW - reach out",IF($M158&lt;$B$3,"OVERDUE",IF($M158&lt;=$B$3+3,"DUE","Current"))))</s:f>
        <s:v/>
      </s:c>
      <s:c r="O158" s="67" t="n"/>
      <s:c r="P158" s="67" t="n"/>
      <s:c r="Q158" s="67" t="n"/>
      <s:c r="R158" s="75" t="str">
        <s:f>IF($A158="","",IF($J158="",9999+ROW()/100000,IF($M158&gt;$B$3,"",($B$3-$M158)+ROW()/100000)))</s:f>
        <s:v/>
      </s:c>
    </s:row>
    <s:row r="159">
      <s:c r="A159" s="65" t="n"/>
      <s:c r="B159" s="65" t="n"/>
      <s:c r="C159" s="65" t="n"/>
      <s:c r="D159" s="65" t="n"/>
      <s:c r="E159" s="65" t="n"/>
      <s:c r="F159" s="65" t="n"/>
      <s:c r="G159" s="65" t="n"/>
      <s:c r="H159" s="76" t="n"/>
      <s:c r="I159" s="59" t="str">
        <s:f>IF($H159="","",$H159*Inputs!$C$12)</s:f>
        <s:v/>
      </s:c>
      <s:c r="J159" s="77" t="n"/>
      <s:c r="K159" s="61" t="str">
        <s:f>IF($J159="","",$B$3-$J159)</s:f>
        <s:v/>
      </s:c>
      <s:c r="L159" s="62" t="str">
        <s:f>IFERROR(INDEX('CRM Playbook'!$C$6:$C$10,MATCH($B159,'CRM Playbook'!$B$6:$B$10,0)),"")</s:f>
        <s:v/>
      </s:c>
      <s:c r="M159" s="63" t="str">
        <s:f>IF(OR($J159="",$L159=""),"",$J159+$L159)</s:f>
        <s:v/>
      </s:c>
      <s:c r="N159" s="64" t="str">
        <s:f>IF($A159="","",IF($J159="","NEW - reach out",IF($M159&lt;$B$3,"OVERDUE",IF($M159&lt;=$B$3+3,"DUE","Current"))))</s:f>
        <s:v/>
      </s:c>
      <s:c r="O159" s="65" t="n"/>
      <s:c r="P159" s="65" t="n"/>
      <s:c r="Q159" s="65" t="n"/>
      <s:c r="R159" s="66" t="str">
        <s:f>IF($A159="","",IF($J159="",9999+ROW()/100000,IF($M159&gt;$B$3,"",($B$3-$M159)+ROW()/100000)))</s:f>
        <s:v/>
      </s:c>
    </s:row>
    <s:row r="160">
      <s:c r="A160" s="67" t="n"/>
      <s:c r="B160" s="67" t="n"/>
      <s:c r="C160" s="67" t="n"/>
      <s:c r="D160" s="67" t="n"/>
      <s:c r="E160" s="67" t="n"/>
      <s:c r="F160" s="67" t="n"/>
      <s:c r="G160" s="67" t="n"/>
      <s:c r="H160" s="68" t="n"/>
      <s:c r="I160" s="69" t="str">
        <s:f>IF($H160="","",$H160*Inputs!$C$12)</s:f>
        <s:v/>
      </s:c>
      <s:c r="J160" s="70" t="n"/>
      <s:c r="K160" s="71" t="str">
        <s:f>IF($J160="","",$B$3-$J160)</s:f>
        <s:v/>
      </s:c>
      <s:c r="L160" s="72" t="str">
        <s:f>IFERROR(INDEX('CRM Playbook'!$C$6:$C$10,MATCH($B160,'CRM Playbook'!$B$6:$B$10,0)),"")</s:f>
        <s:v/>
      </s:c>
      <s:c r="M160" s="73" t="str">
        <s:f>IF(OR($J160="",$L160=""),"",$J160+$L160)</s:f>
        <s:v/>
      </s:c>
      <s:c r="N160" s="74" t="str">
        <s:f>IF($A160="","",IF($J160="","NEW - reach out",IF($M160&lt;$B$3,"OVERDUE",IF($M160&lt;=$B$3+3,"DUE","Current"))))</s:f>
        <s:v/>
      </s:c>
      <s:c r="O160" s="67" t="n"/>
      <s:c r="P160" s="67" t="n"/>
      <s:c r="Q160" s="67" t="n"/>
      <s:c r="R160" s="75" t="str">
        <s:f>IF($A160="","",IF($J160="",9999+ROW()/100000,IF($M160&gt;$B$3,"",($B$3-$M160)+ROW()/100000)))</s:f>
        <s:v/>
      </s:c>
    </s:row>
    <s:row r="161">
      <s:c r="A161" s="65" t="n"/>
      <s:c r="B161" s="65" t="n"/>
      <s:c r="C161" s="65" t="n"/>
      <s:c r="D161" s="65" t="n"/>
      <s:c r="E161" s="65" t="n"/>
      <s:c r="F161" s="65" t="n"/>
      <s:c r="G161" s="65" t="n"/>
      <s:c r="H161" s="76" t="n"/>
      <s:c r="I161" s="59" t="str">
        <s:f>IF($H161="","",$H161*Inputs!$C$12)</s:f>
        <s:v/>
      </s:c>
      <s:c r="J161" s="77" t="n"/>
      <s:c r="K161" s="61" t="str">
        <s:f>IF($J161="","",$B$3-$J161)</s:f>
        <s:v/>
      </s:c>
      <s:c r="L161" s="62" t="str">
        <s:f>IFERROR(INDEX('CRM Playbook'!$C$6:$C$10,MATCH($B161,'CRM Playbook'!$B$6:$B$10,0)),"")</s:f>
        <s:v/>
      </s:c>
      <s:c r="M161" s="63" t="str">
        <s:f>IF(OR($J161="",$L161=""),"",$J161+$L161)</s:f>
        <s:v/>
      </s:c>
      <s:c r="N161" s="64" t="str">
        <s:f>IF($A161="","",IF($J161="","NEW - reach out",IF($M161&lt;$B$3,"OVERDUE",IF($M161&lt;=$B$3+3,"DUE","Current"))))</s:f>
        <s:v/>
      </s:c>
      <s:c r="O161" s="65" t="n"/>
      <s:c r="P161" s="65" t="n"/>
      <s:c r="Q161" s="65" t="n"/>
      <s:c r="R161" s="66" t="str">
        <s:f>IF($A161="","",IF($J161="",9999+ROW()/100000,IF($M161&gt;$B$3,"",($B$3-$M161)+ROW()/100000)))</s:f>
        <s:v/>
      </s:c>
    </s:row>
    <s:row r="162">
      <s:c r="A162" s="67" t="n"/>
      <s:c r="B162" s="67" t="n"/>
      <s:c r="C162" s="67" t="n"/>
      <s:c r="D162" s="67" t="n"/>
      <s:c r="E162" s="67" t="n"/>
      <s:c r="F162" s="67" t="n"/>
      <s:c r="G162" s="67" t="n"/>
      <s:c r="H162" s="68" t="n"/>
      <s:c r="I162" s="69" t="str">
        <s:f>IF($H162="","",$H162*Inputs!$C$12)</s:f>
        <s:v/>
      </s:c>
      <s:c r="J162" s="70" t="n"/>
      <s:c r="K162" s="71" t="str">
        <s:f>IF($J162="","",$B$3-$J162)</s:f>
        <s:v/>
      </s:c>
      <s:c r="L162" s="72" t="str">
        <s:f>IFERROR(INDEX('CRM Playbook'!$C$6:$C$10,MATCH($B162,'CRM Playbook'!$B$6:$B$10,0)),"")</s:f>
        <s:v/>
      </s:c>
      <s:c r="M162" s="73" t="str">
        <s:f>IF(OR($J162="",$L162=""),"",$J162+$L162)</s:f>
        <s:v/>
      </s:c>
      <s:c r="N162" s="74" t="str">
        <s:f>IF($A162="","",IF($J162="","NEW - reach out",IF($M162&lt;$B$3,"OVERDUE",IF($M162&lt;=$B$3+3,"DUE","Current"))))</s:f>
        <s:v/>
      </s:c>
      <s:c r="O162" s="67" t="n"/>
      <s:c r="P162" s="67" t="n"/>
      <s:c r="Q162" s="67" t="n"/>
      <s:c r="R162" s="75" t="str">
        <s:f>IF($A162="","",IF($J162="",9999+ROW()/100000,IF($M162&gt;$B$3,"",($B$3-$M162)+ROW()/100000)))</s:f>
        <s:v/>
      </s:c>
    </s:row>
    <s:row r="163">
      <s:c r="A163" s="65" t="n"/>
      <s:c r="B163" s="65" t="n"/>
      <s:c r="C163" s="65" t="n"/>
      <s:c r="D163" s="65" t="n"/>
      <s:c r="E163" s="65" t="n"/>
      <s:c r="F163" s="65" t="n"/>
      <s:c r="G163" s="65" t="n"/>
      <s:c r="H163" s="76" t="n"/>
      <s:c r="I163" s="59" t="str">
        <s:f>IF($H163="","",$H163*Inputs!$C$12)</s:f>
        <s:v/>
      </s:c>
      <s:c r="J163" s="77" t="n"/>
      <s:c r="K163" s="61" t="str">
        <s:f>IF($J163="","",$B$3-$J163)</s:f>
        <s:v/>
      </s:c>
      <s:c r="L163" s="62" t="str">
        <s:f>IFERROR(INDEX('CRM Playbook'!$C$6:$C$10,MATCH($B163,'CRM Playbook'!$B$6:$B$10,0)),"")</s:f>
        <s:v/>
      </s:c>
      <s:c r="M163" s="63" t="str">
        <s:f>IF(OR($J163="",$L163=""),"",$J163+$L163)</s:f>
        <s:v/>
      </s:c>
      <s:c r="N163" s="64" t="str">
        <s:f>IF($A163="","",IF($J163="","NEW - reach out",IF($M163&lt;$B$3,"OVERDUE",IF($M163&lt;=$B$3+3,"DUE","Current"))))</s:f>
        <s:v/>
      </s:c>
      <s:c r="O163" s="65" t="n"/>
      <s:c r="P163" s="65" t="n"/>
      <s:c r="Q163" s="65" t="n"/>
      <s:c r="R163" s="66" t="str">
        <s:f>IF($A163="","",IF($J163="",9999+ROW()/100000,IF($M163&gt;$B$3,"",($B$3-$M163)+ROW()/100000)))</s:f>
        <s:v/>
      </s:c>
    </s:row>
    <s:row r="164">
      <s:c r="A164" s="67" t="n"/>
      <s:c r="B164" s="67" t="n"/>
      <s:c r="C164" s="67" t="n"/>
      <s:c r="D164" s="67" t="n"/>
      <s:c r="E164" s="67" t="n"/>
      <s:c r="F164" s="67" t="n"/>
      <s:c r="G164" s="67" t="n"/>
      <s:c r="H164" s="68" t="n"/>
      <s:c r="I164" s="69" t="str">
        <s:f>IF($H164="","",$H164*Inputs!$C$12)</s:f>
        <s:v/>
      </s:c>
      <s:c r="J164" s="70" t="n"/>
      <s:c r="K164" s="71" t="str">
        <s:f>IF($J164="","",$B$3-$J164)</s:f>
        <s:v/>
      </s:c>
      <s:c r="L164" s="72" t="str">
        <s:f>IFERROR(INDEX('CRM Playbook'!$C$6:$C$10,MATCH($B164,'CRM Playbook'!$B$6:$B$10,0)),"")</s:f>
        <s:v/>
      </s:c>
      <s:c r="M164" s="73" t="str">
        <s:f>IF(OR($J164="",$L164=""),"",$J164+$L164)</s:f>
        <s:v/>
      </s:c>
      <s:c r="N164" s="74" t="str">
        <s:f>IF($A164="","",IF($J164="","NEW - reach out",IF($M164&lt;$B$3,"OVERDUE",IF($M164&lt;=$B$3+3,"DUE","Current"))))</s:f>
        <s:v/>
      </s:c>
      <s:c r="O164" s="67" t="n"/>
      <s:c r="P164" s="67" t="n"/>
      <s:c r="Q164" s="67" t="n"/>
      <s:c r="R164" s="75" t="str">
        <s:f>IF($A164="","",IF($J164="",9999+ROW()/100000,IF($M164&gt;$B$3,"",($B$3-$M164)+ROW()/100000)))</s:f>
        <s:v/>
      </s:c>
    </s:row>
    <s:row r="165">
      <s:c r="A165" s="65" t="n"/>
      <s:c r="B165" s="65" t="n"/>
      <s:c r="C165" s="65" t="n"/>
      <s:c r="D165" s="65" t="n"/>
      <s:c r="E165" s="65" t="n"/>
      <s:c r="F165" s="65" t="n"/>
      <s:c r="G165" s="65" t="n"/>
      <s:c r="H165" s="76" t="n"/>
      <s:c r="I165" s="59" t="str">
        <s:f>IF($H165="","",$H165*Inputs!$C$12)</s:f>
        <s:v/>
      </s:c>
      <s:c r="J165" s="77" t="n"/>
      <s:c r="K165" s="61" t="str">
        <s:f>IF($J165="","",$B$3-$J165)</s:f>
        <s:v/>
      </s:c>
      <s:c r="L165" s="62" t="str">
        <s:f>IFERROR(INDEX('CRM Playbook'!$C$6:$C$10,MATCH($B165,'CRM Playbook'!$B$6:$B$10,0)),"")</s:f>
        <s:v/>
      </s:c>
      <s:c r="M165" s="63" t="str">
        <s:f>IF(OR($J165="",$L165=""),"",$J165+$L165)</s:f>
        <s:v/>
      </s:c>
      <s:c r="N165" s="64" t="str">
        <s:f>IF($A165="","",IF($J165="","NEW - reach out",IF($M165&lt;$B$3,"OVERDUE",IF($M165&lt;=$B$3+3,"DUE","Current"))))</s:f>
        <s:v/>
      </s:c>
      <s:c r="O165" s="65" t="n"/>
      <s:c r="P165" s="65" t="n"/>
      <s:c r="Q165" s="65" t="n"/>
      <s:c r="R165" s="66" t="str">
        <s:f>IF($A165="","",IF($J165="",9999+ROW()/100000,IF($M165&gt;$B$3,"",($B$3-$M165)+ROW()/100000)))</s:f>
        <s:v/>
      </s:c>
    </s:row>
    <s:row r="166">
      <s:c r="A166" s="67" t="n"/>
      <s:c r="B166" s="67" t="n"/>
      <s:c r="C166" s="67" t="n"/>
      <s:c r="D166" s="67" t="n"/>
      <s:c r="E166" s="67" t="n"/>
      <s:c r="F166" s="67" t="n"/>
      <s:c r="G166" s="67" t="n"/>
      <s:c r="H166" s="68" t="n"/>
      <s:c r="I166" s="69" t="str">
        <s:f>IF($H166="","",$H166*Inputs!$C$12)</s:f>
        <s:v/>
      </s:c>
      <s:c r="J166" s="70" t="n"/>
      <s:c r="K166" s="71" t="str">
        <s:f>IF($J166="","",$B$3-$J166)</s:f>
        <s:v/>
      </s:c>
      <s:c r="L166" s="72" t="str">
        <s:f>IFERROR(INDEX('CRM Playbook'!$C$6:$C$10,MATCH($B166,'CRM Playbook'!$B$6:$B$10,0)),"")</s:f>
        <s:v/>
      </s:c>
      <s:c r="M166" s="73" t="str">
        <s:f>IF(OR($J166="",$L166=""),"",$J166+$L166)</s:f>
        <s:v/>
      </s:c>
      <s:c r="N166" s="74" t="str">
        <s:f>IF($A166="","",IF($J166="","NEW - reach out",IF($M166&lt;$B$3,"OVERDUE",IF($M166&lt;=$B$3+3,"DUE","Current"))))</s:f>
        <s:v/>
      </s:c>
      <s:c r="O166" s="67" t="n"/>
      <s:c r="P166" s="67" t="n"/>
      <s:c r="Q166" s="67" t="n"/>
      <s:c r="R166" s="75" t="str">
        <s:f>IF($A166="","",IF($J166="",9999+ROW()/100000,IF($M166&gt;$B$3,"",($B$3-$M166)+ROW()/100000)))</s:f>
        <s:v/>
      </s:c>
    </s:row>
    <s:row r="167">
      <s:c r="A167" s="65" t="n"/>
      <s:c r="B167" s="65" t="n"/>
      <s:c r="C167" s="65" t="n"/>
      <s:c r="D167" s="65" t="n"/>
      <s:c r="E167" s="65" t="n"/>
      <s:c r="F167" s="65" t="n"/>
      <s:c r="G167" s="65" t="n"/>
      <s:c r="H167" s="76" t="n"/>
      <s:c r="I167" s="59" t="str">
        <s:f>IF($H167="","",$H167*Inputs!$C$12)</s:f>
        <s:v/>
      </s:c>
      <s:c r="J167" s="77" t="n"/>
      <s:c r="K167" s="61" t="str">
        <s:f>IF($J167="","",$B$3-$J167)</s:f>
        <s:v/>
      </s:c>
      <s:c r="L167" s="62" t="str">
        <s:f>IFERROR(INDEX('CRM Playbook'!$C$6:$C$10,MATCH($B167,'CRM Playbook'!$B$6:$B$10,0)),"")</s:f>
        <s:v/>
      </s:c>
      <s:c r="M167" s="63" t="str">
        <s:f>IF(OR($J167="",$L167=""),"",$J167+$L167)</s:f>
        <s:v/>
      </s:c>
      <s:c r="N167" s="64" t="str">
        <s:f>IF($A167="","",IF($J167="","NEW - reach out",IF($M167&lt;$B$3,"OVERDUE",IF($M167&lt;=$B$3+3,"DUE","Current"))))</s:f>
        <s:v/>
      </s:c>
      <s:c r="O167" s="65" t="n"/>
      <s:c r="P167" s="65" t="n"/>
      <s:c r="Q167" s="65" t="n"/>
      <s:c r="R167" s="66" t="str">
        <s:f>IF($A167="","",IF($J167="",9999+ROW()/100000,IF($M167&gt;$B$3,"",($B$3-$M167)+ROW()/100000)))</s:f>
        <s:v/>
      </s:c>
    </s:row>
    <s:row r="168">
      <s:c r="A168" s="67" t="n"/>
      <s:c r="B168" s="67" t="n"/>
      <s:c r="C168" s="67" t="n"/>
      <s:c r="D168" s="67" t="n"/>
      <s:c r="E168" s="67" t="n"/>
      <s:c r="F168" s="67" t="n"/>
      <s:c r="G168" s="67" t="n"/>
      <s:c r="H168" s="68" t="n"/>
      <s:c r="I168" s="69" t="str">
        <s:f>IF($H168="","",$H168*Inputs!$C$12)</s:f>
        <s:v/>
      </s:c>
      <s:c r="J168" s="70" t="n"/>
      <s:c r="K168" s="71" t="str">
        <s:f>IF($J168="","",$B$3-$J168)</s:f>
        <s:v/>
      </s:c>
      <s:c r="L168" s="72" t="str">
        <s:f>IFERROR(INDEX('CRM Playbook'!$C$6:$C$10,MATCH($B168,'CRM Playbook'!$B$6:$B$10,0)),"")</s:f>
        <s:v/>
      </s:c>
      <s:c r="M168" s="73" t="str">
        <s:f>IF(OR($J168="",$L168=""),"",$J168+$L168)</s:f>
        <s:v/>
      </s:c>
      <s:c r="N168" s="74" t="str">
        <s:f>IF($A168="","",IF($J168="","NEW - reach out",IF($M168&lt;$B$3,"OVERDUE",IF($M168&lt;=$B$3+3,"DUE","Current"))))</s:f>
        <s:v/>
      </s:c>
      <s:c r="O168" s="67" t="n"/>
      <s:c r="P168" s="67" t="n"/>
      <s:c r="Q168" s="67" t="n"/>
      <s:c r="R168" s="75" t="str">
        <s:f>IF($A168="","",IF($J168="",9999+ROW()/100000,IF($M168&gt;$B$3,"",($B$3-$M168)+ROW()/100000)))</s:f>
        <s:v/>
      </s:c>
    </s:row>
    <s:row r="169">
      <s:c r="A169" s="65" t="n"/>
      <s:c r="B169" s="65" t="n"/>
      <s:c r="C169" s="65" t="n"/>
      <s:c r="D169" s="65" t="n"/>
      <s:c r="E169" s="65" t="n"/>
      <s:c r="F169" s="65" t="n"/>
      <s:c r="G169" s="65" t="n"/>
      <s:c r="H169" s="76" t="n"/>
      <s:c r="I169" s="59" t="str">
        <s:f>IF($H169="","",$H169*Inputs!$C$12)</s:f>
        <s:v/>
      </s:c>
      <s:c r="J169" s="77" t="n"/>
      <s:c r="K169" s="61" t="str">
        <s:f>IF($J169="","",$B$3-$J169)</s:f>
        <s:v/>
      </s:c>
      <s:c r="L169" s="62" t="str">
        <s:f>IFERROR(INDEX('CRM Playbook'!$C$6:$C$10,MATCH($B169,'CRM Playbook'!$B$6:$B$10,0)),"")</s:f>
        <s:v/>
      </s:c>
      <s:c r="M169" s="63" t="str">
        <s:f>IF(OR($J169="",$L169=""),"",$J169+$L169)</s:f>
        <s:v/>
      </s:c>
      <s:c r="N169" s="64" t="str">
        <s:f>IF($A169="","",IF($J169="","NEW - reach out",IF($M169&lt;$B$3,"OVERDUE",IF($M169&lt;=$B$3+3,"DUE","Current"))))</s:f>
        <s:v/>
      </s:c>
      <s:c r="O169" s="65" t="n"/>
      <s:c r="P169" s="65" t="n"/>
      <s:c r="Q169" s="65" t="n"/>
      <s:c r="R169" s="66" t="str">
        <s:f>IF($A169="","",IF($J169="",9999+ROW()/100000,IF($M169&gt;$B$3,"",($B$3-$M169)+ROW()/100000)))</s:f>
        <s:v/>
      </s:c>
    </s:row>
    <s:row r="170">
      <s:c r="A170" s="67" t="n"/>
      <s:c r="B170" s="67" t="n"/>
      <s:c r="C170" s="67" t="n"/>
      <s:c r="D170" s="67" t="n"/>
      <s:c r="E170" s="67" t="n"/>
      <s:c r="F170" s="67" t="n"/>
      <s:c r="G170" s="67" t="n"/>
      <s:c r="H170" s="68" t="n"/>
      <s:c r="I170" s="69" t="str">
        <s:f>IF($H170="","",$H170*Inputs!$C$12)</s:f>
        <s:v/>
      </s:c>
      <s:c r="J170" s="70" t="n"/>
      <s:c r="K170" s="71" t="str">
        <s:f>IF($J170="","",$B$3-$J170)</s:f>
        <s:v/>
      </s:c>
      <s:c r="L170" s="72" t="str">
        <s:f>IFERROR(INDEX('CRM Playbook'!$C$6:$C$10,MATCH($B170,'CRM Playbook'!$B$6:$B$10,0)),"")</s:f>
        <s:v/>
      </s:c>
      <s:c r="M170" s="73" t="str">
        <s:f>IF(OR($J170="",$L170=""),"",$J170+$L170)</s:f>
        <s:v/>
      </s:c>
      <s:c r="N170" s="74" t="str">
        <s:f>IF($A170="","",IF($J170="","NEW - reach out",IF($M170&lt;$B$3,"OVERDUE",IF($M170&lt;=$B$3+3,"DUE","Current"))))</s:f>
        <s:v/>
      </s:c>
      <s:c r="O170" s="67" t="n"/>
      <s:c r="P170" s="67" t="n"/>
      <s:c r="Q170" s="67" t="n"/>
      <s:c r="R170" s="75" t="str">
        <s:f>IF($A170="","",IF($J170="",9999+ROW()/100000,IF($M170&gt;$B$3,"",($B$3-$M170)+ROW()/100000)))</s:f>
        <s:v/>
      </s:c>
    </s:row>
    <s:row r="171">
      <s:c r="A171" s="65" t="n"/>
      <s:c r="B171" s="65" t="n"/>
      <s:c r="C171" s="65" t="n"/>
      <s:c r="D171" s="65" t="n"/>
      <s:c r="E171" s="65" t="n"/>
      <s:c r="F171" s="65" t="n"/>
      <s:c r="G171" s="65" t="n"/>
      <s:c r="H171" s="76" t="n"/>
      <s:c r="I171" s="59" t="str">
        <s:f>IF($H171="","",$H171*Inputs!$C$12)</s:f>
        <s:v/>
      </s:c>
      <s:c r="J171" s="77" t="n"/>
      <s:c r="K171" s="61" t="str">
        <s:f>IF($J171="","",$B$3-$J171)</s:f>
        <s:v/>
      </s:c>
      <s:c r="L171" s="62" t="str">
        <s:f>IFERROR(INDEX('CRM Playbook'!$C$6:$C$10,MATCH($B171,'CRM Playbook'!$B$6:$B$10,0)),"")</s:f>
        <s:v/>
      </s:c>
      <s:c r="M171" s="63" t="str">
        <s:f>IF(OR($J171="",$L171=""),"",$J171+$L171)</s:f>
        <s:v/>
      </s:c>
      <s:c r="N171" s="64" t="str">
        <s:f>IF($A171="","",IF($J171="","NEW - reach out",IF($M171&lt;$B$3,"OVERDUE",IF($M171&lt;=$B$3+3,"DUE","Current"))))</s:f>
        <s:v/>
      </s:c>
      <s:c r="O171" s="65" t="n"/>
      <s:c r="P171" s="65" t="n"/>
      <s:c r="Q171" s="65" t="n"/>
      <s:c r="R171" s="66" t="str">
        <s:f>IF($A171="","",IF($J171="",9999+ROW()/100000,IF($M171&gt;$B$3,"",($B$3-$M171)+ROW()/100000)))</s:f>
        <s:v/>
      </s:c>
    </s:row>
    <s:row r="172">
      <s:c r="A172" s="67" t="n"/>
      <s:c r="B172" s="67" t="n"/>
      <s:c r="C172" s="67" t="n"/>
      <s:c r="D172" s="67" t="n"/>
      <s:c r="E172" s="67" t="n"/>
      <s:c r="F172" s="67" t="n"/>
      <s:c r="G172" s="67" t="n"/>
      <s:c r="H172" s="68" t="n"/>
      <s:c r="I172" s="69" t="str">
        <s:f>IF($H172="","",$H172*Inputs!$C$12)</s:f>
        <s:v/>
      </s:c>
      <s:c r="J172" s="70" t="n"/>
      <s:c r="K172" s="71" t="str">
        <s:f>IF($J172="","",$B$3-$J172)</s:f>
        <s:v/>
      </s:c>
      <s:c r="L172" s="72" t="str">
        <s:f>IFERROR(INDEX('CRM Playbook'!$C$6:$C$10,MATCH($B172,'CRM Playbook'!$B$6:$B$10,0)),"")</s:f>
        <s:v/>
      </s:c>
      <s:c r="M172" s="73" t="str">
        <s:f>IF(OR($J172="",$L172=""),"",$J172+$L172)</s:f>
        <s:v/>
      </s:c>
      <s:c r="N172" s="74" t="str">
        <s:f>IF($A172="","",IF($J172="","NEW - reach out",IF($M172&lt;$B$3,"OVERDUE",IF($M172&lt;=$B$3+3,"DUE","Current"))))</s:f>
        <s:v/>
      </s:c>
      <s:c r="O172" s="67" t="n"/>
      <s:c r="P172" s="67" t="n"/>
      <s:c r="Q172" s="67" t="n"/>
      <s:c r="R172" s="75" t="str">
        <s:f>IF($A172="","",IF($J172="",9999+ROW()/100000,IF($M172&gt;$B$3,"",($B$3-$M172)+ROW()/100000)))</s:f>
        <s:v/>
      </s:c>
    </s:row>
    <s:row r="173">
      <s:c r="A173" s="65" t="n"/>
      <s:c r="B173" s="65" t="n"/>
      <s:c r="C173" s="65" t="n"/>
      <s:c r="D173" s="65" t="n"/>
      <s:c r="E173" s="65" t="n"/>
      <s:c r="F173" s="65" t="n"/>
      <s:c r="G173" s="65" t="n"/>
      <s:c r="H173" s="76" t="n"/>
      <s:c r="I173" s="59" t="str">
        <s:f>IF($H173="","",$H173*Inputs!$C$12)</s:f>
        <s:v/>
      </s:c>
      <s:c r="J173" s="77" t="n"/>
      <s:c r="K173" s="61" t="str">
        <s:f>IF($J173="","",$B$3-$J173)</s:f>
        <s:v/>
      </s:c>
      <s:c r="L173" s="62" t="str">
        <s:f>IFERROR(INDEX('CRM Playbook'!$C$6:$C$10,MATCH($B173,'CRM Playbook'!$B$6:$B$10,0)),"")</s:f>
        <s:v/>
      </s:c>
      <s:c r="M173" s="63" t="str">
        <s:f>IF(OR($J173="",$L173=""),"",$J173+$L173)</s:f>
        <s:v/>
      </s:c>
      <s:c r="N173" s="64" t="str">
        <s:f>IF($A173="","",IF($J173="","NEW - reach out",IF($M173&lt;$B$3,"OVERDUE",IF($M173&lt;=$B$3+3,"DUE","Current"))))</s:f>
        <s:v/>
      </s:c>
      <s:c r="O173" s="65" t="n"/>
      <s:c r="P173" s="65" t="n"/>
      <s:c r="Q173" s="65" t="n"/>
      <s:c r="R173" s="66" t="str">
        <s:f>IF($A173="","",IF($J173="",9999+ROW()/100000,IF($M173&gt;$B$3,"",($B$3-$M173)+ROW()/100000)))</s:f>
        <s:v/>
      </s:c>
    </s:row>
    <s:row r="174">
      <s:c r="A174" s="67" t="n"/>
      <s:c r="B174" s="67" t="n"/>
      <s:c r="C174" s="67" t="n"/>
      <s:c r="D174" s="67" t="n"/>
      <s:c r="E174" s="67" t="n"/>
      <s:c r="F174" s="67" t="n"/>
      <s:c r="G174" s="67" t="n"/>
      <s:c r="H174" s="68" t="n"/>
      <s:c r="I174" s="69" t="str">
        <s:f>IF($H174="","",$H174*Inputs!$C$12)</s:f>
        <s:v/>
      </s:c>
      <s:c r="J174" s="70" t="n"/>
      <s:c r="K174" s="71" t="str">
        <s:f>IF($J174="","",$B$3-$J174)</s:f>
        <s:v/>
      </s:c>
      <s:c r="L174" s="72" t="str">
        <s:f>IFERROR(INDEX('CRM Playbook'!$C$6:$C$10,MATCH($B174,'CRM Playbook'!$B$6:$B$10,0)),"")</s:f>
        <s:v/>
      </s:c>
      <s:c r="M174" s="73" t="str">
        <s:f>IF(OR($J174="",$L174=""),"",$J174+$L174)</s:f>
        <s:v/>
      </s:c>
      <s:c r="N174" s="74" t="str">
        <s:f>IF($A174="","",IF($J174="","NEW - reach out",IF($M174&lt;$B$3,"OVERDUE",IF($M174&lt;=$B$3+3,"DUE","Current"))))</s:f>
        <s:v/>
      </s:c>
      <s:c r="O174" s="67" t="n"/>
      <s:c r="P174" s="67" t="n"/>
      <s:c r="Q174" s="67" t="n"/>
      <s:c r="R174" s="75" t="str">
        <s:f>IF($A174="","",IF($J174="",9999+ROW()/100000,IF($M174&gt;$B$3,"",($B$3-$M174)+ROW()/100000)))</s:f>
        <s:v/>
      </s:c>
    </s:row>
    <s:row r="175">
      <s:c r="A175" s="65" t="n"/>
      <s:c r="B175" s="65" t="n"/>
      <s:c r="C175" s="65" t="n"/>
      <s:c r="D175" s="65" t="n"/>
      <s:c r="E175" s="65" t="n"/>
      <s:c r="F175" s="65" t="n"/>
      <s:c r="G175" s="65" t="n"/>
      <s:c r="H175" s="76" t="n"/>
      <s:c r="I175" s="59" t="str">
        <s:f>IF($H175="","",$H175*Inputs!$C$12)</s:f>
        <s:v/>
      </s:c>
      <s:c r="J175" s="77" t="n"/>
      <s:c r="K175" s="61" t="str">
        <s:f>IF($J175="","",$B$3-$J175)</s:f>
        <s:v/>
      </s:c>
      <s:c r="L175" s="62" t="str">
        <s:f>IFERROR(INDEX('CRM Playbook'!$C$6:$C$10,MATCH($B175,'CRM Playbook'!$B$6:$B$10,0)),"")</s:f>
        <s:v/>
      </s:c>
      <s:c r="M175" s="63" t="str">
        <s:f>IF(OR($J175="",$L175=""),"",$J175+$L175)</s:f>
        <s:v/>
      </s:c>
      <s:c r="N175" s="64" t="str">
        <s:f>IF($A175="","",IF($J175="","NEW - reach out",IF($M175&lt;$B$3,"OVERDUE",IF($M175&lt;=$B$3+3,"DUE","Current"))))</s:f>
        <s:v/>
      </s:c>
      <s:c r="O175" s="65" t="n"/>
      <s:c r="P175" s="65" t="n"/>
      <s:c r="Q175" s="65" t="n"/>
      <s:c r="R175" s="66" t="str">
        <s:f>IF($A175="","",IF($J175="",9999+ROW()/100000,IF($M175&gt;$B$3,"",($B$3-$M175)+ROW()/100000)))</s:f>
        <s:v/>
      </s:c>
    </s:row>
    <s:row r="176">
      <s:c r="A176" s="67" t="n"/>
      <s:c r="B176" s="67" t="n"/>
      <s:c r="C176" s="67" t="n"/>
      <s:c r="D176" s="67" t="n"/>
      <s:c r="E176" s="67" t="n"/>
      <s:c r="F176" s="67" t="n"/>
      <s:c r="G176" s="67" t="n"/>
      <s:c r="H176" s="68" t="n"/>
      <s:c r="I176" s="69" t="str">
        <s:f>IF($H176="","",$H176*Inputs!$C$12)</s:f>
        <s:v/>
      </s:c>
      <s:c r="J176" s="70" t="n"/>
      <s:c r="K176" s="71" t="str">
        <s:f>IF($J176="","",$B$3-$J176)</s:f>
        <s:v/>
      </s:c>
      <s:c r="L176" s="72" t="str">
        <s:f>IFERROR(INDEX('CRM Playbook'!$C$6:$C$10,MATCH($B176,'CRM Playbook'!$B$6:$B$10,0)),"")</s:f>
        <s:v/>
      </s:c>
      <s:c r="M176" s="73" t="str">
        <s:f>IF(OR($J176="",$L176=""),"",$J176+$L176)</s:f>
        <s:v/>
      </s:c>
      <s:c r="N176" s="74" t="str">
        <s:f>IF($A176="","",IF($J176="","NEW - reach out",IF($M176&lt;$B$3,"OVERDUE",IF($M176&lt;=$B$3+3,"DUE","Current"))))</s:f>
        <s:v/>
      </s:c>
      <s:c r="O176" s="67" t="n"/>
      <s:c r="P176" s="67" t="n"/>
      <s:c r="Q176" s="67" t="n"/>
      <s:c r="R176" s="75" t="str">
        <s:f>IF($A176="","",IF($J176="",9999+ROW()/100000,IF($M176&gt;$B$3,"",($B$3-$M176)+ROW()/100000)))</s:f>
        <s:v/>
      </s:c>
    </s:row>
    <s:row r="177">
      <s:c r="A177" s="65" t="n"/>
      <s:c r="B177" s="65" t="n"/>
      <s:c r="C177" s="65" t="n"/>
      <s:c r="D177" s="65" t="n"/>
      <s:c r="E177" s="65" t="n"/>
      <s:c r="F177" s="65" t="n"/>
      <s:c r="G177" s="65" t="n"/>
      <s:c r="H177" s="76" t="n"/>
      <s:c r="I177" s="59" t="str">
        <s:f>IF($H177="","",$H177*Inputs!$C$12)</s:f>
        <s:v/>
      </s:c>
      <s:c r="J177" s="77" t="n"/>
      <s:c r="K177" s="61" t="str">
        <s:f>IF($J177="","",$B$3-$J177)</s:f>
        <s:v/>
      </s:c>
      <s:c r="L177" s="62" t="str">
        <s:f>IFERROR(INDEX('CRM Playbook'!$C$6:$C$10,MATCH($B177,'CRM Playbook'!$B$6:$B$10,0)),"")</s:f>
        <s:v/>
      </s:c>
      <s:c r="M177" s="63" t="str">
        <s:f>IF(OR($J177="",$L177=""),"",$J177+$L177)</s:f>
        <s:v/>
      </s:c>
      <s:c r="N177" s="64" t="str">
        <s:f>IF($A177="","",IF($J177="","NEW - reach out",IF($M177&lt;$B$3,"OVERDUE",IF($M177&lt;=$B$3+3,"DUE","Current"))))</s:f>
        <s:v/>
      </s:c>
      <s:c r="O177" s="65" t="n"/>
      <s:c r="P177" s="65" t="n"/>
      <s:c r="Q177" s="65" t="n"/>
      <s:c r="R177" s="66" t="str">
        <s:f>IF($A177="","",IF($J177="",9999+ROW()/100000,IF($M177&gt;$B$3,"",($B$3-$M177)+ROW()/100000)))</s:f>
        <s:v/>
      </s:c>
    </s:row>
    <s:row r="178">
      <s:c r="A178" s="67" t="n"/>
      <s:c r="B178" s="67" t="n"/>
      <s:c r="C178" s="67" t="n"/>
      <s:c r="D178" s="67" t="n"/>
      <s:c r="E178" s="67" t="n"/>
      <s:c r="F178" s="67" t="n"/>
      <s:c r="G178" s="67" t="n"/>
      <s:c r="H178" s="68" t="n"/>
      <s:c r="I178" s="69" t="str">
        <s:f>IF($H178="","",$H178*Inputs!$C$12)</s:f>
        <s:v/>
      </s:c>
      <s:c r="J178" s="70" t="n"/>
      <s:c r="K178" s="71" t="str">
        <s:f>IF($J178="","",$B$3-$J178)</s:f>
        <s:v/>
      </s:c>
      <s:c r="L178" s="72" t="str">
        <s:f>IFERROR(INDEX('CRM Playbook'!$C$6:$C$10,MATCH($B178,'CRM Playbook'!$B$6:$B$10,0)),"")</s:f>
        <s:v/>
      </s:c>
      <s:c r="M178" s="73" t="str">
        <s:f>IF(OR($J178="",$L178=""),"",$J178+$L178)</s:f>
        <s:v/>
      </s:c>
      <s:c r="N178" s="74" t="str">
        <s:f>IF($A178="","",IF($J178="","NEW - reach out",IF($M178&lt;$B$3,"OVERDUE",IF($M178&lt;=$B$3+3,"DUE","Current"))))</s:f>
        <s:v/>
      </s:c>
      <s:c r="O178" s="67" t="n"/>
      <s:c r="P178" s="67" t="n"/>
      <s:c r="Q178" s="67" t="n"/>
      <s:c r="R178" s="75" t="str">
        <s:f>IF($A178="","",IF($J178="",9999+ROW()/100000,IF($M178&gt;$B$3,"",($B$3-$M178)+ROW()/100000)))</s:f>
        <s:v/>
      </s:c>
    </s:row>
    <s:row r="179">
      <s:c r="A179" s="65" t="n"/>
      <s:c r="B179" s="65" t="n"/>
      <s:c r="C179" s="65" t="n"/>
      <s:c r="D179" s="65" t="n"/>
      <s:c r="E179" s="65" t="n"/>
      <s:c r="F179" s="65" t="n"/>
      <s:c r="G179" s="65" t="n"/>
      <s:c r="H179" s="76" t="n"/>
      <s:c r="I179" s="59" t="str">
        <s:f>IF($H179="","",$H179*Inputs!$C$12)</s:f>
        <s:v/>
      </s:c>
      <s:c r="J179" s="77" t="n"/>
      <s:c r="K179" s="61" t="str">
        <s:f>IF($J179="","",$B$3-$J179)</s:f>
        <s:v/>
      </s:c>
      <s:c r="L179" s="62" t="str">
        <s:f>IFERROR(INDEX('CRM Playbook'!$C$6:$C$10,MATCH($B179,'CRM Playbook'!$B$6:$B$10,0)),"")</s:f>
        <s:v/>
      </s:c>
      <s:c r="M179" s="63" t="str">
        <s:f>IF(OR($J179="",$L179=""),"",$J179+$L179)</s:f>
        <s:v/>
      </s:c>
      <s:c r="N179" s="64" t="str">
        <s:f>IF($A179="","",IF($J179="","NEW - reach out",IF($M179&lt;$B$3,"OVERDUE",IF($M179&lt;=$B$3+3,"DUE","Current"))))</s:f>
        <s:v/>
      </s:c>
      <s:c r="O179" s="65" t="n"/>
      <s:c r="P179" s="65" t="n"/>
      <s:c r="Q179" s="65" t="n"/>
      <s:c r="R179" s="66" t="str">
        <s:f>IF($A179="","",IF($J179="",9999+ROW()/100000,IF($M179&gt;$B$3,"",($B$3-$M179)+ROW()/100000)))</s:f>
        <s:v/>
      </s:c>
    </s:row>
    <s:row r="180">
      <s:c r="A180" s="67" t="n"/>
      <s:c r="B180" s="67" t="n"/>
      <s:c r="C180" s="67" t="n"/>
      <s:c r="D180" s="67" t="n"/>
      <s:c r="E180" s="67" t="n"/>
      <s:c r="F180" s="67" t="n"/>
      <s:c r="G180" s="67" t="n"/>
      <s:c r="H180" s="68" t="n"/>
      <s:c r="I180" s="69" t="str">
        <s:f>IF($H180="","",$H180*Inputs!$C$12)</s:f>
        <s:v/>
      </s:c>
      <s:c r="J180" s="70" t="n"/>
      <s:c r="K180" s="71" t="str">
        <s:f>IF($J180="","",$B$3-$J180)</s:f>
        <s:v/>
      </s:c>
      <s:c r="L180" s="72" t="str">
        <s:f>IFERROR(INDEX('CRM Playbook'!$C$6:$C$10,MATCH($B180,'CRM Playbook'!$B$6:$B$10,0)),"")</s:f>
        <s:v/>
      </s:c>
      <s:c r="M180" s="73" t="str">
        <s:f>IF(OR($J180="",$L180=""),"",$J180+$L180)</s:f>
        <s:v/>
      </s:c>
      <s:c r="N180" s="74" t="str">
        <s:f>IF($A180="","",IF($J180="","NEW - reach out",IF($M180&lt;$B$3,"OVERDUE",IF($M180&lt;=$B$3+3,"DUE","Current"))))</s:f>
        <s:v/>
      </s:c>
      <s:c r="O180" s="67" t="n"/>
      <s:c r="P180" s="67" t="n"/>
      <s:c r="Q180" s="67" t="n"/>
      <s:c r="R180" s="75" t="str">
        <s:f>IF($A180="","",IF($J180="",9999+ROW()/100000,IF($M180&gt;$B$3,"",($B$3-$M180)+ROW()/100000)))</s:f>
        <s:v/>
      </s:c>
    </s:row>
    <s:row r="181">
      <s:c r="A181" s="65" t="n"/>
      <s:c r="B181" s="65" t="n"/>
      <s:c r="C181" s="65" t="n"/>
      <s:c r="D181" s="65" t="n"/>
      <s:c r="E181" s="65" t="n"/>
      <s:c r="F181" s="65" t="n"/>
      <s:c r="G181" s="65" t="n"/>
      <s:c r="H181" s="76" t="n"/>
      <s:c r="I181" s="59" t="str">
        <s:f>IF($H181="","",$H181*Inputs!$C$12)</s:f>
        <s:v/>
      </s:c>
      <s:c r="J181" s="77" t="n"/>
      <s:c r="K181" s="61" t="str">
        <s:f>IF($J181="","",$B$3-$J181)</s:f>
        <s:v/>
      </s:c>
      <s:c r="L181" s="62" t="str">
        <s:f>IFERROR(INDEX('CRM Playbook'!$C$6:$C$10,MATCH($B181,'CRM Playbook'!$B$6:$B$10,0)),"")</s:f>
        <s:v/>
      </s:c>
      <s:c r="M181" s="63" t="str">
        <s:f>IF(OR($J181="",$L181=""),"",$J181+$L181)</s:f>
        <s:v/>
      </s:c>
      <s:c r="N181" s="64" t="str">
        <s:f>IF($A181="","",IF($J181="","NEW - reach out",IF($M181&lt;$B$3,"OVERDUE",IF($M181&lt;=$B$3+3,"DUE","Current"))))</s:f>
        <s:v/>
      </s:c>
      <s:c r="O181" s="65" t="n"/>
      <s:c r="P181" s="65" t="n"/>
      <s:c r="Q181" s="65" t="n"/>
      <s:c r="R181" s="66" t="str">
        <s:f>IF($A181="","",IF($J181="",9999+ROW()/100000,IF($M181&gt;$B$3,"",($B$3-$M181)+ROW()/100000)))</s:f>
        <s:v/>
      </s:c>
    </s:row>
    <s:row r="182">
      <s:c r="A182" s="67" t="n"/>
      <s:c r="B182" s="67" t="n"/>
      <s:c r="C182" s="67" t="n"/>
      <s:c r="D182" s="67" t="n"/>
      <s:c r="E182" s="67" t="n"/>
      <s:c r="F182" s="67" t="n"/>
      <s:c r="G182" s="67" t="n"/>
      <s:c r="H182" s="68" t="n"/>
      <s:c r="I182" s="69" t="str">
        <s:f>IF($H182="","",$H182*Inputs!$C$12)</s:f>
        <s:v/>
      </s:c>
      <s:c r="J182" s="70" t="n"/>
      <s:c r="K182" s="71" t="str">
        <s:f>IF($J182="","",$B$3-$J182)</s:f>
        <s:v/>
      </s:c>
      <s:c r="L182" s="72" t="str">
        <s:f>IFERROR(INDEX('CRM Playbook'!$C$6:$C$10,MATCH($B182,'CRM Playbook'!$B$6:$B$10,0)),"")</s:f>
        <s:v/>
      </s:c>
      <s:c r="M182" s="73" t="str">
        <s:f>IF(OR($J182="",$L182=""),"",$J182+$L182)</s:f>
        <s:v/>
      </s:c>
      <s:c r="N182" s="74" t="str">
        <s:f>IF($A182="","",IF($J182="","NEW - reach out",IF($M182&lt;$B$3,"OVERDUE",IF($M182&lt;=$B$3+3,"DUE","Current"))))</s:f>
        <s:v/>
      </s:c>
      <s:c r="O182" s="67" t="n"/>
      <s:c r="P182" s="67" t="n"/>
      <s:c r="Q182" s="67" t="n"/>
      <s:c r="R182" s="75" t="str">
        <s:f>IF($A182="","",IF($J182="",9999+ROW()/100000,IF($M182&gt;$B$3,"",($B$3-$M182)+ROW()/100000)))</s:f>
        <s:v/>
      </s:c>
    </s:row>
    <s:row r="183">
      <s:c r="A183" s="65" t="n"/>
      <s:c r="B183" s="65" t="n"/>
      <s:c r="C183" s="65" t="n"/>
      <s:c r="D183" s="65" t="n"/>
      <s:c r="E183" s="65" t="n"/>
      <s:c r="F183" s="65" t="n"/>
      <s:c r="G183" s="65" t="n"/>
      <s:c r="H183" s="76" t="n"/>
      <s:c r="I183" s="59" t="str">
        <s:f>IF($H183="","",$H183*Inputs!$C$12)</s:f>
        <s:v/>
      </s:c>
      <s:c r="J183" s="77" t="n"/>
      <s:c r="K183" s="61" t="str">
        <s:f>IF($J183="","",$B$3-$J183)</s:f>
        <s:v/>
      </s:c>
      <s:c r="L183" s="62" t="str">
        <s:f>IFERROR(INDEX('CRM Playbook'!$C$6:$C$10,MATCH($B183,'CRM Playbook'!$B$6:$B$10,0)),"")</s:f>
        <s:v/>
      </s:c>
      <s:c r="M183" s="63" t="str">
        <s:f>IF(OR($J183="",$L183=""),"",$J183+$L183)</s:f>
        <s:v/>
      </s:c>
      <s:c r="N183" s="64" t="str">
        <s:f>IF($A183="","",IF($J183="","NEW - reach out",IF($M183&lt;$B$3,"OVERDUE",IF($M183&lt;=$B$3+3,"DUE","Current"))))</s:f>
        <s:v/>
      </s:c>
      <s:c r="O183" s="65" t="n"/>
      <s:c r="P183" s="65" t="n"/>
      <s:c r="Q183" s="65" t="n"/>
      <s:c r="R183" s="66" t="str">
        <s:f>IF($A183="","",IF($J183="",9999+ROW()/100000,IF($M183&gt;$B$3,"",($B$3-$M183)+ROW()/100000)))</s:f>
        <s:v/>
      </s:c>
    </s:row>
    <s:row r="184">
      <s:c r="A184" s="67" t="n"/>
      <s:c r="B184" s="67" t="n"/>
      <s:c r="C184" s="67" t="n"/>
      <s:c r="D184" s="67" t="n"/>
      <s:c r="E184" s="67" t="n"/>
      <s:c r="F184" s="67" t="n"/>
      <s:c r="G184" s="67" t="n"/>
      <s:c r="H184" s="68" t="n"/>
      <s:c r="I184" s="69" t="str">
        <s:f>IF($H184="","",$H184*Inputs!$C$12)</s:f>
        <s:v/>
      </s:c>
      <s:c r="J184" s="70" t="n"/>
      <s:c r="K184" s="71" t="str">
        <s:f>IF($J184="","",$B$3-$J184)</s:f>
        <s:v/>
      </s:c>
      <s:c r="L184" s="72" t="str">
        <s:f>IFERROR(INDEX('CRM Playbook'!$C$6:$C$10,MATCH($B184,'CRM Playbook'!$B$6:$B$10,0)),"")</s:f>
        <s:v/>
      </s:c>
      <s:c r="M184" s="73" t="str">
        <s:f>IF(OR($J184="",$L184=""),"",$J184+$L184)</s:f>
        <s:v/>
      </s:c>
      <s:c r="N184" s="74" t="str">
        <s:f>IF($A184="","",IF($J184="","NEW - reach out",IF($M184&lt;$B$3,"OVERDUE",IF($M184&lt;=$B$3+3,"DUE","Current"))))</s:f>
        <s:v/>
      </s:c>
      <s:c r="O184" s="67" t="n"/>
      <s:c r="P184" s="67" t="n"/>
      <s:c r="Q184" s="67" t="n"/>
      <s:c r="R184" s="75" t="str">
        <s:f>IF($A184="","",IF($J184="",9999+ROW()/100000,IF($M184&gt;$B$3,"",($B$3-$M184)+ROW()/100000)))</s:f>
        <s:v/>
      </s:c>
    </s:row>
    <s:row r="185">
      <s:c r="A185" s="65" t="n"/>
      <s:c r="B185" s="65" t="n"/>
      <s:c r="C185" s="65" t="n"/>
      <s:c r="D185" s="65" t="n"/>
      <s:c r="E185" s="65" t="n"/>
      <s:c r="F185" s="65" t="n"/>
      <s:c r="G185" s="65" t="n"/>
      <s:c r="H185" s="76" t="n"/>
      <s:c r="I185" s="59" t="str">
        <s:f>IF($H185="","",$H185*Inputs!$C$12)</s:f>
        <s:v/>
      </s:c>
      <s:c r="J185" s="77" t="n"/>
      <s:c r="K185" s="61" t="str">
        <s:f>IF($J185="","",$B$3-$J185)</s:f>
        <s:v/>
      </s:c>
      <s:c r="L185" s="62" t="str">
        <s:f>IFERROR(INDEX('CRM Playbook'!$C$6:$C$10,MATCH($B185,'CRM Playbook'!$B$6:$B$10,0)),"")</s:f>
        <s:v/>
      </s:c>
      <s:c r="M185" s="63" t="str">
        <s:f>IF(OR($J185="",$L185=""),"",$J185+$L185)</s:f>
        <s:v/>
      </s:c>
      <s:c r="N185" s="64" t="str">
        <s:f>IF($A185="","",IF($J185="","NEW - reach out",IF($M185&lt;$B$3,"OVERDUE",IF($M185&lt;=$B$3+3,"DUE","Current"))))</s:f>
        <s:v/>
      </s:c>
      <s:c r="O185" s="65" t="n"/>
      <s:c r="P185" s="65" t="n"/>
      <s:c r="Q185" s="65" t="n"/>
      <s:c r="R185" s="66" t="str">
        <s:f>IF($A185="","",IF($J185="",9999+ROW()/100000,IF($M185&gt;$B$3,"",($B$3-$M185)+ROW()/100000)))</s:f>
        <s:v/>
      </s:c>
    </s:row>
    <s:row r="186">
      <s:c r="A186" s="67" t="n"/>
      <s:c r="B186" s="67" t="n"/>
      <s:c r="C186" s="67" t="n"/>
      <s:c r="D186" s="67" t="n"/>
      <s:c r="E186" s="67" t="n"/>
      <s:c r="F186" s="67" t="n"/>
      <s:c r="G186" s="67" t="n"/>
      <s:c r="H186" s="68" t="n"/>
      <s:c r="I186" s="69" t="str">
        <s:f>IF($H186="","",$H186*Inputs!$C$12)</s:f>
        <s:v/>
      </s:c>
      <s:c r="J186" s="70" t="n"/>
      <s:c r="K186" s="71" t="str">
        <s:f>IF($J186="","",$B$3-$J186)</s:f>
        <s:v/>
      </s:c>
      <s:c r="L186" s="72" t="str">
        <s:f>IFERROR(INDEX('CRM Playbook'!$C$6:$C$10,MATCH($B186,'CRM Playbook'!$B$6:$B$10,0)),"")</s:f>
        <s:v/>
      </s:c>
      <s:c r="M186" s="73" t="str">
        <s:f>IF(OR($J186="",$L186=""),"",$J186+$L186)</s:f>
        <s:v/>
      </s:c>
      <s:c r="N186" s="74" t="str">
        <s:f>IF($A186="","",IF($J186="","NEW - reach out",IF($M186&lt;$B$3,"OVERDUE",IF($M186&lt;=$B$3+3,"DUE","Current"))))</s:f>
        <s:v/>
      </s:c>
      <s:c r="O186" s="67" t="n"/>
      <s:c r="P186" s="67" t="n"/>
      <s:c r="Q186" s="67" t="n"/>
      <s:c r="R186" s="75" t="str">
        <s:f>IF($A186="","",IF($J186="",9999+ROW()/100000,IF($M186&gt;$B$3,"",($B$3-$M186)+ROW()/100000)))</s:f>
        <s:v/>
      </s:c>
    </s:row>
    <s:row r="187">
      <s:c r="A187" s="65" t="n"/>
      <s:c r="B187" s="65" t="n"/>
      <s:c r="C187" s="65" t="n"/>
      <s:c r="D187" s="65" t="n"/>
      <s:c r="E187" s="65" t="n"/>
      <s:c r="F187" s="65" t="n"/>
      <s:c r="G187" s="65" t="n"/>
      <s:c r="H187" s="76" t="n"/>
      <s:c r="I187" s="59" t="str">
        <s:f>IF($H187="","",$H187*Inputs!$C$12)</s:f>
        <s:v/>
      </s:c>
      <s:c r="J187" s="77" t="n"/>
      <s:c r="K187" s="61" t="str">
        <s:f>IF($J187="","",$B$3-$J187)</s:f>
        <s:v/>
      </s:c>
      <s:c r="L187" s="62" t="str">
        <s:f>IFERROR(INDEX('CRM Playbook'!$C$6:$C$10,MATCH($B187,'CRM Playbook'!$B$6:$B$10,0)),"")</s:f>
        <s:v/>
      </s:c>
      <s:c r="M187" s="63" t="str">
        <s:f>IF(OR($J187="",$L187=""),"",$J187+$L187)</s:f>
        <s:v/>
      </s:c>
      <s:c r="N187" s="64" t="str">
        <s:f>IF($A187="","",IF($J187="","NEW - reach out",IF($M187&lt;$B$3,"OVERDUE",IF($M187&lt;=$B$3+3,"DUE","Current"))))</s:f>
        <s:v/>
      </s:c>
      <s:c r="O187" s="65" t="n"/>
      <s:c r="P187" s="65" t="n"/>
      <s:c r="Q187" s="65" t="n"/>
      <s:c r="R187" s="66" t="str">
        <s:f>IF($A187="","",IF($J187="",9999+ROW()/100000,IF($M187&gt;$B$3,"",($B$3-$M187)+ROW()/100000)))</s:f>
        <s:v/>
      </s:c>
    </s:row>
    <s:row r="188">
      <s:c r="A188" s="67" t="n"/>
      <s:c r="B188" s="67" t="n"/>
      <s:c r="C188" s="67" t="n"/>
      <s:c r="D188" s="67" t="n"/>
      <s:c r="E188" s="67" t="n"/>
      <s:c r="F188" s="67" t="n"/>
      <s:c r="G188" s="67" t="n"/>
      <s:c r="H188" s="68" t="n"/>
      <s:c r="I188" s="69" t="str">
        <s:f>IF($H188="","",$H188*Inputs!$C$12)</s:f>
        <s:v/>
      </s:c>
      <s:c r="J188" s="70" t="n"/>
      <s:c r="K188" s="71" t="str">
        <s:f>IF($J188="","",$B$3-$J188)</s:f>
        <s:v/>
      </s:c>
      <s:c r="L188" s="72" t="str">
        <s:f>IFERROR(INDEX('CRM Playbook'!$C$6:$C$10,MATCH($B188,'CRM Playbook'!$B$6:$B$10,0)),"")</s:f>
        <s:v/>
      </s:c>
      <s:c r="M188" s="73" t="str">
        <s:f>IF(OR($J188="",$L188=""),"",$J188+$L188)</s:f>
        <s:v/>
      </s:c>
      <s:c r="N188" s="74" t="str">
        <s:f>IF($A188="","",IF($J188="","NEW - reach out",IF($M188&lt;$B$3,"OVERDUE",IF($M188&lt;=$B$3+3,"DUE","Current"))))</s:f>
        <s:v/>
      </s:c>
      <s:c r="O188" s="67" t="n"/>
      <s:c r="P188" s="67" t="n"/>
      <s:c r="Q188" s="67" t="n"/>
      <s:c r="R188" s="75" t="str">
        <s:f>IF($A188="","",IF($J188="",9999+ROW()/100000,IF($M188&gt;$B$3,"",($B$3-$M188)+ROW()/100000)))</s:f>
        <s:v/>
      </s:c>
    </s:row>
    <s:row r="189">
      <s:c r="A189" s="65" t="n"/>
      <s:c r="B189" s="65" t="n"/>
      <s:c r="C189" s="65" t="n"/>
      <s:c r="D189" s="65" t="n"/>
      <s:c r="E189" s="65" t="n"/>
      <s:c r="F189" s="65" t="n"/>
      <s:c r="G189" s="65" t="n"/>
      <s:c r="H189" s="76" t="n"/>
      <s:c r="I189" s="59" t="str">
        <s:f>IF($H189="","",$H189*Inputs!$C$12)</s:f>
        <s:v/>
      </s:c>
      <s:c r="J189" s="77" t="n"/>
      <s:c r="K189" s="61" t="str">
        <s:f>IF($J189="","",$B$3-$J189)</s:f>
        <s:v/>
      </s:c>
      <s:c r="L189" s="62" t="str">
        <s:f>IFERROR(INDEX('CRM Playbook'!$C$6:$C$10,MATCH($B189,'CRM Playbook'!$B$6:$B$10,0)),"")</s:f>
        <s:v/>
      </s:c>
      <s:c r="M189" s="63" t="str">
        <s:f>IF(OR($J189="",$L189=""),"",$J189+$L189)</s:f>
        <s:v/>
      </s:c>
      <s:c r="N189" s="64" t="str">
        <s:f>IF($A189="","",IF($J189="","NEW - reach out",IF($M189&lt;$B$3,"OVERDUE",IF($M189&lt;=$B$3+3,"DUE","Current"))))</s:f>
        <s:v/>
      </s:c>
      <s:c r="O189" s="65" t="n"/>
      <s:c r="P189" s="65" t="n"/>
      <s:c r="Q189" s="65" t="n"/>
      <s:c r="R189" s="66" t="str">
        <s:f>IF($A189="","",IF($J189="",9999+ROW()/100000,IF($M189&gt;$B$3,"",($B$3-$M189)+ROW()/100000)))</s:f>
        <s:v/>
      </s:c>
    </s:row>
    <s:row r="190">
      <s:c r="A190" s="67" t="n"/>
      <s:c r="B190" s="67" t="n"/>
      <s:c r="C190" s="67" t="n"/>
      <s:c r="D190" s="67" t="n"/>
      <s:c r="E190" s="67" t="n"/>
      <s:c r="F190" s="67" t="n"/>
      <s:c r="G190" s="67" t="n"/>
      <s:c r="H190" s="68" t="n"/>
      <s:c r="I190" s="69" t="str">
        <s:f>IF($H190="","",$H190*Inputs!$C$12)</s:f>
        <s:v/>
      </s:c>
      <s:c r="J190" s="70" t="n"/>
      <s:c r="K190" s="71" t="str">
        <s:f>IF($J190="","",$B$3-$J190)</s:f>
        <s:v/>
      </s:c>
      <s:c r="L190" s="72" t="str">
        <s:f>IFERROR(INDEX('CRM Playbook'!$C$6:$C$10,MATCH($B190,'CRM Playbook'!$B$6:$B$10,0)),"")</s:f>
        <s:v/>
      </s:c>
      <s:c r="M190" s="73" t="str">
        <s:f>IF(OR($J190="",$L190=""),"",$J190+$L190)</s:f>
        <s:v/>
      </s:c>
      <s:c r="N190" s="74" t="str">
        <s:f>IF($A190="","",IF($J190="","NEW - reach out",IF($M190&lt;$B$3,"OVERDUE",IF($M190&lt;=$B$3+3,"DUE","Current"))))</s:f>
        <s:v/>
      </s:c>
      <s:c r="O190" s="67" t="n"/>
      <s:c r="P190" s="67" t="n"/>
      <s:c r="Q190" s="67" t="n"/>
      <s:c r="R190" s="75" t="str">
        <s:f>IF($A190="","",IF($J190="",9999+ROW()/100000,IF($M190&gt;$B$3,"",($B$3-$M190)+ROW()/100000)))</s:f>
        <s:v/>
      </s:c>
    </s:row>
    <s:row r="191">
      <s:c r="A191" s="65" t="n"/>
      <s:c r="B191" s="65" t="n"/>
      <s:c r="C191" s="65" t="n"/>
      <s:c r="D191" s="65" t="n"/>
      <s:c r="E191" s="65" t="n"/>
      <s:c r="F191" s="65" t="n"/>
      <s:c r="G191" s="65" t="n"/>
      <s:c r="H191" s="76" t="n"/>
      <s:c r="I191" s="59" t="str">
        <s:f>IF($H191="","",$H191*Inputs!$C$12)</s:f>
        <s:v/>
      </s:c>
      <s:c r="J191" s="77" t="n"/>
      <s:c r="K191" s="61" t="str">
        <s:f>IF($J191="","",$B$3-$J191)</s:f>
        <s:v/>
      </s:c>
      <s:c r="L191" s="62" t="str">
        <s:f>IFERROR(INDEX('CRM Playbook'!$C$6:$C$10,MATCH($B191,'CRM Playbook'!$B$6:$B$10,0)),"")</s:f>
        <s:v/>
      </s:c>
      <s:c r="M191" s="63" t="str">
        <s:f>IF(OR($J191="",$L191=""),"",$J191+$L191)</s:f>
        <s:v/>
      </s:c>
      <s:c r="N191" s="64" t="str">
        <s:f>IF($A191="","",IF($J191="","NEW - reach out",IF($M191&lt;$B$3,"OVERDUE",IF($M191&lt;=$B$3+3,"DUE","Current"))))</s:f>
        <s:v/>
      </s:c>
      <s:c r="O191" s="65" t="n"/>
      <s:c r="P191" s="65" t="n"/>
      <s:c r="Q191" s="65" t="n"/>
      <s:c r="R191" s="66" t="str">
        <s:f>IF($A191="","",IF($J191="",9999+ROW()/100000,IF($M191&gt;$B$3,"",($B$3-$M191)+ROW()/100000)))</s:f>
        <s:v/>
      </s:c>
    </s:row>
    <s:row r="192">
      <s:c r="A192" s="67" t="n"/>
      <s:c r="B192" s="67" t="n"/>
      <s:c r="C192" s="67" t="n"/>
      <s:c r="D192" s="67" t="n"/>
      <s:c r="E192" s="67" t="n"/>
      <s:c r="F192" s="67" t="n"/>
      <s:c r="G192" s="67" t="n"/>
      <s:c r="H192" s="68" t="n"/>
      <s:c r="I192" s="69" t="str">
        <s:f>IF($H192="","",$H192*Inputs!$C$12)</s:f>
        <s:v/>
      </s:c>
      <s:c r="J192" s="70" t="n"/>
      <s:c r="K192" s="71" t="str">
        <s:f>IF($J192="","",$B$3-$J192)</s:f>
        <s:v/>
      </s:c>
      <s:c r="L192" s="72" t="str">
        <s:f>IFERROR(INDEX('CRM Playbook'!$C$6:$C$10,MATCH($B192,'CRM Playbook'!$B$6:$B$10,0)),"")</s:f>
        <s:v/>
      </s:c>
      <s:c r="M192" s="73" t="str">
        <s:f>IF(OR($J192="",$L192=""),"",$J192+$L192)</s:f>
        <s:v/>
      </s:c>
      <s:c r="N192" s="74" t="str">
        <s:f>IF($A192="","",IF($J192="","NEW - reach out",IF($M192&lt;$B$3,"OVERDUE",IF($M192&lt;=$B$3+3,"DUE","Current"))))</s:f>
        <s:v/>
      </s:c>
      <s:c r="O192" s="67" t="n"/>
      <s:c r="P192" s="67" t="n"/>
      <s:c r="Q192" s="67" t="n"/>
      <s:c r="R192" s="75" t="str">
        <s:f>IF($A192="","",IF($J192="",9999+ROW()/100000,IF($M192&gt;$B$3,"",($B$3-$M192)+ROW()/100000)))</s:f>
        <s:v/>
      </s:c>
    </s:row>
    <s:row r="193">
      <s:c r="A193" s="65" t="n"/>
      <s:c r="B193" s="65" t="n"/>
      <s:c r="C193" s="65" t="n"/>
      <s:c r="D193" s="65" t="n"/>
      <s:c r="E193" s="65" t="n"/>
      <s:c r="F193" s="65" t="n"/>
      <s:c r="G193" s="65" t="n"/>
      <s:c r="H193" s="76" t="n"/>
      <s:c r="I193" s="59" t="str">
        <s:f>IF($H193="","",$H193*Inputs!$C$12)</s:f>
        <s:v/>
      </s:c>
      <s:c r="J193" s="77" t="n"/>
      <s:c r="K193" s="61" t="str">
        <s:f>IF($J193="","",$B$3-$J193)</s:f>
        <s:v/>
      </s:c>
      <s:c r="L193" s="62" t="str">
        <s:f>IFERROR(INDEX('CRM Playbook'!$C$6:$C$10,MATCH($B193,'CRM Playbook'!$B$6:$B$10,0)),"")</s:f>
        <s:v/>
      </s:c>
      <s:c r="M193" s="63" t="str">
        <s:f>IF(OR($J193="",$L193=""),"",$J193+$L193)</s:f>
        <s:v/>
      </s:c>
      <s:c r="N193" s="64" t="str">
        <s:f>IF($A193="","",IF($J193="","NEW - reach out",IF($M193&lt;$B$3,"OVERDUE",IF($M193&lt;=$B$3+3,"DUE","Current"))))</s:f>
        <s:v/>
      </s:c>
      <s:c r="O193" s="65" t="n"/>
      <s:c r="P193" s="65" t="n"/>
      <s:c r="Q193" s="65" t="n"/>
      <s:c r="R193" s="66" t="str">
        <s:f>IF($A193="","",IF($J193="",9999+ROW()/100000,IF($M193&gt;$B$3,"",($B$3-$M193)+ROW()/100000)))</s:f>
        <s:v/>
      </s:c>
    </s:row>
    <s:row r="194">
      <s:c r="A194" s="67" t="n"/>
      <s:c r="B194" s="67" t="n"/>
      <s:c r="C194" s="67" t="n"/>
      <s:c r="D194" s="67" t="n"/>
      <s:c r="E194" s="67" t="n"/>
      <s:c r="F194" s="67" t="n"/>
      <s:c r="G194" s="67" t="n"/>
      <s:c r="H194" s="68" t="n"/>
      <s:c r="I194" s="69" t="str">
        <s:f>IF($H194="","",$H194*Inputs!$C$12)</s:f>
        <s:v/>
      </s:c>
      <s:c r="J194" s="70" t="n"/>
      <s:c r="K194" s="71" t="str">
        <s:f>IF($J194="","",$B$3-$J194)</s:f>
        <s:v/>
      </s:c>
      <s:c r="L194" s="72" t="str">
        <s:f>IFERROR(INDEX('CRM Playbook'!$C$6:$C$10,MATCH($B194,'CRM Playbook'!$B$6:$B$10,0)),"")</s:f>
        <s:v/>
      </s:c>
      <s:c r="M194" s="73" t="str">
        <s:f>IF(OR($J194="",$L194=""),"",$J194+$L194)</s:f>
        <s:v/>
      </s:c>
      <s:c r="N194" s="74" t="str">
        <s:f>IF($A194="","",IF($J194="","NEW - reach out",IF($M194&lt;$B$3,"OVERDUE",IF($M194&lt;=$B$3+3,"DUE","Current"))))</s:f>
        <s:v/>
      </s:c>
      <s:c r="O194" s="67" t="n"/>
      <s:c r="P194" s="67" t="n"/>
      <s:c r="Q194" s="67" t="n"/>
      <s:c r="R194" s="75" t="str">
        <s:f>IF($A194="","",IF($J194="",9999+ROW()/100000,IF($M194&gt;$B$3,"",($B$3-$M194)+ROW()/100000)))</s:f>
        <s:v/>
      </s:c>
    </s:row>
    <s:row r="195">
      <s:c r="A195" s="65" t="n"/>
      <s:c r="B195" s="65" t="n"/>
      <s:c r="C195" s="65" t="n"/>
      <s:c r="D195" s="65" t="n"/>
      <s:c r="E195" s="65" t="n"/>
      <s:c r="F195" s="65" t="n"/>
      <s:c r="G195" s="65" t="n"/>
      <s:c r="H195" s="76" t="n"/>
      <s:c r="I195" s="59" t="str">
        <s:f>IF($H195="","",$H195*Inputs!$C$12)</s:f>
        <s:v/>
      </s:c>
      <s:c r="J195" s="77" t="n"/>
      <s:c r="K195" s="61" t="str">
        <s:f>IF($J195="","",$B$3-$J195)</s:f>
        <s:v/>
      </s:c>
      <s:c r="L195" s="62" t="str">
        <s:f>IFERROR(INDEX('CRM Playbook'!$C$6:$C$10,MATCH($B195,'CRM Playbook'!$B$6:$B$10,0)),"")</s:f>
        <s:v/>
      </s:c>
      <s:c r="M195" s="63" t="str">
        <s:f>IF(OR($J195="",$L195=""),"",$J195+$L195)</s:f>
        <s:v/>
      </s:c>
      <s:c r="N195" s="64" t="str">
        <s:f>IF($A195="","",IF($J195="","NEW - reach out",IF($M195&lt;$B$3,"OVERDUE",IF($M195&lt;=$B$3+3,"DUE","Current"))))</s:f>
        <s:v/>
      </s:c>
      <s:c r="O195" s="65" t="n"/>
      <s:c r="P195" s="65" t="n"/>
      <s:c r="Q195" s="65" t="n"/>
      <s:c r="R195" s="66" t="str">
        <s:f>IF($A195="","",IF($J195="",9999+ROW()/100000,IF($M195&gt;$B$3,"",($B$3-$M195)+ROW()/100000)))</s:f>
        <s:v/>
      </s:c>
    </s:row>
    <s:row r="196">
      <s:c r="A196" s="67" t="n"/>
      <s:c r="B196" s="67" t="n"/>
      <s:c r="C196" s="67" t="n"/>
      <s:c r="D196" s="67" t="n"/>
      <s:c r="E196" s="67" t="n"/>
      <s:c r="F196" s="67" t="n"/>
      <s:c r="G196" s="67" t="n"/>
      <s:c r="H196" s="68" t="n"/>
      <s:c r="I196" s="69" t="str">
        <s:f>IF($H196="","",$H196*Inputs!$C$12)</s:f>
        <s:v/>
      </s:c>
      <s:c r="J196" s="70" t="n"/>
      <s:c r="K196" s="71" t="str">
        <s:f>IF($J196="","",$B$3-$J196)</s:f>
        <s:v/>
      </s:c>
      <s:c r="L196" s="72" t="str">
        <s:f>IFERROR(INDEX('CRM Playbook'!$C$6:$C$10,MATCH($B196,'CRM Playbook'!$B$6:$B$10,0)),"")</s:f>
        <s:v/>
      </s:c>
      <s:c r="M196" s="73" t="str">
        <s:f>IF(OR($J196="",$L196=""),"",$J196+$L196)</s:f>
        <s:v/>
      </s:c>
      <s:c r="N196" s="74" t="str">
        <s:f>IF($A196="","",IF($J196="","NEW - reach out",IF($M196&lt;$B$3,"OVERDUE",IF($M196&lt;=$B$3+3,"DUE","Current"))))</s:f>
        <s:v/>
      </s:c>
      <s:c r="O196" s="67" t="n"/>
      <s:c r="P196" s="67" t="n"/>
      <s:c r="Q196" s="67" t="n"/>
      <s:c r="R196" s="75" t="str">
        <s:f>IF($A196="","",IF($J196="",9999+ROW()/100000,IF($M196&gt;$B$3,"",($B$3-$M196)+ROW()/100000)))</s:f>
        <s:v/>
      </s:c>
    </s:row>
    <s:row r="197">
      <s:c r="A197" s="65" t="n"/>
      <s:c r="B197" s="65" t="n"/>
      <s:c r="C197" s="65" t="n"/>
      <s:c r="D197" s="65" t="n"/>
      <s:c r="E197" s="65" t="n"/>
      <s:c r="F197" s="65" t="n"/>
      <s:c r="G197" s="65" t="n"/>
      <s:c r="H197" s="76" t="n"/>
      <s:c r="I197" s="59" t="str">
        <s:f>IF($H197="","",$H197*Inputs!$C$12)</s:f>
        <s:v/>
      </s:c>
      <s:c r="J197" s="77" t="n"/>
      <s:c r="K197" s="61" t="str">
        <s:f>IF($J197="","",$B$3-$J197)</s:f>
        <s:v/>
      </s:c>
      <s:c r="L197" s="62" t="str">
        <s:f>IFERROR(INDEX('CRM Playbook'!$C$6:$C$10,MATCH($B197,'CRM Playbook'!$B$6:$B$10,0)),"")</s:f>
        <s:v/>
      </s:c>
      <s:c r="M197" s="63" t="str">
        <s:f>IF(OR($J197="",$L197=""),"",$J197+$L197)</s:f>
        <s:v/>
      </s:c>
      <s:c r="N197" s="64" t="str">
        <s:f>IF($A197="","",IF($J197="","NEW - reach out",IF($M197&lt;$B$3,"OVERDUE",IF($M197&lt;=$B$3+3,"DUE","Current"))))</s:f>
        <s:v/>
      </s:c>
      <s:c r="O197" s="65" t="n"/>
      <s:c r="P197" s="65" t="n"/>
      <s:c r="Q197" s="65" t="n"/>
      <s:c r="R197" s="66" t="str">
        <s:f>IF($A197="","",IF($J197="",9999+ROW()/100000,IF($M197&gt;$B$3,"",($B$3-$M197)+ROW()/100000)))</s:f>
        <s:v/>
      </s:c>
    </s:row>
    <s:row r="198">
      <s:c r="A198" s="67" t="n"/>
      <s:c r="B198" s="67" t="n"/>
      <s:c r="C198" s="67" t="n"/>
      <s:c r="D198" s="67" t="n"/>
      <s:c r="E198" s="67" t="n"/>
      <s:c r="F198" s="67" t="n"/>
      <s:c r="G198" s="67" t="n"/>
      <s:c r="H198" s="68" t="n"/>
      <s:c r="I198" s="69" t="str">
        <s:f>IF($H198="","",$H198*Inputs!$C$12)</s:f>
        <s:v/>
      </s:c>
      <s:c r="J198" s="70" t="n"/>
      <s:c r="K198" s="71" t="str">
        <s:f>IF($J198="","",$B$3-$J198)</s:f>
        <s:v/>
      </s:c>
      <s:c r="L198" s="72" t="str">
        <s:f>IFERROR(INDEX('CRM Playbook'!$C$6:$C$10,MATCH($B198,'CRM Playbook'!$B$6:$B$10,0)),"")</s:f>
        <s:v/>
      </s:c>
      <s:c r="M198" s="73" t="str">
        <s:f>IF(OR($J198="",$L198=""),"",$J198+$L198)</s:f>
        <s:v/>
      </s:c>
      <s:c r="N198" s="74" t="str">
        <s:f>IF($A198="","",IF($J198="","NEW - reach out",IF($M198&lt;$B$3,"OVERDUE",IF($M198&lt;=$B$3+3,"DUE","Current"))))</s:f>
        <s:v/>
      </s:c>
      <s:c r="O198" s="67" t="n"/>
      <s:c r="P198" s="67" t="n"/>
      <s:c r="Q198" s="67" t="n"/>
      <s:c r="R198" s="75" t="str">
        <s:f>IF($A198="","",IF($J198="",9999+ROW()/100000,IF($M198&gt;$B$3,"",($B$3-$M198)+ROW()/100000)))</s:f>
        <s:v/>
      </s:c>
    </s:row>
    <s:row r="199">
      <s:c r="A199" s="65" t="n"/>
      <s:c r="B199" s="65" t="n"/>
      <s:c r="C199" s="65" t="n"/>
      <s:c r="D199" s="65" t="n"/>
      <s:c r="E199" s="65" t="n"/>
      <s:c r="F199" s="65" t="n"/>
      <s:c r="G199" s="65" t="n"/>
      <s:c r="H199" s="76" t="n"/>
      <s:c r="I199" s="59" t="str">
        <s:f>IF($H199="","",$H199*Inputs!$C$12)</s:f>
        <s:v/>
      </s:c>
      <s:c r="J199" s="77" t="n"/>
      <s:c r="K199" s="61" t="str">
        <s:f>IF($J199="","",$B$3-$J199)</s:f>
        <s:v/>
      </s:c>
      <s:c r="L199" s="62" t="str">
        <s:f>IFERROR(INDEX('CRM Playbook'!$C$6:$C$10,MATCH($B199,'CRM Playbook'!$B$6:$B$10,0)),"")</s:f>
        <s:v/>
      </s:c>
      <s:c r="M199" s="63" t="str">
        <s:f>IF(OR($J199="",$L199=""),"",$J199+$L199)</s:f>
        <s:v/>
      </s:c>
      <s:c r="N199" s="64" t="str">
        <s:f>IF($A199="","",IF($J199="","NEW - reach out",IF($M199&lt;$B$3,"OVERDUE",IF($M199&lt;=$B$3+3,"DUE","Current"))))</s:f>
        <s:v/>
      </s:c>
      <s:c r="O199" s="65" t="n"/>
      <s:c r="P199" s="65" t="n"/>
      <s:c r="Q199" s="65" t="n"/>
      <s:c r="R199" s="66" t="str">
        <s:f>IF($A199="","",IF($J199="",9999+ROW()/100000,IF($M199&gt;$B$3,"",($B$3-$M199)+ROW()/100000)))</s:f>
        <s:v/>
      </s:c>
    </s:row>
    <s:row r="200">
      <s:c r="A200" s="67" t="n"/>
      <s:c r="B200" s="67" t="n"/>
      <s:c r="C200" s="67" t="n"/>
      <s:c r="D200" s="67" t="n"/>
      <s:c r="E200" s="67" t="n"/>
      <s:c r="F200" s="67" t="n"/>
      <s:c r="G200" s="67" t="n"/>
      <s:c r="H200" s="68" t="n"/>
      <s:c r="I200" s="69" t="str">
        <s:f>IF($H200="","",$H200*Inputs!$C$12)</s:f>
        <s:v/>
      </s:c>
      <s:c r="J200" s="70" t="n"/>
      <s:c r="K200" s="71" t="str">
        <s:f>IF($J200="","",$B$3-$J200)</s:f>
        <s:v/>
      </s:c>
      <s:c r="L200" s="72" t="str">
        <s:f>IFERROR(INDEX('CRM Playbook'!$C$6:$C$10,MATCH($B200,'CRM Playbook'!$B$6:$B$10,0)),"")</s:f>
        <s:v/>
      </s:c>
      <s:c r="M200" s="73" t="str">
        <s:f>IF(OR($J200="",$L200=""),"",$J200+$L200)</s:f>
        <s:v/>
      </s:c>
      <s:c r="N200" s="74" t="str">
        <s:f>IF($A200="","",IF($J200="","NEW - reach out",IF($M200&lt;$B$3,"OVERDUE",IF($M200&lt;=$B$3+3,"DUE","Current"))))</s:f>
        <s:v/>
      </s:c>
      <s:c r="O200" s="67" t="n"/>
      <s:c r="P200" s="67" t="n"/>
      <s:c r="Q200" s="67" t="n"/>
      <s:c r="R200" s="75" t="str">
        <s:f>IF($A200="","",IF($J200="",9999+ROW()/100000,IF($M200&gt;$B$3,"",($B$3-$M200)+ROW()/100000)))</s:f>
        <s:v/>
      </s:c>
    </s:row>
    <s:row r="201">
      <s:c r="A201" s="65" t="n"/>
      <s:c r="B201" s="65" t="n"/>
      <s:c r="C201" s="65" t="n"/>
      <s:c r="D201" s="65" t="n"/>
      <s:c r="E201" s="65" t="n"/>
      <s:c r="F201" s="65" t="n"/>
      <s:c r="G201" s="65" t="n"/>
      <s:c r="H201" s="76" t="n"/>
      <s:c r="I201" s="59" t="str">
        <s:f>IF($H201="","",$H201*Inputs!$C$12)</s:f>
        <s:v/>
      </s:c>
      <s:c r="J201" s="77" t="n"/>
      <s:c r="K201" s="61" t="str">
        <s:f>IF($J201="","",$B$3-$J201)</s:f>
        <s:v/>
      </s:c>
      <s:c r="L201" s="62" t="str">
        <s:f>IFERROR(INDEX('CRM Playbook'!$C$6:$C$10,MATCH($B201,'CRM Playbook'!$B$6:$B$10,0)),"")</s:f>
        <s:v/>
      </s:c>
      <s:c r="M201" s="63" t="str">
        <s:f>IF(OR($J201="",$L201=""),"",$J201+$L201)</s:f>
        <s:v/>
      </s:c>
      <s:c r="N201" s="64" t="str">
        <s:f>IF($A201="","",IF($J201="","NEW - reach out",IF($M201&lt;$B$3,"OVERDUE",IF($M201&lt;=$B$3+3,"DUE","Current"))))</s:f>
        <s:v/>
      </s:c>
      <s:c r="O201" s="65" t="n"/>
      <s:c r="P201" s="65" t="n"/>
      <s:c r="Q201" s="65" t="n"/>
      <s:c r="R201" s="66" t="str">
        <s:f>IF($A201="","",IF($J201="",9999+ROW()/100000,IF($M201&gt;$B$3,"",($B$3-$M201)+ROW()/100000)))</s:f>
        <s:v/>
      </s:c>
    </s:row>
    <s:row r="202">
      <s:c r="A202" s="67" t="n"/>
      <s:c r="B202" s="67" t="n"/>
      <s:c r="C202" s="67" t="n"/>
      <s:c r="D202" s="67" t="n"/>
      <s:c r="E202" s="67" t="n"/>
      <s:c r="F202" s="67" t="n"/>
      <s:c r="G202" s="67" t="n"/>
      <s:c r="H202" s="68" t="n"/>
      <s:c r="I202" s="69" t="str">
        <s:f>IF($H202="","",$H202*Inputs!$C$12)</s:f>
        <s:v/>
      </s:c>
      <s:c r="J202" s="70" t="n"/>
      <s:c r="K202" s="71" t="str">
        <s:f>IF($J202="","",$B$3-$J202)</s:f>
        <s:v/>
      </s:c>
      <s:c r="L202" s="72" t="str">
        <s:f>IFERROR(INDEX('CRM Playbook'!$C$6:$C$10,MATCH($B202,'CRM Playbook'!$B$6:$B$10,0)),"")</s:f>
        <s:v/>
      </s:c>
      <s:c r="M202" s="73" t="str">
        <s:f>IF(OR($J202="",$L202=""),"",$J202+$L202)</s:f>
        <s:v/>
      </s:c>
      <s:c r="N202" s="74" t="str">
        <s:f>IF($A202="","",IF($J202="","NEW - reach out",IF($M202&lt;$B$3,"OVERDUE",IF($M202&lt;=$B$3+3,"DUE","Current"))))</s:f>
        <s:v/>
      </s:c>
      <s:c r="O202" s="67" t="n"/>
      <s:c r="P202" s="67" t="n"/>
      <s:c r="Q202" s="67" t="n"/>
      <s:c r="R202" s="75" t="str">
        <s:f>IF($A202="","",IF($J202="",9999+ROW()/100000,IF($M202&gt;$B$3,"",($B$3-$M202)+ROW()/100000)))</s:f>
        <s:v/>
      </s:c>
    </s:row>
    <s:row r="203">
      <s:c r="A203" s="65" t="n"/>
      <s:c r="B203" s="65" t="n"/>
      <s:c r="C203" s="65" t="n"/>
      <s:c r="D203" s="65" t="n"/>
      <s:c r="E203" s="65" t="n"/>
      <s:c r="F203" s="65" t="n"/>
      <s:c r="G203" s="65" t="n"/>
      <s:c r="H203" s="76" t="n"/>
      <s:c r="I203" s="59" t="str">
        <s:f>IF($H203="","",$H203*Inputs!$C$12)</s:f>
        <s:v/>
      </s:c>
      <s:c r="J203" s="77" t="n"/>
      <s:c r="K203" s="61" t="str">
        <s:f>IF($J203="","",$B$3-$J203)</s:f>
        <s:v/>
      </s:c>
      <s:c r="L203" s="62" t="str">
        <s:f>IFERROR(INDEX('CRM Playbook'!$C$6:$C$10,MATCH($B203,'CRM Playbook'!$B$6:$B$10,0)),"")</s:f>
        <s:v/>
      </s:c>
      <s:c r="M203" s="63" t="str">
        <s:f>IF(OR($J203="",$L203=""),"",$J203+$L203)</s:f>
        <s:v/>
      </s:c>
      <s:c r="N203" s="64" t="str">
        <s:f>IF($A203="","",IF($J203="","NEW - reach out",IF($M203&lt;$B$3,"OVERDUE",IF($M203&lt;=$B$3+3,"DUE","Current"))))</s:f>
        <s:v/>
      </s:c>
      <s:c r="O203" s="65" t="n"/>
      <s:c r="P203" s="65" t="n"/>
      <s:c r="Q203" s="65" t="n"/>
      <s:c r="R203" s="66" t="str">
        <s:f>IF($A203="","",IF($J203="",9999+ROW()/100000,IF($M203&gt;$B$3,"",($B$3-$M203)+ROW()/100000)))</s:f>
        <s:v/>
      </s:c>
    </s:row>
    <s:row r="204">
      <s:c r="A204" s="67" t="n"/>
      <s:c r="B204" s="67" t="n"/>
      <s:c r="C204" s="67" t="n"/>
      <s:c r="D204" s="67" t="n"/>
      <s:c r="E204" s="67" t="n"/>
      <s:c r="F204" s="67" t="n"/>
      <s:c r="G204" s="67" t="n"/>
      <s:c r="H204" s="68" t="n"/>
      <s:c r="I204" s="69" t="str">
        <s:f>IF($H204="","",$H204*Inputs!$C$12)</s:f>
        <s:v/>
      </s:c>
      <s:c r="J204" s="70" t="n"/>
      <s:c r="K204" s="71" t="str">
        <s:f>IF($J204="","",$B$3-$J204)</s:f>
        <s:v/>
      </s:c>
      <s:c r="L204" s="72" t="str">
        <s:f>IFERROR(INDEX('CRM Playbook'!$C$6:$C$10,MATCH($B204,'CRM Playbook'!$B$6:$B$10,0)),"")</s:f>
        <s:v/>
      </s:c>
      <s:c r="M204" s="73" t="str">
        <s:f>IF(OR($J204="",$L204=""),"",$J204+$L204)</s:f>
        <s:v/>
      </s:c>
      <s:c r="N204" s="74" t="str">
        <s:f>IF($A204="","",IF($J204="","NEW - reach out",IF($M204&lt;$B$3,"OVERDUE",IF($M204&lt;=$B$3+3,"DUE","Current"))))</s:f>
        <s:v/>
      </s:c>
      <s:c r="O204" s="67" t="n"/>
      <s:c r="P204" s="67" t="n"/>
      <s:c r="Q204" s="67" t="n"/>
      <s:c r="R204" s="75" t="str">
        <s:f>IF($A204="","",IF($J204="",9999+ROW()/100000,IF($M204&gt;$B$3,"",($B$3-$M204)+ROW()/100000)))</s:f>
        <s:v/>
      </s:c>
    </s:row>
    <s:row r="205">
      <s:c r="A205" s="65" t="n"/>
      <s:c r="B205" s="65" t="n"/>
      <s:c r="C205" s="65" t="n"/>
      <s:c r="D205" s="65" t="n"/>
      <s:c r="E205" s="65" t="n"/>
      <s:c r="F205" s="65" t="n"/>
      <s:c r="G205" s="65" t="n"/>
      <s:c r="H205" s="76" t="n"/>
      <s:c r="I205" s="59" t="str">
        <s:f>IF($H205="","",$H205*Inputs!$C$12)</s:f>
        <s:v/>
      </s:c>
      <s:c r="J205" s="77" t="n"/>
      <s:c r="K205" s="61" t="str">
        <s:f>IF($J205="","",$B$3-$J205)</s:f>
        <s:v/>
      </s:c>
      <s:c r="L205" s="62" t="str">
        <s:f>IFERROR(INDEX('CRM Playbook'!$C$6:$C$10,MATCH($B205,'CRM Playbook'!$B$6:$B$10,0)),"")</s:f>
        <s:v/>
      </s:c>
      <s:c r="M205" s="63" t="str">
        <s:f>IF(OR($J205="",$L205=""),"",$J205+$L205)</s:f>
        <s:v/>
      </s:c>
      <s:c r="N205" s="64" t="str">
        <s:f>IF($A205="","",IF($J205="","NEW - reach out",IF($M205&lt;$B$3,"OVERDUE",IF($M205&lt;=$B$3+3,"DUE","Current"))))</s:f>
        <s:v/>
      </s:c>
      <s:c r="O205" s="65" t="n"/>
      <s:c r="P205" s="65" t="n"/>
      <s:c r="Q205" s="65" t="n"/>
      <s:c r="R205" s="66" t="str">
        <s:f>IF($A205="","",IF($J205="",9999+ROW()/100000,IF($M205&gt;$B$3,"",($B$3-$M205)+ROW()/100000)))</s:f>
        <s:v/>
      </s:c>
    </s:row>
    <s:row r="206">
      <s:c r="A206" s="67" t="n"/>
      <s:c r="B206" s="67" t="n"/>
      <s:c r="C206" s="67" t="n"/>
      <s:c r="D206" s="67" t="n"/>
      <s:c r="E206" s="67" t="n"/>
      <s:c r="F206" s="67" t="n"/>
      <s:c r="G206" s="67" t="n"/>
      <s:c r="H206" s="68" t="n"/>
      <s:c r="I206" s="69" t="str">
        <s:f>IF($H206="","",$H206*Inputs!$C$12)</s:f>
        <s:v/>
      </s:c>
      <s:c r="J206" s="70" t="n"/>
      <s:c r="K206" s="71" t="str">
        <s:f>IF($J206="","",$B$3-$J206)</s:f>
        <s:v/>
      </s:c>
      <s:c r="L206" s="72" t="str">
        <s:f>IFERROR(INDEX('CRM Playbook'!$C$6:$C$10,MATCH($B206,'CRM Playbook'!$B$6:$B$10,0)),"")</s:f>
        <s:v/>
      </s:c>
      <s:c r="M206" s="73" t="str">
        <s:f>IF(OR($J206="",$L206=""),"",$J206+$L206)</s:f>
        <s:v/>
      </s:c>
      <s:c r="N206" s="74" t="str">
        <s:f>IF($A206="","",IF($J206="","NEW - reach out",IF($M206&lt;$B$3,"OVERDUE",IF($M206&lt;=$B$3+3,"DUE","Current"))))</s:f>
        <s:v/>
      </s:c>
      <s:c r="O206" s="67" t="n"/>
      <s:c r="P206" s="67" t="n"/>
      <s:c r="Q206" s="67" t="n"/>
      <s:c r="R206" s="75" t="str">
        <s:f>IF($A206="","",IF($J206="",9999+ROW()/100000,IF($M206&gt;$B$3,"",($B$3-$M206)+ROW()/100000)))</s:f>
        <s:v/>
      </s:c>
    </s:row>
    <s:row r="207">
      <s:c r="A207" s="65" t="n"/>
      <s:c r="B207" s="65" t="n"/>
      <s:c r="C207" s="65" t="n"/>
      <s:c r="D207" s="65" t="n"/>
      <s:c r="E207" s="65" t="n"/>
      <s:c r="F207" s="65" t="n"/>
      <s:c r="G207" s="65" t="n"/>
      <s:c r="H207" s="76" t="n"/>
      <s:c r="I207" s="59" t="str">
        <s:f>IF($H207="","",$H207*Inputs!$C$12)</s:f>
        <s:v/>
      </s:c>
      <s:c r="J207" s="77" t="n"/>
      <s:c r="K207" s="61" t="str">
        <s:f>IF($J207="","",$B$3-$J207)</s:f>
        <s:v/>
      </s:c>
      <s:c r="L207" s="62" t="str">
        <s:f>IFERROR(INDEX('CRM Playbook'!$C$6:$C$10,MATCH($B207,'CRM Playbook'!$B$6:$B$10,0)),"")</s:f>
        <s:v/>
      </s:c>
      <s:c r="M207" s="63" t="str">
        <s:f>IF(OR($J207="",$L207=""),"",$J207+$L207)</s:f>
        <s:v/>
      </s:c>
      <s:c r="N207" s="64" t="str">
        <s:f>IF($A207="","",IF($J207="","NEW - reach out",IF($M207&lt;$B$3,"OVERDUE",IF($M207&lt;=$B$3+3,"DUE","Current"))))</s:f>
        <s:v/>
      </s:c>
      <s:c r="O207" s="65" t="n"/>
      <s:c r="P207" s="65" t="n"/>
      <s:c r="Q207" s="65" t="n"/>
      <s:c r="R207" s="66" t="str">
        <s:f>IF($A207="","",IF($J207="",9999+ROW()/100000,IF($M207&gt;$B$3,"",($B$3-$M207)+ROW()/100000)))</s:f>
        <s:v/>
      </s:c>
    </s:row>
    <s:row r="208">
      <s:c r="A208" s="67" t="n"/>
      <s:c r="B208" s="67" t="n"/>
      <s:c r="C208" s="67" t="n"/>
      <s:c r="D208" s="67" t="n"/>
      <s:c r="E208" s="67" t="n"/>
      <s:c r="F208" s="67" t="n"/>
      <s:c r="G208" s="67" t="n"/>
      <s:c r="H208" s="68" t="n"/>
      <s:c r="I208" s="69" t="str">
        <s:f>IF($H208="","",$H208*Inputs!$C$12)</s:f>
        <s:v/>
      </s:c>
      <s:c r="J208" s="70" t="n"/>
      <s:c r="K208" s="71" t="str">
        <s:f>IF($J208="","",$B$3-$J208)</s:f>
        <s:v/>
      </s:c>
      <s:c r="L208" s="72" t="str">
        <s:f>IFERROR(INDEX('CRM Playbook'!$C$6:$C$10,MATCH($B208,'CRM Playbook'!$B$6:$B$10,0)),"")</s:f>
        <s:v/>
      </s:c>
      <s:c r="M208" s="73" t="str">
        <s:f>IF(OR($J208="",$L208=""),"",$J208+$L208)</s:f>
        <s:v/>
      </s:c>
      <s:c r="N208" s="74" t="str">
        <s:f>IF($A208="","",IF($J208="","NEW - reach out",IF($M208&lt;$B$3,"OVERDUE",IF($M208&lt;=$B$3+3,"DUE","Current"))))</s:f>
        <s:v/>
      </s:c>
      <s:c r="O208" s="67" t="n"/>
      <s:c r="P208" s="67" t="n"/>
      <s:c r="Q208" s="67" t="n"/>
      <s:c r="R208" s="75" t="str">
        <s:f>IF($A208="","",IF($J208="",9999+ROW()/100000,IF($M208&gt;$B$3,"",($B$3-$M208)+ROW()/100000)))</s:f>
        <s:v/>
      </s:c>
    </s:row>
    <s:row r="209">
      <s:c r="A209" s="65" t="n"/>
      <s:c r="B209" s="65" t="n"/>
      <s:c r="C209" s="65" t="n"/>
      <s:c r="D209" s="65" t="n"/>
      <s:c r="E209" s="65" t="n"/>
      <s:c r="F209" s="65" t="n"/>
      <s:c r="G209" s="65" t="n"/>
      <s:c r="H209" s="76" t="n"/>
      <s:c r="I209" s="59" t="str">
        <s:f>IF($H209="","",$H209*Inputs!$C$12)</s:f>
        <s:v/>
      </s:c>
      <s:c r="J209" s="77" t="n"/>
      <s:c r="K209" s="61" t="str">
        <s:f>IF($J209="","",$B$3-$J209)</s:f>
        <s:v/>
      </s:c>
      <s:c r="L209" s="62" t="str">
        <s:f>IFERROR(INDEX('CRM Playbook'!$C$6:$C$10,MATCH($B209,'CRM Playbook'!$B$6:$B$10,0)),"")</s:f>
        <s:v/>
      </s:c>
      <s:c r="M209" s="63" t="str">
        <s:f>IF(OR($J209="",$L209=""),"",$J209+$L209)</s:f>
        <s:v/>
      </s:c>
      <s:c r="N209" s="64" t="str">
        <s:f>IF($A209="","",IF($J209="","NEW - reach out",IF($M209&lt;$B$3,"OVERDUE",IF($M209&lt;=$B$3+3,"DUE","Current"))))</s:f>
        <s:v/>
      </s:c>
      <s:c r="O209" s="65" t="n"/>
      <s:c r="P209" s="65" t="n"/>
      <s:c r="Q209" s="65" t="n"/>
      <s:c r="R209" s="66" t="str">
        <s:f>IF($A209="","",IF($J209="",9999+ROW()/100000,IF($M209&gt;$B$3,"",($B$3-$M209)+ROW()/100000)))</s:f>
        <s:v/>
      </s:c>
    </s:row>
    <s:row r="210">
      <s:c r="A210" s="67" t="n"/>
      <s:c r="B210" s="67" t="n"/>
      <s:c r="C210" s="67" t="n"/>
      <s:c r="D210" s="67" t="n"/>
      <s:c r="E210" s="67" t="n"/>
      <s:c r="F210" s="67" t="n"/>
      <s:c r="G210" s="67" t="n"/>
      <s:c r="H210" s="68" t="n"/>
      <s:c r="I210" s="69" t="str">
        <s:f>IF($H210="","",$H210*Inputs!$C$12)</s:f>
        <s:v/>
      </s:c>
      <s:c r="J210" s="70" t="n"/>
      <s:c r="K210" s="71" t="str">
        <s:f>IF($J210="","",$B$3-$J210)</s:f>
        <s:v/>
      </s:c>
      <s:c r="L210" s="72" t="str">
        <s:f>IFERROR(INDEX('CRM Playbook'!$C$6:$C$10,MATCH($B210,'CRM Playbook'!$B$6:$B$10,0)),"")</s:f>
        <s:v/>
      </s:c>
      <s:c r="M210" s="73" t="str">
        <s:f>IF(OR($J210="",$L210=""),"",$J210+$L210)</s:f>
        <s:v/>
      </s:c>
      <s:c r="N210" s="74" t="str">
        <s:f>IF($A210="","",IF($J210="","NEW - reach out",IF($M210&lt;$B$3,"OVERDUE",IF($M210&lt;=$B$3+3,"DUE","Current"))))</s:f>
        <s:v/>
      </s:c>
      <s:c r="O210" s="67" t="n"/>
      <s:c r="P210" s="67" t="n"/>
      <s:c r="Q210" s="67" t="n"/>
      <s:c r="R210" s="75" t="str">
        <s:f>IF($A210="","",IF($J210="",9999+ROW()/100000,IF($M210&gt;$B$3,"",($B$3-$M210)+ROW()/100000)))</s:f>
        <s:v/>
      </s:c>
    </s:row>
    <s:row r="211">
      <s:c r="A211" s="65" t="n"/>
      <s:c r="B211" s="65" t="n"/>
      <s:c r="C211" s="65" t="n"/>
      <s:c r="D211" s="65" t="n"/>
      <s:c r="E211" s="65" t="n"/>
      <s:c r="F211" s="65" t="n"/>
      <s:c r="G211" s="65" t="n"/>
      <s:c r="H211" s="76" t="n"/>
      <s:c r="I211" s="59" t="str">
        <s:f>IF($H211="","",$H211*Inputs!$C$12)</s:f>
        <s:v/>
      </s:c>
      <s:c r="J211" s="77" t="n"/>
      <s:c r="K211" s="61" t="str">
        <s:f>IF($J211="","",$B$3-$J211)</s:f>
        <s:v/>
      </s:c>
      <s:c r="L211" s="62" t="str">
        <s:f>IFERROR(INDEX('CRM Playbook'!$C$6:$C$10,MATCH($B211,'CRM Playbook'!$B$6:$B$10,0)),"")</s:f>
        <s:v/>
      </s:c>
      <s:c r="M211" s="63" t="str">
        <s:f>IF(OR($J211="",$L211=""),"",$J211+$L211)</s:f>
        <s:v/>
      </s:c>
      <s:c r="N211" s="64" t="str">
        <s:f>IF($A211="","",IF($J211="","NEW - reach out",IF($M211&lt;$B$3,"OVERDUE",IF($M211&lt;=$B$3+3,"DUE","Current"))))</s:f>
        <s:v/>
      </s:c>
      <s:c r="O211" s="65" t="n"/>
      <s:c r="P211" s="65" t="n"/>
      <s:c r="Q211" s="65" t="n"/>
      <s:c r="R211" s="66" t="str">
        <s:f>IF($A211="","",IF($J211="",9999+ROW()/100000,IF($M211&gt;$B$3,"",($B$3-$M211)+ROW()/100000)))</s:f>
        <s:v/>
      </s:c>
    </s:row>
    <s:row r="212">
      <s:c r="A212" s="67" t="n"/>
      <s:c r="B212" s="67" t="n"/>
      <s:c r="C212" s="67" t="n"/>
      <s:c r="D212" s="67" t="n"/>
      <s:c r="E212" s="67" t="n"/>
      <s:c r="F212" s="67" t="n"/>
      <s:c r="G212" s="67" t="n"/>
      <s:c r="H212" s="68" t="n"/>
      <s:c r="I212" s="69" t="str">
        <s:f>IF($H212="","",$H212*Inputs!$C$12)</s:f>
        <s:v/>
      </s:c>
      <s:c r="J212" s="70" t="n"/>
      <s:c r="K212" s="71" t="str">
        <s:f>IF($J212="","",$B$3-$J212)</s:f>
        <s:v/>
      </s:c>
      <s:c r="L212" s="72" t="str">
        <s:f>IFERROR(INDEX('CRM Playbook'!$C$6:$C$10,MATCH($B212,'CRM Playbook'!$B$6:$B$10,0)),"")</s:f>
        <s:v/>
      </s:c>
      <s:c r="M212" s="73" t="str">
        <s:f>IF(OR($J212="",$L212=""),"",$J212+$L212)</s:f>
        <s:v/>
      </s:c>
      <s:c r="N212" s="74" t="str">
        <s:f>IF($A212="","",IF($J212="","NEW - reach out",IF($M212&lt;$B$3,"OVERDUE",IF($M212&lt;=$B$3+3,"DUE","Current"))))</s:f>
        <s:v/>
      </s:c>
      <s:c r="O212" s="67" t="n"/>
      <s:c r="P212" s="67" t="n"/>
      <s:c r="Q212" s="67" t="n"/>
      <s:c r="R212" s="75" t="str">
        <s:f>IF($A212="","",IF($J212="",9999+ROW()/100000,IF($M212&gt;$B$3,"",($B$3-$M212)+ROW()/100000)))</s:f>
        <s:v/>
      </s:c>
    </s:row>
    <s:row r="213">
      <s:c r="A213" s="65" t="n"/>
      <s:c r="B213" s="65" t="n"/>
      <s:c r="C213" s="65" t="n"/>
      <s:c r="D213" s="65" t="n"/>
      <s:c r="E213" s="65" t="n"/>
      <s:c r="F213" s="65" t="n"/>
      <s:c r="G213" s="65" t="n"/>
      <s:c r="H213" s="76" t="n"/>
      <s:c r="I213" s="59" t="str">
        <s:f>IF($H213="","",$H213*Inputs!$C$12)</s:f>
        <s:v/>
      </s:c>
      <s:c r="J213" s="77" t="n"/>
      <s:c r="K213" s="61" t="str">
        <s:f>IF($J213="","",$B$3-$J213)</s:f>
        <s:v/>
      </s:c>
      <s:c r="L213" s="62" t="str">
        <s:f>IFERROR(INDEX('CRM Playbook'!$C$6:$C$10,MATCH($B213,'CRM Playbook'!$B$6:$B$10,0)),"")</s:f>
        <s:v/>
      </s:c>
      <s:c r="M213" s="63" t="str">
        <s:f>IF(OR($J213="",$L213=""),"",$J213+$L213)</s:f>
        <s:v/>
      </s:c>
      <s:c r="N213" s="64" t="str">
        <s:f>IF($A213="","",IF($J213="","NEW - reach out",IF($M213&lt;$B$3,"OVERDUE",IF($M213&lt;=$B$3+3,"DUE","Current"))))</s:f>
        <s:v/>
      </s:c>
      <s:c r="O213" s="65" t="n"/>
      <s:c r="P213" s="65" t="n"/>
      <s:c r="Q213" s="65" t="n"/>
      <s:c r="R213" s="66" t="str">
        <s:f>IF($A213="","",IF($J213="",9999+ROW()/100000,IF($M213&gt;$B$3,"",($B$3-$M213)+ROW()/100000)))</s:f>
        <s:v/>
      </s:c>
    </s:row>
    <s:row r="214">
      <s:c r="A214" s="67" t="n"/>
      <s:c r="B214" s="67" t="n"/>
      <s:c r="C214" s="67" t="n"/>
      <s:c r="D214" s="67" t="n"/>
      <s:c r="E214" s="67" t="n"/>
      <s:c r="F214" s="67" t="n"/>
      <s:c r="G214" s="67" t="n"/>
      <s:c r="H214" s="68" t="n"/>
      <s:c r="I214" s="69" t="str">
        <s:f>IF($H214="","",$H214*Inputs!$C$12)</s:f>
        <s:v/>
      </s:c>
      <s:c r="J214" s="70" t="n"/>
      <s:c r="K214" s="71" t="str">
        <s:f>IF($J214="","",$B$3-$J214)</s:f>
        <s:v/>
      </s:c>
      <s:c r="L214" s="72" t="str">
        <s:f>IFERROR(INDEX('CRM Playbook'!$C$6:$C$10,MATCH($B214,'CRM Playbook'!$B$6:$B$10,0)),"")</s:f>
        <s:v/>
      </s:c>
      <s:c r="M214" s="73" t="str">
        <s:f>IF(OR($J214="",$L214=""),"",$J214+$L214)</s:f>
        <s:v/>
      </s:c>
      <s:c r="N214" s="74" t="str">
        <s:f>IF($A214="","",IF($J214="","NEW - reach out",IF($M214&lt;$B$3,"OVERDUE",IF($M214&lt;=$B$3+3,"DUE","Current"))))</s:f>
        <s:v/>
      </s:c>
      <s:c r="O214" s="67" t="n"/>
      <s:c r="P214" s="67" t="n"/>
      <s:c r="Q214" s="67" t="n"/>
      <s:c r="R214" s="75" t="str">
        <s:f>IF($A214="","",IF($J214="",9999+ROW()/100000,IF($M214&gt;$B$3,"",($B$3-$M214)+ROW()/100000)))</s:f>
        <s:v/>
      </s:c>
    </s:row>
    <s:row r="215">
      <s:c r="A215" s="65" t="n"/>
      <s:c r="B215" s="65" t="n"/>
      <s:c r="C215" s="65" t="n"/>
      <s:c r="D215" s="65" t="n"/>
      <s:c r="E215" s="65" t="n"/>
      <s:c r="F215" s="65" t="n"/>
      <s:c r="G215" s="65" t="n"/>
      <s:c r="H215" s="76" t="n"/>
      <s:c r="I215" s="59" t="str">
        <s:f>IF($H215="","",$H215*Inputs!$C$12)</s:f>
        <s:v/>
      </s:c>
      <s:c r="J215" s="77" t="n"/>
      <s:c r="K215" s="61" t="str">
        <s:f>IF($J215="","",$B$3-$J215)</s:f>
        <s:v/>
      </s:c>
      <s:c r="L215" s="62" t="str">
        <s:f>IFERROR(INDEX('CRM Playbook'!$C$6:$C$10,MATCH($B215,'CRM Playbook'!$B$6:$B$10,0)),"")</s:f>
        <s:v/>
      </s:c>
      <s:c r="M215" s="63" t="str">
        <s:f>IF(OR($J215="",$L215=""),"",$J215+$L215)</s:f>
        <s:v/>
      </s:c>
      <s:c r="N215" s="64" t="str">
        <s:f>IF($A215="","",IF($J215="","NEW - reach out",IF($M215&lt;$B$3,"OVERDUE",IF($M215&lt;=$B$3+3,"DUE","Current"))))</s:f>
        <s:v/>
      </s:c>
      <s:c r="O215" s="65" t="n"/>
      <s:c r="P215" s="65" t="n"/>
      <s:c r="Q215" s="65" t="n"/>
      <s:c r="R215" s="66" t="str">
        <s:f>IF($A215="","",IF($J215="",9999+ROW()/100000,IF($M215&gt;$B$3,"",($B$3-$M215)+ROW()/100000)))</s:f>
        <s:v/>
      </s:c>
    </s:row>
    <s:row r="216">
      <s:c r="A216" s="67" t="n"/>
      <s:c r="B216" s="67" t="n"/>
      <s:c r="C216" s="67" t="n"/>
      <s:c r="D216" s="67" t="n"/>
      <s:c r="E216" s="67" t="n"/>
      <s:c r="F216" s="67" t="n"/>
      <s:c r="G216" s="67" t="n"/>
      <s:c r="H216" s="68" t="n"/>
      <s:c r="I216" s="69" t="str">
        <s:f>IF($H216="","",$H216*Inputs!$C$12)</s:f>
        <s:v/>
      </s:c>
      <s:c r="J216" s="70" t="n"/>
      <s:c r="K216" s="71" t="str">
        <s:f>IF($J216="","",$B$3-$J216)</s:f>
        <s:v/>
      </s:c>
      <s:c r="L216" s="72" t="str">
        <s:f>IFERROR(INDEX('CRM Playbook'!$C$6:$C$10,MATCH($B216,'CRM Playbook'!$B$6:$B$10,0)),"")</s:f>
        <s:v/>
      </s:c>
      <s:c r="M216" s="73" t="str">
        <s:f>IF(OR($J216="",$L216=""),"",$J216+$L216)</s:f>
        <s:v/>
      </s:c>
      <s:c r="N216" s="74" t="str">
        <s:f>IF($A216="","",IF($J216="","NEW - reach out",IF($M216&lt;$B$3,"OVERDUE",IF($M216&lt;=$B$3+3,"DUE","Current"))))</s:f>
        <s:v/>
      </s:c>
      <s:c r="O216" s="67" t="n"/>
      <s:c r="P216" s="67" t="n"/>
      <s:c r="Q216" s="67" t="n"/>
      <s:c r="R216" s="75" t="str">
        <s:f>IF($A216="","",IF($J216="",9999+ROW()/100000,IF($M216&gt;$B$3,"",($B$3-$M216)+ROW()/100000)))</s:f>
        <s:v/>
      </s:c>
    </s:row>
    <s:row r="217">
      <s:c r="A217" s="65" t="n"/>
      <s:c r="B217" s="65" t="n"/>
      <s:c r="C217" s="65" t="n"/>
      <s:c r="D217" s="65" t="n"/>
      <s:c r="E217" s="65" t="n"/>
      <s:c r="F217" s="65" t="n"/>
      <s:c r="G217" s="65" t="n"/>
      <s:c r="H217" s="76" t="n"/>
      <s:c r="I217" s="59" t="str">
        <s:f>IF($H217="","",$H217*Inputs!$C$12)</s:f>
        <s:v/>
      </s:c>
      <s:c r="J217" s="77" t="n"/>
      <s:c r="K217" s="61" t="str">
        <s:f>IF($J217="","",$B$3-$J217)</s:f>
        <s:v/>
      </s:c>
      <s:c r="L217" s="62" t="str">
        <s:f>IFERROR(INDEX('CRM Playbook'!$C$6:$C$10,MATCH($B217,'CRM Playbook'!$B$6:$B$10,0)),"")</s:f>
        <s:v/>
      </s:c>
      <s:c r="M217" s="63" t="str">
        <s:f>IF(OR($J217="",$L217=""),"",$J217+$L217)</s:f>
        <s:v/>
      </s:c>
      <s:c r="N217" s="64" t="str">
        <s:f>IF($A217="","",IF($J217="","NEW - reach out",IF($M217&lt;$B$3,"OVERDUE",IF($M217&lt;=$B$3+3,"DUE","Current"))))</s:f>
        <s:v/>
      </s:c>
      <s:c r="O217" s="65" t="n"/>
      <s:c r="P217" s="65" t="n"/>
      <s:c r="Q217" s="65" t="n"/>
      <s:c r="R217" s="66" t="str">
        <s:f>IF($A217="","",IF($J217="",9999+ROW()/100000,IF($M217&gt;$B$3,"",($B$3-$M217)+ROW()/100000)))</s:f>
        <s:v/>
      </s:c>
    </s:row>
    <s:row r="218">
      <s:c r="A218" s="67" t="n"/>
      <s:c r="B218" s="67" t="n"/>
      <s:c r="C218" s="67" t="n"/>
      <s:c r="D218" s="67" t="n"/>
      <s:c r="E218" s="67" t="n"/>
      <s:c r="F218" s="67" t="n"/>
      <s:c r="G218" s="67" t="n"/>
      <s:c r="H218" s="68" t="n"/>
      <s:c r="I218" s="69" t="str">
        <s:f>IF($H218="","",$H218*Inputs!$C$12)</s:f>
        <s:v/>
      </s:c>
      <s:c r="J218" s="70" t="n"/>
      <s:c r="K218" s="71" t="str">
        <s:f>IF($J218="","",$B$3-$J218)</s:f>
        <s:v/>
      </s:c>
      <s:c r="L218" s="72" t="str">
        <s:f>IFERROR(INDEX('CRM Playbook'!$C$6:$C$10,MATCH($B218,'CRM Playbook'!$B$6:$B$10,0)),"")</s:f>
        <s:v/>
      </s:c>
      <s:c r="M218" s="73" t="str">
        <s:f>IF(OR($J218="",$L218=""),"",$J218+$L218)</s:f>
        <s:v/>
      </s:c>
      <s:c r="N218" s="74" t="str">
        <s:f>IF($A218="","",IF($J218="","NEW - reach out",IF($M218&lt;$B$3,"OVERDUE",IF($M218&lt;=$B$3+3,"DUE","Current"))))</s:f>
        <s:v/>
      </s:c>
      <s:c r="O218" s="67" t="n"/>
      <s:c r="P218" s="67" t="n"/>
      <s:c r="Q218" s="67" t="n"/>
      <s:c r="R218" s="75" t="str">
        <s:f>IF($A218="","",IF($J218="",9999+ROW()/100000,IF($M218&gt;$B$3,"",($B$3-$M218)+ROW()/100000)))</s:f>
        <s:v/>
      </s:c>
    </s:row>
    <s:row r="219">
      <s:c r="A219" s="65" t="n"/>
      <s:c r="B219" s="65" t="n"/>
      <s:c r="C219" s="65" t="n"/>
      <s:c r="D219" s="65" t="n"/>
      <s:c r="E219" s="65" t="n"/>
      <s:c r="F219" s="65" t="n"/>
      <s:c r="G219" s="65" t="n"/>
      <s:c r="H219" s="76" t="n"/>
      <s:c r="I219" s="59" t="str">
        <s:f>IF($H219="","",$H219*Inputs!$C$12)</s:f>
        <s:v/>
      </s:c>
      <s:c r="J219" s="77" t="n"/>
      <s:c r="K219" s="61" t="str">
        <s:f>IF($J219="","",$B$3-$J219)</s:f>
        <s:v/>
      </s:c>
      <s:c r="L219" s="62" t="str">
        <s:f>IFERROR(INDEX('CRM Playbook'!$C$6:$C$10,MATCH($B219,'CRM Playbook'!$B$6:$B$10,0)),"")</s:f>
        <s:v/>
      </s:c>
      <s:c r="M219" s="63" t="str">
        <s:f>IF(OR($J219="",$L219=""),"",$J219+$L219)</s:f>
        <s:v/>
      </s:c>
      <s:c r="N219" s="64" t="str">
        <s:f>IF($A219="","",IF($J219="","NEW - reach out",IF($M219&lt;$B$3,"OVERDUE",IF($M219&lt;=$B$3+3,"DUE","Current"))))</s:f>
        <s:v/>
      </s:c>
      <s:c r="O219" s="65" t="n"/>
      <s:c r="P219" s="65" t="n"/>
      <s:c r="Q219" s="65" t="n"/>
      <s:c r="R219" s="66" t="str">
        <s:f>IF($A219="","",IF($J219="",9999+ROW()/100000,IF($M219&gt;$B$3,"",($B$3-$M219)+ROW()/100000)))</s:f>
        <s:v/>
      </s:c>
    </s:row>
    <s:row r="220">
      <s:c r="A220" s="67" t="n"/>
      <s:c r="B220" s="67" t="n"/>
      <s:c r="C220" s="67" t="n"/>
      <s:c r="D220" s="67" t="n"/>
      <s:c r="E220" s="67" t="n"/>
      <s:c r="F220" s="67" t="n"/>
      <s:c r="G220" s="67" t="n"/>
      <s:c r="H220" s="68" t="n"/>
      <s:c r="I220" s="69" t="str">
        <s:f>IF($H220="","",$H220*Inputs!$C$12)</s:f>
        <s:v/>
      </s:c>
      <s:c r="J220" s="70" t="n"/>
      <s:c r="K220" s="71" t="str">
        <s:f>IF($J220="","",$B$3-$J220)</s:f>
        <s:v/>
      </s:c>
      <s:c r="L220" s="72" t="str">
        <s:f>IFERROR(INDEX('CRM Playbook'!$C$6:$C$10,MATCH($B220,'CRM Playbook'!$B$6:$B$10,0)),"")</s:f>
        <s:v/>
      </s:c>
      <s:c r="M220" s="73" t="str">
        <s:f>IF(OR($J220="",$L220=""),"",$J220+$L220)</s:f>
        <s:v/>
      </s:c>
      <s:c r="N220" s="74" t="str">
        <s:f>IF($A220="","",IF($J220="","NEW - reach out",IF($M220&lt;$B$3,"OVERDUE",IF($M220&lt;=$B$3+3,"DUE","Current"))))</s:f>
        <s:v/>
      </s:c>
      <s:c r="O220" s="67" t="n"/>
      <s:c r="P220" s="67" t="n"/>
      <s:c r="Q220" s="67" t="n"/>
      <s:c r="R220" s="75" t="str">
        <s:f>IF($A220="","",IF($J220="",9999+ROW()/100000,IF($M220&gt;$B$3,"",($B$3-$M220)+ROW()/100000)))</s:f>
        <s:v/>
      </s:c>
    </s:row>
    <s:row r="221">
      <s:c r="A221" s="65" t="n"/>
      <s:c r="B221" s="65" t="n"/>
      <s:c r="C221" s="65" t="n"/>
      <s:c r="D221" s="65" t="n"/>
      <s:c r="E221" s="65" t="n"/>
      <s:c r="F221" s="65" t="n"/>
      <s:c r="G221" s="65" t="n"/>
      <s:c r="H221" s="76" t="n"/>
      <s:c r="I221" s="59" t="str">
        <s:f>IF($H221="","",$H221*Inputs!$C$12)</s:f>
        <s:v/>
      </s:c>
      <s:c r="J221" s="77" t="n"/>
      <s:c r="K221" s="61" t="str">
        <s:f>IF($J221="","",$B$3-$J221)</s:f>
        <s:v/>
      </s:c>
      <s:c r="L221" s="62" t="str">
        <s:f>IFERROR(INDEX('CRM Playbook'!$C$6:$C$10,MATCH($B221,'CRM Playbook'!$B$6:$B$10,0)),"")</s:f>
        <s:v/>
      </s:c>
      <s:c r="M221" s="63" t="str">
        <s:f>IF(OR($J221="",$L221=""),"",$J221+$L221)</s:f>
        <s:v/>
      </s:c>
      <s:c r="N221" s="64" t="str">
        <s:f>IF($A221="","",IF($J221="","NEW - reach out",IF($M221&lt;$B$3,"OVERDUE",IF($M221&lt;=$B$3+3,"DUE","Current"))))</s:f>
        <s:v/>
      </s:c>
      <s:c r="O221" s="65" t="n"/>
      <s:c r="P221" s="65" t="n"/>
      <s:c r="Q221" s="65" t="n"/>
      <s:c r="R221" s="66" t="str">
        <s:f>IF($A221="","",IF($J221="",9999+ROW()/100000,IF($M221&gt;$B$3,"",($B$3-$M221)+ROW()/100000)))</s:f>
        <s:v/>
      </s:c>
    </s:row>
    <s:row r="222">
      <s:c r="A222" s="67" t="n"/>
      <s:c r="B222" s="67" t="n"/>
      <s:c r="C222" s="67" t="n"/>
      <s:c r="D222" s="67" t="n"/>
      <s:c r="E222" s="67" t="n"/>
      <s:c r="F222" s="67" t="n"/>
      <s:c r="G222" s="67" t="n"/>
      <s:c r="H222" s="68" t="n"/>
      <s:c r="I222" s="69" t="str">
        <s:f>IF($H222="","",$H222*Inputs!$C$12)</s:f>
        <s:v/>
      </s:c>
      <s:c r="J222" s="70" t="n"/>
      <s:c r="K222" s="71" t="str">
        <s:f>IF($J222="","",$B$3-$J222)</s:f>
        <s:v/>
      </s:c>
      <s:c r="L222" s="72" t="str">
        <s:f>IFERROR(INDEX('CRM Playbook'!$C$6:$C$10,MATCH($B222,'CRM Playbook'!$B$6:$B$10,0)),"")</s:f>
        <s:v/>
      </s:c>
      <s:c r="M222" s="73" t="str">
        <s:f>IF(OR($J222="",$L222=""),"",$J222+$L222)</s:f>
        <s:v/>
      </s:c>
      <s:c r="N222" s="74" t="str">
        <s:f>IF($A222="","",IF($J222="","NEW - reach out",IF($M222&lt;$B$3,"OVERDUE",IF($M222&lt;=$B$3+3,"DUE","Current"))))</s:f>
        <s:v/>
      </s:c>
      <s:c r="O222" s="67" t="n"/>
      <s:c r="P222" s="67" t="n"/>
      <s:c r="Q222" s="67" t="n"/>
      <s:c r="R222" s="75" t="str">
        <s:f>IF($A222="","",IF($J222="",9999+ROW()/100000,IF($M222&gt;$B$3,"",($B$3-$M222)+ROW()/100000)))</s:f>
        <s:v/>
      </s:c>
    </s:row>
    <s:row r="223">
      <s:c r="A223" s="65" t="n"/>
      <s:c r="B223" s="65" t="n"/>
      <s:c r="C223" s="65" t="n"/>
      <s:c r="D223" s="65" t="n"/>
      <s:c r="E223" s="65" t="n"/>
      <s:c r="F223" s="65" t="n"/>
      <s:c r="G223" s="65" t="n"/>
      <s:c r="H223" s="76" t="n"/>
      <s:c r="I223" s="59" t="str">
        <s:f>IF($H223="","",$H223*Inputs!$C$12)</s:f>
        <s:v/>
      </s:c>
      <s:c r="J223" s="77" t="n"/>
      <s:c r="K223" s="61" t="str">
        <s:f>IF($J223="","",$B$3-$J223)</s:f>
        <s:v/>
      </s:c>
      <s:c r="L223" s="62" t="str">
        <s:f>IFERROR(INDEX('CRM Playbook'!$C$6:$C$10,MATCH($B223,'CRM Playbook'!$B$6:$B$10,0)),"")</s:f>
        <s:v/>
      </s:c>
      <s:c r="M223" s="63" t="str">
        <s:f>IF(OR($J223="",$L223=""),"",$J223+$L223)</s:f>
        <s:v/>
      </s:c>
      <s:c r="N223" s="64" t="str">
        <s:f>IF($A223="","",IF($J223="","NEW - reach out",IF($M223&lt;$B$3,"OVERDUE",IF($M223&lt;=$B$3+3,"DUE","Current"))))</s:f>
        <s:v/>
      </s:c>
      <s:c r="O223" s="65" t="n"/>
      <s:c r="P223" s="65" t="n"/>
      <s:c r="Q223" s="65" t="n"/>
      <s:c r="R223" s="66" t="str">
        <s:f>IF($A223="","",IF($J223="",9999+ROW()/100000,IF($M223&gt;$B$3,"",($B$3-$M223)+ROW()/100000)))</s:f>
        <s:v/>
      </s:c>
    </s:row>
    <s:row r="224">
      <s:c r="A224" s="67" t="n"/>
      <s:c r="B224" s="67" t="n"/>
      <s:c r="C224" s="67" t="n"/>
      <s:c r="D224" s="67" t="n"/>
      <s:c r="E224" s="67" t="n"/>
      <s:c r="F224" s="67" t="n"/>
      <s:c r="G224" s="67" t="n"/>
      <s:c r="H224" s="68" t="n"/>
      <s:c r="I224" s="69" t="str">
        <s:f>IF($H224="","",$H224*Inputs!$C$12)</s:f>
        <s:v/>
      </s:c>
      <s:c r="J224" s="70" t="n"/>
      <s:c r="K224" s="71" t="str">
        <s:f>IF($J224="","",$B$3-$J224)</s:f>
        <s:v/>
      </s:c>
      <s:c r="L224" s="72" t="str">
        <s:f>IFERROR(INDEX('CRM Playbook'!$C$6:$C$10,MATCH($B224,'CRM Playbook'!$B$6:$B$10,0)),"")</s:f>
        <s:v/>
      </s:c>
      <s:c r="M224" s="73" t="str">
        <s:f>IF(OR($J224="",$L224=""),"",$J224+$L224)</s:f>
        <s:v/>
      </s:c>
      <s:c r="N224" s="74" t="str">
        <s:f>IF($A224="","",IF($J224="","NEW - reach out",IF($M224&lt;$B$3,"OVERDUE",IF($M224&lt;=$B$3+3,"DUE","Current"))))</s:f>
        <s:v/>
      </s:c>
      <s:c r="O224" s="67" t="n"/>
      <s:c r="P224" s="67" t="n"/>
      <s:c r="Q224" s="67" t="n"/>
      <s:c r="R224" s="75" t="str">
        <s:f>IF($A224="","",IF($J224="",9999+ROW()/100000,IF($M224&gt;$B$3,"",($B$3-$M224)+ROW()/100000)))</s:f>
        <s:v/>
      </s:c>
    </s:row>
    <s:row r="225">
      <s:c r="A225" s="65" t="n"/>
      <s:c r="B225" s="65" t="n"/>
      <s:c r="C225" s="65" t="n"/>
      <s:c r="D225" s="65" t="n"/>
      <s:c r="E225" s="65" t="n"/>
      <s:c r="F225" s="65" t="n"/>
      <s:c r="G225" s="65" t="n"/>
      <s:c r="H225" s="76" t="n"/>
      <s:c r="I225" s="59" t="str">
        <s:f>IF($H225="","",$H225*Inputs!$C$12)</s:f>
        <s:v/>
      </s:c>
      <s:c r="J225" s="77" t="n"/>
      <s:c r="K225" s="61" t="str">
        <s:f>IF($J225="","",$B$3-$J225)</s:f>
        <s:v/>
      </s:c>
      <s:c r="L225" s="62" t="str">
        <s:f>IFERROR(INDEX('CRM Playbook'!$C$6:$C$10,MATCH($B225,'CRM Playbook'!$B$6:$B$10,0)),"")</s:f>
        <s:v/>
      </s:c>
      <s:c r="M225" s="63" t="str">
        <s:f>IF(OR($J225="",$L225=""),"",$J225+$L225)</s:f>
        <s:v/>
      </s:c>
      <s:c r="N225" s="64" t="str">
        <s:f>IF($A225="","",IF($J225="","NEW - reach out",IF($M225&lt;$B$3,"OVERDUE",IF($M225&lt;=$B$3+3,"DUE","Current"))))</s:f>
        <s:v/>
      </s:c>
      <s:c r="O225" s="65" t="n"/>
      <s:c r="P225" s="65" t="n"/>
      <s:c r="Q225" s="65" t="n"/>
      <s:c r="R225" s="66" t="str">
        <s:f>IF($A225="","",IF($J225="",9999+ROW()/100000,IF($M225&gt;$B$3,"",($B$3-$M225)+ROW()/100000)))</s:f>
        <s:v/>
      </s:c>
    </s:row>
    <s:row r="226">
      <s:c r="A226" s="67" t="n"/>
      <s:c r="B226" s="67" t="n"/>
      <s:c r="C226" s="67" t="n"/>
      <s:c r="D226" s="67" t="n"/>
      <s:c r="E226" s="67" t="n"/>
      <s:c r="F226" s="67" t="n"/>
      <s:c r="G226" s="67" t="n"/>
      <s:c r="H226" s="68" t="n"/>
      <s:c r="I226" s="69" t="str">
        <s:f>IF($H226="","",$H226*Inputs!$C$12)</s:f>
        <s:v/>
      </s:c>
      <s:c r="J226" s="70" t="n"/>
      <s:c r="K226" s="71" t="str">
        <s:f>IF($J226="","",$B$3-$J226)</s:f>
        <s:v/>
      </s:c>
      <s:c r="L226" s="72" t="str">
        <s:f>IFERROR(INDEX('CRM Playbook'!$C$6:$C$10,MATCH($B226,'CRM Playbook'!$B$6:$B$10,0)),"")</s:f>
        <s:v/>
      </s:c>
      <s:c r="M226" s="73" t="str">
        <s:f>IF(OR($J226="",$L226=""),"",$J226+$L226)</s:f>
        <s:v/>
      </s:c>
      <s:c r="N226" s="74" t="str">
        <s:f>IF($A226="","",IF($J226="","NEW - reach out",IF($M226&lt;$B$3,"OVERDUE",IF($M226&lt;=$B$3+3,"DUE","Current"))))</s:f>
        <s:v/>
      </s:c>
      <s:c r="O226" s="67" t="n"/>
      <s:c r="P226" s="67" t="n"/>
      <s:c r="Q226" s="67" t="n"/>
      <s:c r="R226" s="75" t="str">
        <s:f>IF($A226="","",IF($J226="",9999+ROW()/100000,IF($M226&gt;$B$3,"",($B$3-$M226)+ROW()/100000)))</s:f>
        <s:v/>
      </s:c>
    </s:row>
    <s:row r="227">
      <s:c r="A227" s="65" t="n"/>
      <s:c r="B227" s="65" t="n"/>
      <s:c r="C227" s="65" t="n"/>
      <s:c r="D227" s="65" t="n"/>
      <s:c r="E227" s="65" t="n"/>
      <s:c r="F227" s="65" t="n"/>
      <s:c r="G227" s="65" t="n"/>
      <s:c r="H227" s="76" t="n"/>
      <s:c r="I227" s="59" t="str">
        <s:f>IF($H227="","",$H227*Inputs!$C$12)</s:f>
        <s:v/>
      </s:c>
      <s:c r="J227" s="77" t="n"/>
      <s:c r="K227" s="61" t="str">
        <s:f>IF($J227="","",$B$3-$J227)</s:f>
        <s:v/>
      </s:c>
      <s:c r="L227" s="62" t="str">
        <s:f>IFERROR(INDEX('CRM Playbook'!$C$6:$C$10,MATCH($B227,'CRM Playbook'!$B$6:$B$10,0)),"")</s:f>
        <s:v/>
      </s:c>
      <s:c r="M227" s="63" t="str">
        <s:f>IF(OR($J227="",$L227=""),"",$J227+$L227)</s:f>
        <s:v/>
      </s:c>
      <s:c r="N227" s="64" t="str">
        <s:f>IF($A227="","",IF($J227="","NEW - reach out",IF($M227&lt;$B$3,"OVERDUE",IF($M227&lt;=$B$3+3,"DUE","Current"))))</s:f>
        <s:v/>
      </s:c>
      <s:c r="O227" s="65" t="n"/>
      <s:c r="P227" s="65" t="n"/>
      <s:c r="Q227" s="65" t="n"/>
      <s:c r="R227" s="66" t="str">
        <s:f>IF($A227="","",IF($J227="",9999+ROW()/100000,IF($M227&gt;$B$3,"",($B$3-$M227)+ROW()/100000)))</s:f>
        <s:v/>
      </s:c>
    </s:row>
    <s:row r="228">
      <s:c r="A228" s="67" t="n"/>
      <s:c r="B228" s="67" t="n"/>
      <s:c r="C228" s="67" t="n"/>
      <s:c r="D228" s="67" t="n"/>
      <s:c r="E228" s="67" t="n"/>
      <s:c r="F228" s="67" t="n"/>
      <s:c r="G228" s="67" t="n"/>
      <s:c r="H228" s="68" t="n"/>
      <s:c r="I228" s="69" t="str">
        <s:f>IF($H228="","",$H228*Inputs!$C$12)</s:f>
        <s:v/>
      </s:c>
      <s:c r="J228" s="70" t="n"/>
      <s:c r="K228" s="71" t="str">
        <s:f>IF($J228="","",$B$3-$J228)</s:f>
        <s:v/>
      </s:c>
      <s:c r="L228" s="72" t="str">
        <s:f>IFERROR(INDEX('CRM Playbook'!$C$6:$C$10,MATCH($B228,'CRM Playbook'!$B$6:$B$10,0)),"")</s:f>
        <s:v/>
      </s:c>
      <s:c r="M228" s="73" t="str">
        <s:f>IF(OR($J228="",$L228=""),"",$J228+$L228)</s:f>
        <s:v/>
      </s:c>
      <s:c r="N228" s="74" t="str">
        <s:f>IF($A228="","",IF($J228="","NEW - reach out",IF($M228&lt;$B$3,"OVERDUE",IF($M228&lt;=$B$3+3,"DUE","Current"))))</s:f>
        <s:v/>
      </s:c>
      <s:c r="O228" s="67" t="n"/>
      <s:c r="P228" s="67" t="n"/>
      <s:c r="Q228" s="67" t="n"/>
      <s:c r="R228" s="75" t="str">
        <s:f>IF($A228="","",IF($J228="",9999+ROW()/100000,IF($M228&gt;$B$3,"",($B$3-$M228)+ROW()/100000)))</s:f>
        <s:v/>
      </s:c>
    </s:row>
    <s:row r="229">
      <s:c r="A229" s="65" t="n"/>
      <s:c r="B229" s="65" t="n"/>
      <s:c r="C229" s="65" t="n"/>
      <s:c r="D229" s="65" t="n"/>
      <s:c r="E229" s="65" t="n"/>
      <s:c r="F229" s="65" t="n"/>
      <s:c r="G229" s="65" t="n"/>
      <s:c r="H229" s="76" t="n"/>
      <s:c r="I229" s="59" t="str">
        <s:f>IF($H229="","",$H229*Inputs!$C$12)</s:f>
        <s:v/>
      </s:c>
      <s:c r="J229" s="77" t="n"/>
      <s:c r="K229" s="61" t="str">
        <s:f>IF($J229="","",$B$3-$J229)</s:f>
        <s:v/>
      </s:c>
      <s:c r="L229" s="62" t="str">
        <s:f>IFERROR(INDEX('CRM Playbook'!$C$6:$C$10,MATCH($B229,'CRM Playbook'!$B$6:$B$10,0)),"")</s:f>
        <s:v/>
      </s:c>
      <s:c r="M229" s="63" t="str">
        <s:f>IF(OR($J229="",$L229=""),"",$J229+$L229)</s:f>
        <s:v/>
      </s:c>
      <s:c r="N229" s="64" t="str">
        <s:f>IF($A229="","",IF($J229="","NEW - reach out",IF($M229&lt;$B$3,"OVERDUE",IF($M229&lt;=$B$3+3,"DUE","Current"))))</s:f>
        <s:v/>
      </s:c>
      <s:c r="O229" s="65" t="n"/>
      <s:c r="P229" s="65" t="n"/>
      <s:c r="Q229" s="65" t="n"/>
      <s:c r="R229" s="66" t="str">
        <s:f>IF($A229="","",IF($J229="",9999+ROW()/100000,IF($M229&gt;$B$3,"",($B$3-$M229)+ROW()/100000)))</s:f>
        <s:v/>
      </s:c>
    </s:row>
    <s:row r="230">
      <s:c r="A230" s="67" t="n"/>
      <s:c r="B230" s="67" t="n"/>
      <s:c r="C230" s="67" t="n"/>
      <s:c r="D230" s="67" t="n"/>
      <s:c r="E230" s="67" t="n"/>
      <s:c r="F230" s="67" t="n"/>
      <s:c r="G230" s="67" t="n"/>
      <s:c r="H230" s="68" t="n"/>
      <s:c r="I230" s="69" t="str">
        <s:f>IF($H230="","",$H230*Inputs!$C$12)</s:f>
        <s:v/>
      </s:c>
      <s:c r="J230" s="70" t="n"/>
      <s:c r="K230" s="71" t="str">
        <s:f>IF($J230="","",$B$3-$J230)</s:f>
        <s:v/>
      </s:c>
      <s:c r="L230" s="72" t="str">
        <s:f>IFERROR(INDEX('CRM Playbook'!$C$6:$C$10,MATCH($B230,'CRM Playbook'!$B$6:$B$10,0)),"")</s:f>
        <s:v/>
      </s:c>
      <s:c r="M230" s="73" t="str">
        <s:f>IF(OR($J230="",$L230=""),"",$J230+$L230)</s:f>
        <s:v/>
      </s:c>
      <s:c r="N230" s="74" t="str">
        <s:f>IF($A230="","",IF($J230="","NEW - reach out",IF($M230&lt;$B$3,"OVERDUE",IF($M230&lt;=$B$3+3,"DUE","Current"))))</s:f>
        <s:v/>
      </s:c>
      <s:c r="O230" s="67" t="n"/>
      <s:c r="P230" s="67" t="n"/>
      <s:c r="Q230" s="67" t="n"/>
      <s:c r="R230" s="75" t="str">
        <s:f>IF($A230="","",IF($J230="",9999+ROW()/100000,IF($M230&gt;$B$3,"",($B$3-$M230)+ROW()/100000)))</s:f>
        <s:v/>
      </s:c>
    </s:row>
    <s:row r="231">
      <s:c r="A231" s="65" t="n"/>
      <s:c r="B231" s="65" t="n"/>
      <s:c r="C231" s="65" t="n"/>
      <s:c r="D231" s="65" t="n"/>
      <s:c r="E231" s="65" t="n"/>
      <s:c r="F231" s="65" t="n"/>
      <s:c r="G231" s="65" t="n"/>
      <s:c r="H231" s="76" t="n"/>
      <s:c r="I231" s="59" t="str">
        <s:f>IF($H231="","",$H231*Inputs!$C$12)</s:f>
        <s:v/>
      </s:c>
      <s:c r="J231" s="77" t="n"/>
      <s:c r="K231" s="61" t="str">
        <s:f>IF($J231="","",$B$3-$J231)</s:f>
        <s:v/>
      </s:c>
      <s:c r="L231" s="62" t="str">
        <s:f>IFERROR(INDEX('CRM Playbook'!$C$6:$C$10,MATCH($B231,'CRM Playbook'!$B$6:$B$10,0)),"")</s:f>
        <s:v/>
      </s:c>
      <s:c r="M231" s="63" t="str">
        <s:f>IF(OR($J231="",$L231=""),"",$J231+$L231)</s:f>
        <s:v/>
      </s:c>
      <s:c r="N231" s="64" t="str">
        <s:f>IF($A231="","",IF($J231="","NEW - reach out",IF($M231&lt;$B$3,"OVERDUE",IF($M231&lt;=$B$3+3,"DUE","Current"))))</s:f>
        <s:v/>
      </s:c>
      <s:c r="O231" s="65" t="n"/>
      <s:c r="P231" s="65" t="n"/>
      <s:c r="Q231" s="65" t="n"/>
      <s:c r="R231" s="66" t="str">
        <s:f>IF($A231="","",IF($J231="",9999+ROW()/100000,IF($M231&gt;$B$3,"",($B$3-$M231)+ROW()/100000)))</s:f>
        <s:v/>
      </s:c>
    </s:row>
    <s:row r="232">
      <s:c r="A232" s="67" t="n"/>
      <s:c r="B232" s="67" t="n"/>
      <s:c r="C232" s="67" t="n"/>
      <s:c r="D232" s="67" t="n"/>
      <s:c r="E232" s="67" t="n"/>
      <s:c r="F232" s="67" t="n"/>
      <s:c r="G232" s="67" t="n"/>
      <s:c r="H232" s="68" t="n"/>
      <s:c r="I232" s="69" t="str">
        <s:f>IF($H232="","",$H232*Inputs!$C$12)</s:f>
        <s:v/>
      </s:c>
      <s:c r="J232" s="70" t="n"/>
      <s:c r="K232" s="71" t="str">
        <s:f>IF($J232="","",$B$3-$J232)</s:f>
        <s:v/>
      </s:c>
      <s:c r="L232" s="72" t="str">
        <s:f>IFERROR(INDEX('CRM Playbook'!$C$6:$C$10,MATCH($B232,'CRM Playbook'!$B$6:$B$10,0)),"")</s:f>
        <s:v/>
      </s:c>
      <s:c r="M232" s="73" t="str">
        <s:f>IF(OR($J232="",$L232=""),"",$J232+$L232)</s:f>
        <s:v/>
      </s:c>
      <s:c r="N232" s="74" t="str">
        <s:f>IF($A232="","",IF($J232="","NEW - reach out",IF($M232&lt;$B$3,"OVERDUE",IF($M232&lt;=$B$3+3,"DUE","Current"))))</s:f>
        <s:v/>
      </s:c>
      <s:c r="O232" s="67" t="n"/>
      <s:c r="P232" s="67" t="n"/>
      <s:c r="Q232" s="67" t="n"/>
      <s:c r="R232" s="75" t="str">
        <s:f>IF($A232="","",IF($J232="",9999+ROW()/100000,IF($M232&gt;$B$3,"",($B$3-$M232)+ROW()/100000)))</s:f>
        <s:v/>
      </s:c>
    </s:row>
    <s:row r="233">
      <s:c r="A233" s="65" t="n"/>
      <s:c r="B233" s="65" t="n"/>
      <s:c r="C233" s="65" t="n"/>
      <s:c r="D233" s="65" t="n"/>
      <s:c r="E233" s="65" t="n"/>
      <s:c r="F233" s="65" t="n"/>
      <s:c r="G233" s="65" t="n"/>
      <s:c r="H233" s="76" t="n"/>
      <s:c r="I233" s="59" t="str">
        <s:f>IF($H233="","",$H233*Inputs!$C$12)</s:f>
        <s:v/>
      </s:c>
      <s:c r="J233" s="77" t="n"/>
      <s:c r="K233" s="61" t="str">
        <s:f>IF($J233="","",$B$3-$J233)</s:f>
        <s:v/>
      </s:c>
      <s:c r="L233" s="62" t="str">
        <s:f>IFERROR(INDEX('CRM Playbook'!$C$6:$C$10,MATCH($B233,'CRM Playbook'!$B$6:$B$10,0)),"")</s:f>
        <s:v/>
      </s:c>
      <s:c r="M233" s="63" t="str">
        <s:f>IF(OR($J233="",$L233=""),"",$J233+$L233)</s:f>
        <s:v/>
      </s:c>
      <s:c r="N233" s="64" t="str">
        <s:f>IF($A233="","",IF($J233="","NEW - reach out",IF($M233&lt;$B$3,"OVERDUE",IF($M233&lt;=$B$3+3,"DUE","Current"))))</s:f>
        <s:v/>
      </s:c>
      <s:c r="O233" s="65" t="n"/>
      <s:c r="P233" s="65" t="n"/>
      <s:c r="Q233" s="65" t="n"/>
      <s:c r="R233" s="66" t="str">
        <s:f>IF($A233="","",IF($J233="",9999+ROW()/100000,IF($M233&gt;$B$3,"",($B$3-$M233)+ROW()/100000)))</s:f>
        <s:v/>
      </s:c>
    </s:row>
    <s:row r="234">
      <s:c r="A234" s="67" t="n"/>
      <s:c r="B234" s="67" t="n"/>
      <s:c r="C234" s="67" t="n"/>
      <s:c r="D234" s="67" t="n"/>
      <s:c r="E234" s="67" t="n"/>
      <s:c r="F234" s="67" t="n"/>
      <s:c r="G234" s="67" t="n"/>
      <s:c r="H234" s="68" t="n"/>
      <s:c r="I234" s="69" t="str">
        <s:f>IF($H234="","",$H234*Inputs!$C$12)</s:f>
        <s:v/>
      </s:c>
      <s:c r="J234" s="70" t="n"/>
      <s:c r="K234" s="71" t="str">
        <s:f>IF($J234="","",$B$3-$J234)</s:f>
        <s:v/>
      </s:c>
      <s:c r="L234" s="72" t="str">
        <s:f>IFERROR(INDEX('CRM Playbook'!$C$6:$C$10,MATCH($B234,'CRM Playbook'!$B$6:$B$10,0)),"")</s:f>
        <s:v/>
      </s:c>
      <s:c r="M234" s="73" t="str">
        <s:f>IF(OR($J234="",$L234=""),"",$J234+$L234)</s:f>
        <s:v/>
      </s:c>
      <s:c r="N234" s="74" t="str">
        <s:f>IF($A234="","",IF($J234="","NEW - reach out",IF($M234&lt;$B$3,"OVERDUE",IF($M234&lt;=$B$3+3,"DUE","Current"))))</s:f>
        <s:v/>
      </s:c>
      <s:c r="O234" s="67" t="n"/>
      <s:c r="P234" s="67" t="n"/>
      <s:c r="Q234" s="67" t="n"/>
      <s:c r="R234" s="75" t="str">
        <s:f>IF($A234="","",IF($J234="",9999+ROW()/100000,IF($M234&gt;$B$3,"",($B$3-$M234)+ROW()/100000)))</s:f>
        <s:v/>
      </s:c>
    </s:row>
    <s:row r="235">
      <s:c r="A235" s="65" t="n"/>
      <s:c r="B235" s="65" t="n"/>
      <s:c r="C235" s="65" t="n"/>
      <s:c r="D235" s="65" t="n"/>
      <s:c r="E235" s="65" t="n"/>
      <s:c r="F235" s="65" t="n"/>
      <s:c r="G235" s="65" t="n"/>
      <s:c r="H235" s="76" t="n"/>
      <s:c r="I235" s="59" t="str">
        <s:f>IF($H235="","",$H235*Inputs!$C$12)</s:f>
        <s:v/>
      </s:c>
      <s:c r="J235" s="77" t="n"/>
      <s:c r="K235" s="61" t="str">
        <s:f>IF($J235="","",$B$3-$J235)</s:f>
        <s:v/>
      </s:c>
      <s:c r="L235" s="62" t="str">
        <s:f>IFERROR(INDEX('CRM Playbook'!$C$6:$C$10,MATCH($B235,'CRM Playbook'!$B$6:$B$10,0)),"")</s:f>
        <s:v/>
      </s:c>
      <s:c r="M235" s="63" t="str">
        <s:f>IF(OR($J235="",$L235=""),"",$J235+$L235)</s:f>
        <s:v/>
      </s:c>
      <s:c r="N235" s="64" t="str">
        <s:f>IF($A235="","",IF($J235="","NEW - reach out",IF($M235&lt;$B$3,"OVERDUE",IF($M235&lt;=$B$3+3,"DUE","Current"))))</s:f>
        <s:v/>
      </s:c>
      <s:c r="O235" s="65" t="n"/>
      <s:c r="P235" s="65" t="n"/>
      <s:c r="Q235" s="65" t="n"/>
      <s:c r="R235" s="66" t="str">
        <s:f>IF($A235="","",IF($J235="",9999+ROW()/100000,IF($M235&gt;$B$3,"",($B$3-$M235)+ROW()/100000)))</s:f>
        <s:v/>
      </s:c>
    </s:row>
    <s:row r="236">
      <s:c r="A236" s="67" t="n"/>
      <s:c r="B236" s="67" t="n"/>
      <s:c r="C236" s="67" t="n"/>
      <s:c r="D236" s="67" t="n"/>
      <s:c r="E236" s="67" t="n"/>
      <s:c r="F236" s="67" t="n"/>
      <s:c r="G236" s="67" t="n"/>
      <s:c r="H236" s="68" t="n"/>
      <s:c r="I236" s="69" t="str">
        <s:f>IF($H236="","",$H236*Inputs!$C$12)</s:f>
        <s:v/>
      </s:c>
      <s:c r="J236" s="70" t="n"/>
      <s:c r="K236" s="71" t="str">
        <s:f>IF($J236="","",$B$3-$J236)</s:f>
        <s:v/>
      </s:c>
      <s:c r="L236" s="72" t="str">
        <s:f>IFERROR(INDEX('CRM Playbook'!$C$6:$C$10,MATCH($B236,'CRM Playbook'!$B$6:$B$10,0)),"")</s:f>
        <s:v/>
      </s:c>
      <s:c r="M236" s="73" t="str">
        <s:f>IF(OR($J236="",$L236=""),"",$J236+$L236)</s:f>
        <s:v/>
      </s:c>
      <s:c r="N236" s="74" t="str">
        <s:f>IF($A236="","",IF($J236="","NEW - reach out",IF($M236&lt;$B$3,"OVERDUE",IF($M236&lt;=$B$3+3,"DUE","Current"))))</s:f>
        <s:v/>
      </s:c>
      <s:c r="O236" s="67" t="n"/>
      <s:c r="P236" s="67" t="n"/>
      <s:c r="Q236" s="67" t="n"/>
      <s:c r="R236" s="75" t="str">
        <s:f>IF($A236="","",IF($J236="",9999+ROW()/100000,IF($M236&gt;$B$3,"",($B$3-$M236)+ROW()/100000)))</s:f>
        <s:v/>
      </s:c>
    </s:row>
    <s:row r="237">
      <s:c r="A237" s="65" t="n"/>
      <s:c r="B237" s="65" t="n"/>
      <s:c r="C237" s="65" t="n"/>
      <s:c r="D237" s="65" t="n"/>
      <s:c r="E237" s="65" t="n"/>
      <s:c r="F237" s="65" t="n"/>
      <s:c r="G237" s="65" t="n"/>
      <s:c r="H237" s="76" t="n"/>
      <s:c r="I237" s="59" t="str">
        <s:f>IF($H237="","",$H237*Inputs!$C$12)</s:f>
        <s:v/>
      </s:c>
      <s:c r="J237" s="77" t="n"/>
      <s:c r="K237" s="61" t="str">
        <s:f>IF($J237="","",$B$3-$J237)</s:f>
        <s:v/>
      </s:c>
      <s:c r="L237" s="62" t="str">
        <s:f>IFERROR(INDEX('CRM Playbook'!$C$6:$C$10,MATCH($B237,'CRM Playbook'!$B$6:$B$10,0)),"")</s:f>
        <s:v/>
      </s:c>
      <s:c r="M237" s="63" t="str">
        <s:f>IF(OR($J237="",$L237=""),"",$J237+$L237)</s:f>
        <s:v/>
      </s:c>
      <s:c r="N237" s="64" t="str">
        <s:f>IF($A237="","",IF($J237="","NEW - reach out",IF($M237&lt;$B$3,"OVERDUE",IF($M237&lt;=$B$3+3,"DUE","Current"))))</s:f>
        <s:v/>
      </s:c>
      <s:c r="O237" s="65" t="n"/>
      <s:c r="P237" s="65" t="n"/>
      <s:c r="Q237" s="65" t="n"/>
      <s:c r="R237" s="66" t="str">
        <s:f>IF($A237="","",IF($J237="",9999+ROW()/100000,IF($M237&gt;$B$3,"",($B$3-$M237)+ROW()/100000)))</s:f>
        <s:v/>
      </s:c>
    </s:row>
    <s:row r="238">
      <s:c r="A238" s="67" t="n"/>
      <s:c r="B238" s="67" t="n"/>
      <s:c r="C238" s="67" t="n"/>
      <s:c r="D238" s="67" t="n"/>
      <s:c r="E238" s="67" t="n"/>
      <s:c r="F238" s="67" t="n"/>
      <s:c r="G238" s="67" t="n"/>
      <s:c r="H238" s="68" t="n"/>
      <s:c r="I238" s="69" t="str">
        <s:f>IF($H238="","",$H238*Inputs!$C$12)</s:f>
        <s:v/>
      </s:c>
      <s:c r="J238" s="70" t="n"/>
      <s:c r="K238" s="71" t="str">
        <s:f>IF($J238="","",$B$3-$J238)</s:f>
        <s:v/>
      </s:c>
      <s:c r="L238" s="72" t="str">
        <s:f>IFERROR(INDEX('CRM Playbook'!$C$6:$C$10,MATCH($B238,'CRM Playbook'!$B$6:$B$10,0)),"")</s:f>
        <s:v/>
      </s:c>
      <s:c r="M238" s="73" t="str">
        <s:f>IF(OR($J238="",$L238=""),"",$J238+$L238)</s:f>
        <s:v/>
      </s:c>
      <s:c r="N238" s="74" t="str">
        <s:f>IF($A238="","",IF($J238="","NEW - reach out",IF($M238&lt;$B$3,"OVERDUE",IF($M238&lt;=$B$3+3,"DUE","Current"))))</s:f>
        <s:v/>
      </s:c>
      <s:c r="O238" s="67" t="n"/>
      <s:c r="P238" s="67" t="n"/>
      <s:c r="Q238" s="67" t="n"/>
      <s:c r="R238" s="75" t="str">
        <s:f>IF($A238="","",IF($J238="",9999+ROW()/100000,IF($M238&gt;$B$3,"",($B$3-$M238)+ROW()/100000)))</s:f>
        <s:v/>
      </s:c>
    </s:row>
    <s:row r="239">
      <s:c r="A239" s="65" t="n"/>
      <s:c r="B239" s="65" t="n"/>
      <s:c r="C239" s="65" t="n"/>
      <s:c r="D239" s="65" t="n"/>
      <s:c r="E239" s="65" t="n"/>
      <s:c r="F239" s="65" t="n"/>
      <s:c r="G239" s="65" t="n"/>
      <s:c r="H239" s="76" t="n"/>
      <s:c r="I239" s="59" t="str">
        <s:f>IF($H239="","",$H239*Inputs!$C$12)</s:f>
        <s:v/>
      </s:c>
      <s:c r="J239" s="77" t="n"/>
      <s:c r="K239" s="61" t="str">
        <s:f>IF($J239="","",$B$3-$J239)</s:f>
        <s:v/>
      </s:c>
      <s:c r="L239" s="62" t="str">
        <s:f>IFERROR(INDEX('CRM Playbook'!$C$6:$C$10,MATCH($B239,'CRM Playbook'!$B$6:$B$10,0)),"")</s:f>
        <s:v/>
      </s:c>
      <s:c r="M239" s="63" t="str">
        <s:f>IF(OR($J239="",$L239=""),"",$J239+$L239)</s:f>
        <s:v/>
      </s:c>
      <s:c r="N239" s="64" t="str">
        <s:f>IF($A239="","",IF($J239="","NEW - reach out",IF($M239&lt;$B$3,"OVERDUE",IF($M239&lt;=$B$3+3,"DUE","Current"))))</s:f>
        <s:v/>
      </s:c>
      <s:c r="O239" s="65" t="n"/>
      <s:c r="P239" s="65" t="n"/>
      <s:c r="Q239" s="65" t="n"/>
      <s:c r="R239" s="66" t="str">
        <s:f>IF($A239="","",IF($J239="",9999+ROW()/100000,IF($M239&gt;$B$3,"",($B$3-$M239)+ROW()/100000)))</s:f>
        <s:v/>
      </s:c>
    </s:row>
    <s:row r="240">
      <s:c r="A240" s="67" t="n"/>
      <s:c r="B240" s="67" t="n"/>
      <s:c r="C240" s="67" t="n"/>
      <s:c r="D240" s="67" t="n"/>
      <s:c r="E240" s="67" t="n"/>
      <s:c r="F240" s="67" t="n"/>
      <s:c r="G240" s="67" t="n"/>
      <s:c r="H240" s="68" t="n"/>
      <s:c r="I240" s="69" t="str">
        <s:f>IF($H240="","",$H240*Inputs!$C$12)</s:f>
        <s:v/>
      </s:c>
      <s:c r="J240" s="70" t="n"/>
      <s:c r="K240" s="71" t="str">
        <s:f>IF($J240="","",$B$3-$J240)</s:f>
        <s:v/>
      </s:c>
      <s:c r="L240" s="72" t="str">
        <s:f>IFERROR(INDEX('CRM Playbook'!$C$6:$C$10,MATCH($B240,'CRM Playbook'!$B$6:$B$10,0)),"")</s:f>
        <s:v/>
      </s:c>
      <s:c r="M240" s="73" t="str">
        <s:f>IF(OR($J240="",$L240=""),"",$J240+$L240)</s:f>
        <s:v/>
      </s:c>
      <s:c r="N240" s="74" t="str">
        <s:f>IF($A240="","",IF($J240="","NEW - reach out",IF($M240&lt;$B$3,"OVERDUE",IF($M240&lt;=$B$3+3,"DUE","Current"))))</s:f>
        <s:v/>
      </s:c>
      <s:c r="O240" s="67" t="n"/>
      <s:c r="P240" s="67" t="n"/>
      <s:c r="Q240" s="67" t="n"/>
      <s:c r="R240" s="75" t="str">
        <s:f>IF($A240="","",IF($J240="",9999+ROW()/100000,IF($M240&gt;$B$3,"",($B$3-$M240)+ROW()/100000)))</s:f>
        <s:v/>
      </s:c>
    </s:row>
    <s:row r="241">
      <s:c r="A241" s="65" t="n"/>
      <s:c r="B241" s="65" t="n"/>
      <s:c r="C241" s="65" t="n"/>
      <s:c r="D241" s="65" t="n"/>
      <s:c r="E241" s="65" t="n"/>
      <s:c r="F241" s="65" t="n"/>
      <s:c r="G241" s="65" t="n"/>
      <s:c r="H241" s="76" t="n"/>
      <s:c r="I241" s="59" t="str">
        <s:f>IF($H241="","",$H241*Inputs!$C$12)</s:f>
        <s:v/>
      </s:c>
      <s:c r="J241" s="77" t="n"/>
      <s:c r="K241" s="61" t="str">
        <s:f>IF($J241="","",$B$3-$J241)</s:f>
        <s:v/>
      </s:c>
      <s:c r="L241" s="62" t="str">
        <s:f>IFERROR(INDEX('CRM Playbook'!$C$6:$C$10,MATCH($B241,'CRM Playbook'!$B$6:$B$10,0)),"")</s:f>
        <s:v/>
      </s:c>
      <s:c r="M241" s="63" t="str">
        <s:f>IF(OR($J241="",$L241=""),"",$J241+$L241)</s:f>
        <s:v/>
      </s:c>
      <s:c r="N241" s="64" t="str">
        <s:f>IF($A241="","",IF($J241="","NEW - reach out",IF($M241&lt;$B$3,"OVERDUE",IF($M241&lt;=$B$3+3,"DUE","Current"))))</s:f>
        <s:v/>
      </s:c>
      <s:c r="O241" s="65" t="n"/>
      <s:c r="P241" s="65" t="n"/>
      <s:c r="Q241" s="65" t="n"/>
      <s:c r="R241" s="66" t="str">
        <s:f>IF($A241="","",IF($J241="",9999+ROW()/100000,IF($M241&gt;$B$3,"",($B$3-$M241)+ROW()/100000)))</s:f>
        <s:v/>
      </s:c>
    </s:row>
    <s:row r="242">
      <s:c r="A242" s="67" t="n"/>
      <s:c r="B242" s="67" t="n"/>
      <s:c r="C242" s="67" t="n"/>
      <s:c r="D242" s="67" t="n"/>
      <s:c r="E242" s="67" t="n"/>
      <s:c r="F242" s="67" t="n"/>
      <s:c r="G242" s="67" t="n"/>
      <s:c r="H242" s="68" t="n"/>
      <s:c r="I242" s="69" t="str">
        <s:f>IF($H242="","",$H242*Inputs!$C$12)</s:f>
        <s:v/>
      </s:c>
      <s:c r="J242" s="70" t="n"/>
      <s:c r="K242" s="71" t="str">
        <s:f>IF($J242="","",$B$3-$J242)</s:f>
        <s:v/>
      </s:c>
      <s:c r="L242" s="72" t="str">
        <s:f>IFERROR(INDEX('CRM Playbook'!$C$6:$C$10,MATCH($B242,'CRM Playbook'!$B$6:$B$10,0)),"")</s:f>
        <s:v/>
      </s:c>
      <s:c r="M242" s="73" t="str">
        <s:f>IF(OR($J242="",$L242=""),"",$J242+$L242)</s:f>
        <s:v/>
      </s:c>
      <s:c r="N242" s="74" t="str">
        <s:f>IF($A242="","",IF($J242="","NEW - reach out",IF($M242&lt;$B$3,"OVERDUE",IF($M242&lt;=$B$3+3,"DUE","Current"))))</s:f>
        <s:v/>
      </s:c>
      <s:c r="O242" s="67" t="n"/>
      <s:c r="P242" s="67" t="n"/>
      <s:c r="Q242" s="67" t="n"/>
      <s:c r="R242" s="75" t="str">
        <s:f>IF($A242="","",IF($J242="",9999+ROW()/100000,IF($M242&gt;$B$3,"",($B$3-$M242)+ROW()/100000)))</s:f>
        <s:v/>
      </s:c>
    </s:row>
    <s:row r="243">
      <s:c r="A243" s="65" t="n"/>
      <s:c r="B243" s="65" t="n"/>
      <s:c r="C243" s="65" t="n"/>
      <s:c r="D243" s="65" t="n"/>
      <s:c r="E243" s="65" t="n"/>
      <s:c r="F243" s="65" t="n"/>
      <s:c r="G243" s="65" t="n"/>
      <s:c r="H243" s="76" t="n"/>
      <s:c r="I243" s="59" t="str">
        <s:f>IF($H243="","",$H243*Inputs!$C$12)</s:f>
        <s:v/>
      </s:c>
      <s:c r="J243" s="77" t="n"/>
      <s:c r="K243" s="61" t="str">
        <s:f>IF($J243="","",$B$3-$J243)</s:f>
        <s:v/>
      </s:c>
      <s:c r="L243" s="62" t="str">
        <s:f>IFERROR(INDEX('CRM Playbook'!$C$6:$C$10,MATCH($B243,'CRM Playbook'!$B$6:$B$10,0)),"")</s:f>
        <s:v/>
      </s:c>
      <s:c r="M243" s="63" t="str">
        <s:f>IF(OR($J243="",$L243=""),"",$J243+$L243)</s:f>
        <s:v/>
      </s:c>
      <s:c r="N243" s="64" t="str">
        <s:f>IF($A243="","",IF($J243="","NEW - reach out",IF($M243&lt;$B$3,"OVERDUE",IF($M243&lt;=$B$3+3,"DUE","Current"))))</s:f>
        <s:v/>
      </s:c>
      <s:c r="O243" s="65" t="n"/>
      <s:c r="P243" s="65" t="n"/>
      <s:c r="Q243" s="65" t="n"/>
      <s:c r="R243" s="66" t="str">
        <s:f>IF($A243="","",IF($J243="",9999+ROW()/100000,IF($M243&gt;$B$3,"",($B$3-$M243)+ROW()/100000)))</s:f>
        <s:v/>
      </s:c>
    </s:row>
    <s:row r="244">
      <s:c r="A244" s="67" t="n"/>
      <s:c r="B244" s="67" t="n"/>
      <s:c r="C244" s="67" t="n"/>
      <s:c r="D244" s="67" t="n"/>
      <s:c r="E244" s="67" t="n"/>
      <s:c r="F244" s="67" t="n"/>
      <s:c r="G244" s="67" t="n"/>
      <s:c r="H244" s="68" t="n"/>
      <s:c r="I244" s="69" t="str">
        <s:f>IF($H244="","",$H244*Inputs!$C$12)</s:f>
        <s:v/>
      </s:c>
      <s:c r="J244" s="70" t="n"/>
      <s:c r="K244" s="71" t="str">
        <s:f>IF($J244="","",$B$3-$J244)</s:f>
        <s:v/>
      </s:c>
      <s:c r="L244" s="72" t="str">
        <s:f>IFERROR(INDEX('CRM Playbook'!$C$6:$C$10,MATCH($B244,'CRM Playbook'!$B$6:$B$10,0)),"")</s:f>
        <s:v/>
      </s:c>
      <s:c r="M244" s="73" t="str">
        <s:f>IF(OR($J244="",$L244=""),"",$J244+$L244)</s:f>
        <s:v/>
      </s:c>
      <s:c r="N244" s="74" t="str">
        <s:f>IF($A244="","",IF($J244="","NEW - reach out",IF($M244&lt;$B$3,"OVERDUE",IF($M244&lt;=$B$3+3,"DUE","Current"))))</s:f>
        <s:v/>
      </s:c>
      <s:c r="O244" s="67" t="n"/>
      <s:c r="P244" s="67" t="n"/>
      <s:c r="Q244" s="67" t="n"/>
      <s:c r="R244" s="75" t="str">
        <s:f>IF($A244="","",IF($J244="",9999+ROW()/100000,IF($M244&gt;$B$3,"",($B$3-$M244)+ROW()/100000)))</s:f>
        <s:v/>
      </s:c>
    </s:row>
    <s:row r="245">
      <s:c r="A245" s="65" t="n"/>
      <s:c r="B245" s="65" t="n"/>
      <s:c r="C245" s="65" t="n"/>
      <s:c r="D245" s="65" t="n"/>
      <s:c r="E245" s="65" t="n"/>
      <s:c r="F245" s="65" t="n"/>
      <s:c r="G245" s="65" t="n"/>
      <s:c r="H245" s="76" t="n"/>
      <s:c r="I245" s="59" t="str">
        <s:f>IF($H245="","",$H245*Inputs!$C$12)</s:f>
        <s:v/>
      </s:c>
      <s:c r="J245" s="77" t="n"/>
      <s:c r="K245" s="61" t="str">
        <s:f>IF($J245="","",$B$3-$J245)</s:f>
        <s:v/>
      </s:c>
      <s:c r="L245" s="62" t="str">
        <s:f>IFERROR(INDEX('CRM Playbook'!$C$6:$C$10,MATCH($B245,'CRM Playbook'!$B$6:$B$10,0)),"")</s:f>
        <s:v/>
      </s:c>
      <s:c r="M245" s="63" t="str">
        <s:f>IF(OR($J245="",$L245=""),"",$J245+$L245)</s:f>
        <s:v/>
      </s:c>
      <s:c r="N245" s="64" t="str">
        <s:f>IF($A245="","",IF($J245="","NEW - reach out",IF($M245&lt;$B$3,"OVERDUE",IF($M245&lt;=$B$3+3,"DUE","Current"))))</s:f>
        <s:v/>
      </s:c>
      <s:c r="O245" s="65" t="n"/>
      <s:c r="P245" s="65" t="n"/>
      <s:c r="Q245" s="65" t="n"/>
      <s:c r="R245" s="66" t="str">
        <s:f>IF($A245="","",IF($J245="",9999+ROW()/100000,IF($M245&gt;$B$3,"",($B$3-$M245)+ROW()/100000)))</s:f>
        <s:v/>
      </s:c>
    </s:row>
    <s:row r="246">
      <s:c r="A246" s="67" t="n"/>
      <s:c r="B246" s="67" t="n"/>
      <s:c r="C246" s="67" t="n"/>
      <s:c r="D246" s="67" t="n"/>
      <s:c r="E246" s="67" t="n"/>
      <s:c r="F246" s="67" t="n"/>
      <s:c r="G246" s="67" t="n"/>
      <s:c r="H246" s="68" t="n"/>
      <s:c r="I246" s="69" t="str">
        <s:f>IF($H246="","",$H246*Inputs!$C$12)</s:f>
        <s:v/>
      </s:c>
      <s:c r="J246" s="70" t="n"/>
      <s:c r="K246" s="71" t="str">
        <s:f>IF($J246="","",$B$3-$J246)</s:f>
        <s:v/>
      </s:c>
      <s:c r="L246" s="72" t="str">
        <s:f>IFERROR(INDEX('CRM Playbook'!$C$6:$C$10,MATCH($B246,'CRM Playbook'!$B$6:$B$10,0)),"")</s:f>
        <s:v/>
      </s:c>
      <s:c r="M246" s="73" t="str">
        <s:f>IF(OR($J246="",$L246=""),"",$J246+$L246)</s:f>
        <s:v/>
      </s:c>
      <s:c r="N246" s="74" t="str">
        <s:f>IF($A246="","",IF($J246="","NEW - reach out",IF($M246&lt;$B$3,"OVERDUE",IF($M246&lt;=$B$3+3,"DUE","Current"))))</s:f>
        <s:v/>
      </s:c>
      <s:c r="O246" s="67" t="n"/>
      <s:c r="P246" s="67" t="n"/>
      <s:c r="Q246" s="67" t="n"/>
      <s:c r="R246" s="75" t="str">
        <s:f>IF($A246="","",IF($J246="",9999+ROW()/100000,IF($M246&gt;$B$3,"",($B$3-$M246)+ROW()/100000)))</s:f>
        <s:v/>
      </s:c>
    </s:row>
    <s:row r="247">
      <s:c r="A247" s="65" t="n"/>
      <s:c r="B247" s="65" t="n"/>
      <s:c r="C247" s="65" t="n"/>
      <s:c r="D247" s="65" t="n"/>
      <s:c r="E247" s="65" t="n"/>
      <s:c r="F247" s="65" t="n"/>
      <s:c r="G247" s="65" t="n"/>
      <s:c r="H247" s="76" t="n"/>
      <s:c r="I247" s="59" t="str">
        <s:f>IF($H247="","",$H247*Inputs!$C$12)</s:f>
        <s:v/>
      </s:c>
      <s:c r="J247" s="77" t="n"/>
      <s:c r="K247" s="61" t="str">
        <s:f>IF($J247="","",$B$3-$J247)</s:f>
        <s:v/>
      </s:c>
      <s:c r="L247" s="62" t="str">
        <s:f>IFERROR(INDEX('CRM Playbook'!$C$6:$C$10,MATCH($B247,'CRM Playbook'!$B$6:$B$10,0)),"")</s:f>
        <s:v/>
      </s:c>
      <s:c r="M247" s="63" t="str">
        <s:f>IF(OR($J247="",$L247=""),"",$J247+$L247)</s:f>
        <s:v/>
      </s:c>
      <s:c r="N247" s="64" t="str">
        <s:f>IF($A247="","",IF($J247="","NEW - reach out",IF($M247&lt;$B$3,"OVERDUE",IF($M247&lt;=$B$3+3,"DUE","Current"))))</s:f>
        <s:v/>
      </s:c>
      <s:c r="O247" s="65" t="n"/>
      <s:c r="P247" s="65" t="n"/>
      <s:c r="Q247" s="65" t="n"/>
      <s:c r="R247" s="66" t="str">
        <s:f>IF($A247="","",IF($J247="",9999+ROW()/100000,IF($M247&gt;$B$3,"",($B$3-$M247)+ROW()/100000)))</s:f>
        <s:v/>
      </s:c>
    </s:row>
    <s:row r="248">
      <s:c r="A248" s="67" t="n"/>
      <s:c r="B248" s="67" t="n"/>
      <s:c r="C248" s="67" t="n"/>
      <s:c r="D248" s="67" t="n"/>
      <s:c r="E248" s="67" t="n"/>
      <s:c r="F248" s="67" t="n"/>
      <s:c r="G248" s="67" t="n"/>
      <s:c r="H248" s="68" t="n"/>
      <s:c r="I248" s="69" t="str">
        <s:f>IF($H248="","",$H248*Inputs!$C$12)</s:f>
        <s:v/>
      </s:c>
      <s:c r="J248" s="70" t="n"/>
      <s:c r="K248" s="71" t="str">
        <s:f>IF($J248="","",$B$3-$J248)</s:f>
        <s:v/>
      </s:c>
      <s:c r="L248" s="72" t="str">
        <s:f>IFERROR(INDEX('CRM Playbook'!$C$6:$C$10,MATCH($B248,'CRM Playbook'!$B$6:$B$10,0)),"")</s:f>
        <s:v/>
      </s:c>
      <s:c r="M248" s="73" t="str">
        <s:f>IF(OR($J248="",$L248=""),"",$J248+$L248)</s:f>
        <s:v/>
      </s:c>
      <s:c r="N248" s="74" t="str">
        <s:f>IF($A248="","",IF($J248="","NEW - reach out",IF($M248&lt;$B$3,"OVERDUE",IF($M248&lt;=$B$3+3,"DUE","Current"))))</s:f>
        <s:v/>
      </s:c>
      <s:c r="O248" s="67" t="n"/>
      <s:c r="P248" s="67" t="n"/>
      <s:c r="Q248" s="67" t="n"/>
      <s:c r="R248" s="75" t="str">
        <s:f>IF($A248="","",IF($J248="",9999+ROW()/100000,IF($M248&gt;$B$3,"",($B$3-$M248)+ROW()/100000)))</s:f>
        <s:v/>
      </s:c>
    </s:row>
    <s:row r="249">
      <s:c r="A249" s="65" t="n"/>
      <s:c r="B249" s="65" t="n"/>
      <s:c r="C249" s="65" t="n"/>
      <s:c r="D249" s="65" t="n"/>
      <s:c r="E249" s="65" t="n"/>
      <s:c r="F249" s="65" t="n"/>
      <s:c r="G249" s="65" t="n"/>
      <s:c r="H249" s="76" t="n"/>
      <s:c r="I249" s="59" t="str">
        <s:f>IF($H249="","",$H249*Inputs!$C$12)</s:f>
        <s:v/>
      </s:c>
      <s:c r="J249" s="77" t="n"/>
      <s:c r="K249" s="61" t="str">
        <s:f>IF($J249="","",$B$3-$J249)</s:f>
        <s:v/>
      </s:c>
      <s:c r="L249" s="62" t="str">
        <s:f>IFERROR(INDEX('CRM Playbook'!$C$6:$C$10,MATCH($B249,'CRM Playbook'!$B$6:$B$10,0)),"")</s:f>
        <s:v/>
      </s:c>
      <s:c r="M249" s="63" t="str">
        <s:f>IF(OR($J249="",$L249=""),"",$J249+$L249)</s:f>
        <s:v/>
      </s:c>
      <s:c r="N249" s="64" t="str">
        <s:f>IF($A249="","",IF($J249="","NEW - reach out",IF($M249&lt;$B$3,"OVERDUE",IF($M249&lt;=$B$3+3,"DUE","Current"))))</s:f>
        <s:v/>
      </s:c>
      <s:c r="O249" s="65" t="n"/>
      <s:c r="P249" s="65" t="n"/>
      <s:c r="Q249" s="65" t="n"/>
      <s:c r="R249" s="66" t="str">
        <s:f>IF($A249="","",IF($J249="",9999+ROW()/100000,IF($M249&gt;$B$3,"",($B$3-$M249)+ROW()/100000)))</s:f>
        <s:v/>
      </s:c>
    </s:row>
    <s:row r="250">
      <s:c r="A250" s="67" t="n"/>
      <s:c r="B250" s="67" t="n"/>
      <s:c r="C250" s="67" t="n"/>
      <s:c r="D250" s="67" t="n"/>
      <s:c r="E250" s="67" t="n"/>
      <s:c r="F250" s="67" t="n"/>
      <s:c r="G250" s="67" t="n"/>
      <s:c r="H250" s="68" t="n"/>
      <s:c r="I250" s="69" t="str">
        <s:f>IF($H250="","",$H250*Inputs!$C$12)</s:f>
        <s:v/>
      </s:c>
      <s:c r="J250" s="70" t="n"/>
      <s:c r="K250" s="71" t="str">
        <s:f>IF($J250="","",$B$3-$J250)</s:f>
        <s:v/>
      </s:c>
      <s:c r="L250" s="72" t="str">
        <s:f>IFERROR(INDEX('CRM Playbook'!$C$6:$C$10,MATCH($B250,'CRM Playbook'!$B$6:$B$10,0)),"")</s:f>
        <s:v/>
      </s:c>
      <s:c r="M250" s="73" t="str">
        <s:f>IF(OR($J250="",$L250=""),"",$J250+$L250)</s:f>
        <s:v/>
      </s:c>
      <s:c r="N250" s="74" t="str">
        <s:f>IF($A250="","",IF($J250="","NEW - reach out",IF($M250&lt;$B$3,"OVERDUE",IF($M250&lt;=$B$3+3,"DUE","Current"))))</s:f>
        <s:v/>
      </s:c>
      <s:c r="O250" s="67" t="n"/>
      <s:c r="P250" s="67" t="n"/>
      <s:c r="Q250" s="67" t="n"/>
      <s:c r="R250" s="75" t="str">
        <s:f>IF($A250="","",IF($J250="",9999+ROW()/100000,IF($M250&gt;$B$3,"",($B$3-$M250)+ROW()/100000)))</s:f>
        <s:v/>
      </s:c>
    </s:row>
    <s:row r="251">
      <s:c r="A251" s="65" t="n"/>
      <s:c r="B251" s="65" t="n"/>
      <s:c r="C251" s="65" t="n"/>
      <s:c r="D251" s="65" t="n"/>
      <s:c r="E251" s="65" t="n"/>
      <s:c r="F251" s="65" t="n"/>
      <s:c r="G251" s="65" t="n"/>
      <s:c r="H251" s="76" t="n"/>
      <s:c r="I251" s="59" t="str">
        <s:f>IF($H251="","",$H251*Inputs!$C$12)</s:f>
        <s:v/>
      </s:c>
      <s:c r="J251" s="77" t="n"/>
      <s:c r="K251" s="61" t="str">
        <s:f>IF($J251="","",$B$3-$J251)</s:f>
        <s:v/>
      </s:c>
      <s:c r="L251" s="62" t="str">
        <s:f>IFERROR(INDEX('CRM Playbook'!$C$6:$C$10,MATCH($B251,'CRM Playbook'!$B$6:$B$10,0)),"")</s:f>
        <s:v/>
      </s:c>
      <s:c r="M251" s="63" t="str">
        <s:f>IF(OR($J251="",$L251=""),"",$J251+$L251)</s:f>
        <s:v/>
      </s:c>
      <s:c r="N251" s="64" t="str">
        <s:f>IF($A251="","",IF($J251="","NEW - reach out",IF($M251&lt;$B$3,"OVERDUE",IF($M251&lt;=$B$3+3,"DUE","Current"))))</s:f>
        <s:v/>
      </s:c>
      <s:c r="O251" s="65" t="n"/>
      <s:c r="P251" s="65" t="n"/>
      <s:c r="Q251" s="65" t="n"/>
      <s:c r="R251" s="66" t="str">
        <s:f>IF($A251="","",IF($J251="",9999+ROW()/100000,IF($M251&gt;$B$3,"",($B$3-$M251)+ROW()/100000)))</s:f>
        <s:v/>
      </s:c>
    </s:row>
    <s:row r="252">
      <s:c r="A252" s="67" t="n"/>
      <s:c r="B252" s="67" t="n"/>
      <s:c r="C252" s="67" t="n"/>
      <s:c r="D252" s="67" t="n"/>
      <s:c r="E252" s="67" t="n"/>
      <s:c r="F252" s="67" t="n"/>
      <s:c r="G252" s="67" t="n"/>
      <s:c r="H252" s="68" t="n"/>
      <s:c r="I252" s="69" t="str">
        <s:f>IF($H252="","",$H252*Inputs!$C$12)</s:f>
        <s:v/>
      </s:c>
      <s:c r="J252" s="70" t="n"/>
      <s:c r="K252" s="71" t="str">
        <s:f>IF($J252="","",$B$3-$J252)</s:f>
        <s:v/>
      </s:c>
      <s:c r="L252" s="72" t="str">
        <s:f>IFERROR(INDEX('CRM Playbook'!$C$6:$C$10,MATCH($B252,'CRM Playbook'!$B$6:$B$10,0)),"")</s:f>
        <s:v/>
      </s:c>
      <s:c r="M252" s="73" t="str">
        <s:f>IF(OR($J252="",$L252=""),"",$J252+$L252)</s:f>
        <s:v/>
      </s:c>
      <s:c r="N252" s="74" t="str">
        <s:f>IF($A252="","",IF($J252="","NEW - reach out",IF($M252&lt;$B$3,"OVERDUE",IF($M252&lt;=$B$3+3,"DUE","Current"))))</s:f>
        <s:v/>
      </s:c>
      <s:c r="O252" s="67" t="n"/>
      <s:c r="P252" s="67" t="n"/>
      <s:c r="Q252" s="67" t="n"/>
      <s:c r="R252" s="75" t="str">
        <s:f>IF($A252="","",IF($J252="",9999+ROW()/100000,IF($M252&gt;$B$3,"",($B$3-$M252)+ROW()/100000)))</s:f>
        <s:v/>
      </s:c>
    </s:row>
    <s:row r="253">
      <s:c r="A253" s="65" t="n"/>
      <s:c r="B253" s="65" t="n"/>
      <s:c r="C253" s="65" t="n"/>
      <s:c r="D253" s="65" t="n"/>
      <s:c r="E253" s="65" t="n"/>
      <s:c r="F253" s="65" t="n"/>
      <s:c r="G253" s="65" t="n"/>
      <s:c r="H253" s="76" t="n"/>
      <s:c r="I253" s="59" t="str">
        <s:f>IF($H253="","",$H253*Inputs!$C$12)</s:f>
        <s:v/>
      </s:c>
      <s:c r="J253" s="77" t="n"/>
      <s:c r="K253" s="61" t="str">
        <s:f>IF($J253="","",$B$3-$J253)</s:f>
        <s:v/>
      </s:c>
      <s:c r="L253" s="62" t="str">
        <s:f>IFERROR(INDEX('CRM Playbook'!$C$6:$C$10,MATCH($B253,'CRM Playbook'!$B$6:$B$10,0)),"")</s:f>
        <s:v/>
      </s:c>
      <s:c r="M253" s="63" t="str">
        <s:f>IF(OR($J253="",$L253=""),"",$J253+$L253)</s:f>
        <s:v/>
      </s:c>
      <s:c r="N253" s="64" t="str">
        <s:f>IF($A253="","",IF($J253="","NEW - reach out",IF($M253&lt;$B$3,"OVERDUE",IF($M253&lt;=$B$3+3,"DUE","Current"))))</s:f>
        <s:v/>
      </s:c>
      <s:c r="O253" s="65" t="n"/>
      <s:c r="P253" s="65" t="n"/>
      <s:c r="Q253" s="65" t="n"/>
      <s:c r="R253" s="66" t="str">
        <s:f>IF($A253="","",IF($J253="",9999+ROW()/100000,IF($M253&gt;$B$3,"",($B$3-$M253)+ROW()/100000)))</s:f>
        <s:v/>
      </s:c>
    </s:row>
    <s:row r="254">
      <s:c r="A254" s="67" t="n"/>
      <s:c r="B254" s="67" t="n"/>
      <s:c r="C254" s="67" t="n"/>
      <s:c r="D254" s="67" t="n"/>
      <s:c r="E254" s="67" t="n"/>
      <s:c r="F254" s="67" t="n"/>
      <s:c r="G254" s="67" t="n"/>
      <s:c r="H254" s="68" t="n"/>
      <s:c r="I254" s="69" t="str">
        <s:f>IF($H254="","",$H254*Inputs!$C$12)</s:f>
        <s:v/>
      </s:c>
      <s:c r="J254" s="70" t="n"/>
      <s:c r="K254" s="71" t="str">
        <s:f>IF($J254="","",$B$3-$J254)</s:f>
        <s:v/>
      </s:c>
      <s:c r="L254" s="72" t="str">
        <s:f>IFERROR(INDEX('CRM Playbook'!$C$6:$C$10,MATCH($B254,'CRM Playbook'!$B$6:$B$10,0)),"")</s:f>
        <s:v/>
      </s:c>
      <s:c r="M254" s="73" t="str">
        <s:f>IF(OR($J254="",$L254=""),"",$J254+$L254)</s:f>
        <s:v/>
      </s:c>
      <s:c r="N254" s="74" t="str">
        <s:f>IF($A254="","",IF($J254="","NEW - reach out",IF($M254&lt;$B$3,"OVERDUE",IF($M254&lt;=$B$3+3,"DUE","Current"))))</s:f>
        <s:v/>
      </s:c>
      <s:c r="O254" s="67" t="n"/>
      <s:c r="P254" s="67" t="n"/>
      <s:c r="Q254" s="67" t="n"/>
      <s:c r="R254" s="75" t="str">
        <s:f>IF($A254="","",IF($J254="",9999+ROW()/100000,IF($M254&gt;$B$3,"",($B$3-$M254)+ROW()/100000)))</s:f>
        <s:v/>
      </s:c>
    </s:row>
    <s:row r="255">
      <s:c r="A255" s="65" t="n"/>
      <s:c r="B255" s="65" t="n"/>
      <s:c r="C255" s="65" t="n"/>
      <s:c r="D255" s="65" t="n"/>
      <s:c r="E255" s="65" t="n"/>
      <s:c r="F255" s="65" t="n"/>
      <s:c r="G255" s="65" t="n"/>
      <s:c r="H255" s="76" t="n"/>
      <s:c r="I255" s="59" t="str">
        <s:f>IF($H255="","",$H255*Inputs!$C$12)</s:f>
        <s:v/>
      </s:c>
      <s:c r="J255" s="77" t="n"/>
      <s:c r="K255" s="61" t="str">
        <s:f>IF($J255="","",$B$3-$J255)</s:f>
        <s:v/>
      </s:c>
      <s:c r="L255" s="62" t="str">
        <s:f>IFERROR(INDEX('CRM Playbook'!$C$6:$C$10,MATCH($B255,'CRM Playbook'!$B$6:$B$10,0)),"")</s:f>
        <s:v/>
      </s:c>
      <s:c r="M255" s="63" t="str">
        <s:f>IF(OR($J255="",$L255=""),"",$J255+$L255)</s:f>
        <s:v/>
      </s:c>
      <s:c r="N255" s="64" t="str">
        <s:f>IF($A255="","",IF($J255="","NEW - reach out",IF($M255&lt;$B$3,"OVERDUE",IF($M255&lt;=$B$3+3,"DUE","Current"))))</s:f>
        <s:v/>
      </s:c>
      <s:c r="O255" s="65" t="n"/>
      <s:c r="P255" s="65" t="n"/>
      <s:c r="Q255" s="65" t="n"/>
      <s:c r="R255" s="66" t="str">
        <s:f>IF($A255="","",IF($J255="",9999+ROW()/100000,IF($M255&gt;$B$3,"",($B$3-$M255)+ROW()/100000)))</s:f>
        <s:v/>
      </s:c>
    </s:row>
    <s:row r="256">
      <s:c r="A256" s="67" t="n"/>
      <s:c r="B256" s="67" t="n"/>
      <s:c r="C256" s="67" t="n"/>
      <s:c r="D256" s="67" t="n"/>
      <s:c r="E256" s="67" t="n"/>
      <s:c r="F256" s="67" t="n"/>
      <s:c r="G256" s="67" t="n"/>
      <s:c r="H256" s="68" t="n"/>
      <s:c r="I256" s="69" t="str">
        <s:f>IF($H256="","",$H256*Inputs!$C$12)</s:f>
        <s:v/>
      </s:c>
      <s:c r="J256" s="70" t="n"/>
      <s:c r="K256" s="71" t="str">
        <s:f>IF($J256="","",$B$3-$J256)</s:f>
        <s:v/>
      </s:c>
      <s:c r="L256" s="72" t="str">
        <s:f>IFERROR(INDEX('CRM Playbook'!$C$6:$C$10,MATCH($B256,'CRM Playbook'!$B$6:$B$10,0)),"")</s:f>
        <s:v/>
      </s:c>
      <s:c r="M256" s="73" t="str">
        <s:f>IF(OR($J256="",$L256=""),"",$J256+$L256)</s:f>
        <s:v/>
      </s:c>
      <s:c r="N256" s="74" t="str">
        <s:f>IF($A256="","",IF($J256="","NEW - reach out",IF($M256&lt;$B$3,"OVERDUE",IF($M256&lt;=$B$3+3,"DUE","Current"))))</s:f>
        <s:v/>
      </s:c>
      <s:c r="O256" s="67" t="n"/>
      <s:c r="P256" s="67" t="n"/>
      <s:c r="Q256" s="67" t="n"/>
      <s:c r="R256" s="75" t="str">
        <s:f>IF($A256="","",IF($J256="",9999+ROW()/100000,IF($M256&gt;$B$3,"",($B$3-$M256)+ROW()/100000)))</s:f>
        <s:v/>
      </s:c>
    </s:row>
    <s:row r="257">
      <s:c r="A257" s="65" t="n"/>
      <s:c r="B257" s="65" t="n"/>
      <s:c r="C257" s="65" t="n"/>
      <s:c r="D257" s="65" t="n"/>
      <s:c r="E257" s="65" t="n"/>
      <s:c r="F257" s="65" t="n"/>
      <s:c r="G257" s="65" t="n"/>
      <s:c r="H257" s="76" t="n"/>
      <s:c r="I257" s="59" t="str">
        <s:f>IF($H257="","",$H257*Inputs!$C$12)</s:f>
        <s:v/>
      </s:c>
      <s:c r="J257" s="77" t="n"/>
      <s:c r="K257" s="61" t="str">
        <s:f>IF($J257="","",$B$3-$J257)</s:f>
        <s:v/>
      </s:c>
      <s:c r="L257" s="62" t="str">
        <s:f>IFERROR(INDEX('CRM Playbook'!$C$6:$C$10,MATCH($B257,'CRM Playbook'!$B$6:$B$10,0)),"")</s:f>
        <s:v/>
      </s:c>
      <s:c r="M257" s="63" t="str">
        <s:f>IF(OR($J257="",$L257=""),"",$J257+$L257)</s:f>
        <s:v/>
      </s:c>
      <s:c r="N257" s="64" t="str">
        <s:f>IF($A257="","",IF($J257="","NEW - reach out",IF($M257&lt;$B$3,"OVERDUE",IF($M257&lt;=$B$3+3,"DUE","Current"))))</s:f>
        <s:v/>
      </s:c>
      <s:c r="O257" s="65" t="n"/>
      <s:c r="P257" s="65" t="n"/>
      <s:c r="Q257" s="65" t="n"/>
      <s:c r="R257" s="66" t="str">
        <s:f>IF($A257="","",IF($J257="",9999+ROW()/100000,IF($M257&gt;$B$3,"",($B$3-$M257)+ROW()/100000)))</s:f>
        <s:v/>
      </s:c>
    </s:row>
    <s:row r="258">
      <s:c r="A258" s="67" t="n"/>
      <s:c r="B258" s="67" t="n"/>
      <s:c r="C258" s="67" t="n"/>
      <s:c r="D258" s="67" t="n"/>
      <s:c r="E258" s="67" t="n"/>
      <s:c r="F258" s="67" t="n"/>
      <s:c r="G258" s="67" t="n"/>
      <s:c r="H258" s="68" t="n"/>
      <s:c r="I258" s="69" t="str">
        <s:f>IF($H258="","",$H258*Inputs!$C$12)</s:f>
        <s:v/>
      </s:c>
      <s:c r="J258" s="70" t="n"/>
      <s:c r="K258" s="71" t="str">
        <s:f>IF($J258="","",$B$3-$J258)</s:f>
        <s:v/>
      </s:c>
      <s:c r="L258" s="72" t="str">
        <s:f>IFERROR(INDEX('CRM Playbook'!$C$6:$C$10,MATCH($B258,'CRM Playbook'!$B$6:$B$10,0)),"")</s:f>
        <s:v/>
      </s:c>
      <s:c r="M258" s="73" t="str">
        <s:f>IF(OR($J258="",$L258=""),"",$J258+$L258)</s:f>
        <s:v/>
      </s:c>
      <s:c r="N258" s="74" t="str">
        <s:f>IF($A258="","",IF($J258="","NEW - reach out",IF($M258&lt;$B$3,"OVERDUE",IF($M258&lt;=$B$3+3,"DUE","Current"))))</s:f>
        <s:v/>
      </s:c>
      <s:c r="O258" s="67" t="n"/>
      <s:c r="P258" s="67" t="n"/>
      <s:c r="Q258" s="67" t="n"/>
      <s:c r="R258" s="75" t="str">
        <s:f>IF($A258="","",IF($J258="",9999+ROW()/100000,IF($M258&gt;$B$3,"",($B$3-$M258)+ROW()/100000)))</s:f>
        <s:v/>
      </s:c>
    </s:row>
    <s:row r="259">
      <s:c r="A259" s="65" t="n"/>
      <s:c r="B259" s="65" t="n"/>
      <s:c r="C259" s="65" t="n"/>
      <s:c r="D259" s="65" t="n"/>
      <s:c r="E259" s="65" t="n"/>
      <s:c r="F259" s="65" t="n"/>
      <s:c r="G259" s="65" t="n"/>
      <s:c r="H259" s="76" t="n"/>
      <s:c r="I259" s="59" t="str">
        <s:f>IF($H259="","",$H259*Inputs!$C$12)</s:f>
        <s:v/>
      </s:c>
      <s:c r="J259" s="77" t="n"/>
      <s:c r="K259" s="61" t="str">
        <s:f>IF($J259="","",$B$3-$J259)</s:f>
        <s:v/>
      </s:c>
      <s:c r="L259" s="62" t="str">
        <s:f>IFERROR(INDEX('CRM Playbook'!$C$6:$C$10,MATCH($B259,'CRM Playbook'!$B$6:$B$10,0)),"")</s:f>
        <s:v/>
      </s:c>
      <s:c r="M259" s="63" t="str">
        <s:f>IF(OR($J259="",$L259=""),"",$J259+$L259)</s:f>
        <s:v/>
      </s:c>
      <s:c r="N259" s="64" t="str">
        <s:f>IF($A259="","",IF($J259="","NEW - reach out",IF($M259&lt;$B$3,"OVERDUE",IF($M259&lt;=$B$3+3,"DUE","Current"))))</s:f>
        <s:v/>
      </s:c>
      <s:c r="O259" s="65" t="n"/>
      <s:c r="P259" s="65" t="n"/>
      <s:c r="Q259" s="65" t="n"/>
      <s:c r="R259" s="66" t="str">
        <s:f>IF($A259="","",IF($J259="",9999+ROW()/100000,IF($M259&gt;$B$3,"",($B$3-$M259)+ROW()/100000)))</s:f>
        <s:v/>
      </s:c>
    </s:row>
    <s:row r="260">
      <s:c r="A260" s="67" t="n"/>
      <s:c r="B260" s="67" t="n"/>
      <s:c r="C260" s="67" t="n"/>
      <s:c r="D260" s="67" t="n"/>
      <s:c r="E260" s="67" t="n"/>
      <s:c r="F260" s="67" t="n"/>
      <s:c r="G260" s="67" t="n"/>
      <s:c r="H260" s="68" t="n"/>
      <s:c r="I260" s="69" t="str">
        <s:f>IF($H260="","",$H260*Inputs!$C$12)</s:f>
        <s:v/>
      </s:c>
      <s:c r="J260" s="70" t="n"/>
      <s:c r="K260" s="71" t="str">
        <s:f>IF($J260="","",$B$3-$J260)</s:f>
        <s:v/>
      </s:c>
      <s:c r="L260" s="72" t="str">
        <s:f>IFERROR(INDEX('CRM Playbook'!$C$6:$C$10,MATCH($B260,'CRM Playbook'!$B$6:$B$10,0)),"")</s:f>
        <s:v/>
      </s:c>
      <s:c r="M260" s="73" t="str">
        <s:f>IF(OR($J260="",$L260=""),"",$J260+$L260)</s:f>
        <s:v/>
      </s:c>
      <s:c r="N260" s="74" t="str">
        <s:f>IF($A260="","",IF($J260="","NEW - reach out",IF($M260&lt;$B$3,"OVERDUE",IF($M260&lt;=$B$3+3,"DUE","Current"))))</s:f>
        <s:v/>
      </s:c>
      <s:c r="O260" s="67" t="n"/>
      <s:c r="P260" s="67" t="n"/>
      <s:c r="Q260" s="67" t="n"/>
      <s:c r="R260" s="75" t="str">
        <s:f>IF($A260="","",IF($J260="",9999+ROW()/100000,IF($M260&gt;$B$3,"",($B$3-$M260)+ROW()/100000)))</s:f>
        <s:v/>
      </s:c>
    </s:row>
    <s:row r="261">
      <s:c r="A261" s="65" t="n"/>
      <s:c r="B261" s="65" t="n"/>
      <s:c r="C261" s="65" t="n"/>
      <s:c r="D261" s="65" t="n"/>
      <s:c r="E261" s="65" t="n"/>
      <s:c r="F261" s="65" t="n"/>
      <s:c r="G261" s="65" t="n"/>
      <s:c r="H261" s="76" t="n"/>
      <s:c r="I261" s="59" t="str">
        <s:f>IF($H261="","",$H261*Inputs!$C$12)</s:f>
        <s:v/>
      </s:c>
      <s:c r="J261" s="77" t="n"/>
      <s:c r="K261" s="61" t="str">
        <s:f>IF($J261="","",$B$3-$J261)</s:f>
        <s:v/>
      </s:c>
      <s:c r="L261" s="62" t="str">
        <s:f>IFERROR(INDEX('CRM Playbook'!$C$6:$C$10,MATCH($B261,'CRM Playbook'!$B$6:$B$10,0)),"")</s:f>
        <s:v/>
      </s:c>
      <s:c r="M261" s="63" t="str">
        <s:f>IF(OR($J261="",$L261=""),"",$J261+$L261)</s:f>
        <s:v/>
      </s:c>
      <s:c r="N261" s="64" t="str">
        <s:f>IF($A261="","",IF($J261="","NEW - reach out",IF($M261&lt;$B$3,"OVERDUE",IF($M261&lt;=$B$3+3,"DUE","Current"))))</s:f>
        <s:v/>
      </s:c>
      <s:c r="O261" s="65" t="n"/>
      <s:c r="P261" s="65" t="n"/>
      <s:c r="Q261" s="65" t="n"/>
      <s:c r="R261" s="66" t="str">
        <s:f>IF($A261="","",IF($J261="",9999+ROW()/100000,IF($M261&gt;$B$3,"",($B$3-$M261)+ROW()/100000)))</s:f>
        <s:v/>
      </s:c>
    </s:row>
    <s:row r="262">
      <s:c r="A262" s="67" t="n"/>
      <s:c r="B262" s="67" t="n"/>
      <s:c r="C262" s="67" t="n"/>
      <s:c r="D262" s="67" t="n"/>
      <s:c r="E262" s="67" t="n"/>
      <s:c r="F262" s="67" t="n"/>
      <s:c r="G262" s="67" t="n"/>
      <s:c r="H262" s="68" t="n"/>
      <s:c r="I262" s="69" t="str">
        <s:f>IF($H262="","",$H262*Inputs!$C$12)</s:f>
        <s:v/>
      </s:c>
      <s:c r="J262" s="70" t="n"/>
      <s:c r="K262" s="71" t="str">
        <s:f>IF($J262="","",$B$3-$J262)</s:f>
        <s:v/>
      </s:c>
      <s:c r="L262" s="72" t="str">
        <s:f>IFERROR(INDEX('CRM Playbook'!$C$6:$C$10,MATCH($B262,'CRM Playbook'!$B$6:$B$10,0)),"")</s:f>
        <s:v/>
      </s:c>
      <s:c r="M262" s="73" t="str">
        <s:f>IF(OR($J262="",$L262=""),"",$J262+$L262)</s:f>
        <s:v/>
      </s:c>
      <s:c r="N262" s="74" t="str">
        <s:f>IF($A262="","",IF($J262="","NEW - reach out",IF($M262&lt;$B$3,"OVERDUE",IF($M262&lt;=$B$3+3,"DUE","Current"))))</s:f>
        <s:v/>
      </s:c>
      <s:c r="O262" s="67" t="n"/>
      <s:c r="P262" s="67" t="n"/>
      <s:c r="Q262" s="67" t="n"/>
      <s:c r="R262" s="75" t="str">
        <s:f>IF($A262="","",IF($J262="",9999+ROW()/100000,IF($M262&gt;$B$3,"",($B$3-$M262)+ROW()/100000)))</s:f>
        <s:v/>
      </s:c>
    </s:row>
    <s:row r="263">
      <s:c r="A263" s="65" t="n"/>
      <s:c r="B263" s="65" t="n"/>
      <s:c r="C263" s="65" t="n"/>
      <s:c r="D263" s="65" t="n"/>
      <s:c r="E263" s="65" t="n"/>
      <s:c r="F263" s="65" t="n"/>
      <s:c r="G263" s="65" t="n"/>
      <s:c r="H263" s="76" t="n"/>
      <s:c r="I263" s="59" t="str">
        <s:f>IF($H263="","",$H263*Inputs!$C$12)</s:f>
        <s:v/>
      </s:c>
      <s:c r="J263" s="77" t="n"/>
      <s:c r="K263" s="61" t="str">
        <s:f>IF($J263="","",$B$3-$J263)</s:f>
        <s:v/>
      </s:c>
      <s:c r="L263" s="62" t="str">
        <s:f>IFERROR(INDEX('CRM Playbook'!$C$6:$C$10,MATCH($B263,'CRM Playbook'!$B$6:$B$10,0)),"")</s:f>
        <s:v/>
      </s:c>
      <s:c r="M263" s="63" t="str">
        <s:f>IF(OR($J263="",$L263=""),"",$J263+$L263)</s:f>
        <s:v/>
      </s:c>
      <s:c r="N263" s="64" t="str">
        <s:f>IF($A263="","",IF($J263="","NEW - reach out",IF($M263&lt;$B$3,"OVERDUE",IF($M263&lt;=$B$3+3,"DUE","Current"))))</s:f>
        <s:v/>
      </s:c>
      <s:c r="O263" s="65" t="n"/>
      <s:c r="P263" s="65" t="n"/>
      <s:c r="Q263" s="65" t="n"/>
      <s:c r="R263" s="66" t="str">
        <s:f>IF($A263="","",IF($J263="",9999+ROW()/100000,IF($M263&gt;$B$3,"",($B$3-$M263)+ROW()/100000)))</s:f>
        <s:v/>
      </s:c>
    </s:row>
    <s:row r="264">
      <s:c r="A264" s="67" t="n"/>
      <s:c r="B264" s="67" t="n"/>
      <s:c r="C264" s="67" t="n"/>
      <s:c r="D264" s="67" t="n"/>
      <s:c r="E264" s="67" t="n"/>
      <s:c r="F264" s="67" t="n"/>
      <s:c r="G264" s="67" t="n"/>
      <s:c r="H264" s="68" t="n"/>
      <s:c r="I264" s="69" t="str">
        <s:f>IF($H264="","",$H264*Inputs!$C$12)</s:f>
        <s:v/>
      </s:c>
      <s:c r="J264" s="70" t="n"/>
      <s:c r="K264" s="71" t="str">
        <s:f>IF($J264="","",$B$3-$J264)</s:f>
        <s:v/>
      </s:c>
      <s:c r="L264" s="72" t="str">
        <s:f>IFERROR(INDEX('CRM Playbook'!$C$6:$C$10,MATCH($B264,'CRM Playbook'!$B$6:$B$10,0)),"")</s:f>
        <s:v/>
      </s:c>
      <s:c r="M264" s="73" t="str">
        <s:f>IF(OR($J264="",$L264=""),"",$J264+$L264)</s:f>
        <s:v/>
      </s:c>
      <s:c r="N264" s="74" t="str">
        <s:f>IF($A264="","",IF($J264="","NEW - reach out",IF($M264&lt;$B$3,"OVERDUE",IF($M264&lt;=$B$3+3,"DUE","Current"))))</s:f>
        <s:v/>
      </s:c>
      <s:c r="O264" s="67" t="n"/>
      <s:c r="P264" s="67" t="n"/>
      <s:c r="Q264" s="67" t="n"/>
      <s:c r="R264" s="75" t="str">
        <s:f>IF($A264="","",IF($J264="",9999+ROW()/100000,IF($M264&gt;$B$3,"",($B$3-$M264)+ROW()/100000)))</s:f>
        <s:v/>
      </s:c>
    </s:row>
    <s:row r="265">
      <s:c r="A265" s="65" t="n"/>
      <s:c r="B265" s="65" t="n"/>
      <s:c r="C265" s="65" t="n"/>
      <s:c r="D265" s="65" t="n"/>
      <s:c r="E265" s="65" t="n"/>
      <s:c r="F265" s="65" t="n"/>
      <s:c r="G265" s="65" t="n"/>
      <s:c r="H265" s="76" t="n"/>
      <s:c r="I265" s="59" t="str">
        <s:f>IF($H265="","",$H265*Inputs!$C$12)</s:f>
        <s:v/>
      </s:c>
      <s:c r="J265" s="77" t="n"/>
      <s:c r="K265" s="61" t="str">
        <s:f>IF($J265="","",$B$3-$J265)</s:f>
        <s:v/>
      </s:c>
      <s:c r="L265" s="62" t="str">
        <s:f>IFERROR(INDEX('CRM Playbook'!$C$6:$C$10,MATCH($B265,'CRM Playbook'!$B$6:$B$10,0)),"")</s:f>
        <s:v/>
      </s:c>
      <s:c r="M265" s="63" t="str">
        <s:f>IF(OR($J265="",$L265=""),"",$J265+$L265)</s:f>
        <s:v/>
      </s:c>
      <s:c r="N265" s="64" t="str">
        <s:f>IF($A265="","",IF($J265="","NEW - reach out",IF($M265&lt;$B$3,"OVERDUE",IF($M265&lt;=$B$3+3,"DUE","Current"))))</s:f>
        <s:v/>
      </s:c>
      <s:c r="O265" s="65" t="n"/>
      <s:c r="P265" s="65" t="n"/>
      <s:c r="Q265" s="65" t="n"/>
      <s:c r="R265" s="66" t="str">
        <s:f>IF($A265="","",IF($J265="",9999+ROW()/100000,IF($M265&gt;$B$3,"",($B$3-$M265)+ROW()/100000)))</s:f>
        <s:v/>
      </s:c>
    </s:row>
    <s:row r="266">
      <s:c r="A266" s="67" t="n"/>
      <s:c r="B266" s="67" t="n"/>
      <s:c r="C266" s="67" t="n"/>
      <s:c r="D266" s="67" t="n"/>
      <s:c r="E266" s="67" t="n"/>
      <s:c r="F266" s="67" t="n"/>
      <s:c r="G266" s="67" t="n"/>
      <s:c r="H266" s="68" t="n"/>
      <s:c r="I266" s="69" t="str">
        <s:f>IF($H266="","",$H266*Inputs!$C$12)</s:f>
        <s:v/>
      </s:c>
      <s:c r="J266" s="70" t="n"/>
      <s:c r="K266" s="71" t="str">
        <s:f>IF($J266="","",$B$3-$J266)</s:f>
        <s:v/>
      </s:c>
      <s:c r="L266" s="72" t="str">
        <s:f>IFERROR(INDEX('CRM Playbook'!$C$6:$C$10,MATCH($B266,'CRM Playbook'!$B$6:$B$10,0)),"")</s:f>
        <s:v/>
      </s:c>
      <s:c r="M266" s="73" t="str">
        <s:f>IF(OR($J266="",$L266=""),"",$J266+$L266)</s:f>
        <s:v/>
      </s:c>
      <s:c r="N266" s="74" t="str">
        <s:f>IF($A266="","",IF($J266="","NEW - reach out",IF($M266&lt;$B$3,"OVERDUE",IF($M266&lt;=$B$3+3,"DUE","Current"))))</s:f>
        <s:v/>
      </s:c>
      <s:c r="O266" s="67" t="n"/>
      <s:c r="P266" s="67" t="n"/>
      <s:c r="Q266" s="67" t="n"/>
      <s:c r="R266" s="75" t="str">
        <s:f>IF($A266="","",IF($J266="",9999+ROW()/100000,IF($M266&gt;$B$3,"",($B$3-$M266)+ROW()/100000)))</s:f>
        <s:v/>
      </s:c>
    </s:row>
    <s:row r="267">
      <s:c r="A267" s="65" t="n"/>
      <s:c r="B267" s="65" t="n"/>
      <s:c r="C267" s="65" t="n"/>
      <s:c r="D267" s="65" t="n"/>
      <s:c r="E267" s="65" t="n"/>
      <s:c r="F267" s="65" t="n"/>
      <s:c r="G267" s="65" t="n"/>
      <s:c r="H267" s="76" t="n"/>
      <s:c r="I267" s="59" t="str">
        <s:f>IF($H267="","",$H267*Inputs!$C$12)</s:f>
        <s:v/>
      </s:c>
      <s:c r="J267" s="77" t="n"/>
      <s:c r="K267" s="61" t="str">
        <s:f>IF($J267="","",$B$3-$J267)</s:f>
        <s:v/>
      </s:c>
      <s:c r="L267" s="62" t="str">
        <s:f>IFERROR(INDEX('CRM Playbook'!$C$6:$C$10,MATCH($B267,'CRM Playbook'!$B$6:$B$10,0)),"")</s:f>
        <s:v/>
      </s:c>
      <s:c r="M267" s="63" t="str">
        <s:f>IF(OR($J267="",$L267=""),"",$J267+$L267)</s:f>
        <s:v/>
      </s:c>
      <s:c r="N267" s="64" t="str">
        <s:f>IF($A267="","",IF($J267="","NEW - reach out",IF($M267&lt;$B$3,"OVERDUE",IF($M267&lt;=$B$3+3,"DUE","Current"))))</s:f>
        <s:v/>
      </s:c>
      <s:c r="O267" s="65" t="n"/>
      <s:c r="P267" s="65" t="n"/>
      <s:c r="Q267" s="65" t="n"/>
      <s:c r="R267" s="66" t="str">
        <s:f>IF($A267="","",IF($J267="",9999+ROW()/100000,IF($M267&gt;$B$3,"",($B$3-$M267)+ROW()/100000)))</s:f>
        <s:v/>
      </s:c>
    </s:row>
    <s:row r="268">
      <s:c r="A268" s="67" t="n"/>
      <s:c r="B268" s="67" t="n"/>
      <s:c r="C268" s="67" t="n"/>
      <s:c r="D268" s="67" t="n"/>
      <s:c r="E268" s="67" t="n"/>
      <s:c r="F268" s="67" t="n"/>
      <s:c r="G268" s="67" t="n"/>
      <s:c r="H268" s="68" t="n"/>
      <s:c r="I268" s="69" t="str">
        <s:f>IF($H268="","",$H268*Inputs!$C$12)</s:f>
        <s:v/>
      </s:c>
      <s:c r="J268" s="70" t="n"/>
      <s:c r="K268" s="71" t="str">
        <s:f>IF($J268="","",$B$3-$J268)</s:f>
        <s:v/>
      </s:c>
      <s:c r="L268" s="72" t="str">
        <s:f>IFERROR(INDEX('CRM Playbook'!$C$6:$C$10,MATCH($B268,'CRM Playbook'!$B$6:$B$10,0)),"")</s:f>
        <s:v/>
      </s:c>
      <s:c r="M268" s="73" t="str">
        <s:f>IF(OR($J268="",$L268=""),"",$J268+$L268)</s:f>
        <s:v/>
      </s:c>
      <s:c r="N268" s="74" t="str">
        <s:f>IF($A268="","",IF($J268="","NEW - reach out",IF($M268&lt;$B$3,"OVERDUE",IF($M268&lt;=$B$3+3,"DUE","Current"))))</s:f>
        <s:v/>
      </s:c>
      <s:c r="O268" s="67" t="n"/>
      <s:c r="P268" s="67" t="n"/>
      <s:c r="Q268" s="67" t="n"/>
      <s:c r="R268" s="75" t="str">
        <s:f>IF($A268="","",IF($J268="",9999+ROW()/100000,IF($M268&gt;$B$3,"",($B$3-$M268)+ROW()/100000)))</s:f>
        <s:v/>
      </s:c>
    </s:row>
    <s:row r="269">
      <s:c r="A269" s="65" t="n"/>
      <s:c r="B269" s="65" t="n"/>
      <s:c r="C269" s="65" t="n"/>
      <s:c r="D269" s="65" t="n"/>
      <s:c r="E269" s="65" t="n"/>
      <s:c r="F269" s="65" t="n"/>
      <s:c r="G269" s="65" t="n"/>
      <s:c r="H269" s="76" t="n"/>
      <s:c r="I269" s="59" t="str">
        <s:f>IF($H269="","",$H269*Inputs!$C$12)</s:f>
        <s:v/>
      </s:c>
      <s:c r="J269" s="77" t="n"/>
      <s:c r="K269" s="61" t="str">
        <s:f>IF($J269="","",$B$3-$J269)</s:f>
        <s:v/>
      </s:c>
      <s:c r="L269" s="62" t="str">
        <s:f>IFERROR(INDEX('CRM Playbook'!$C$6:$C$10,MATCH($B269,'CRM Playbook'!$B$6:$B$10,0)),"")</s:f>
        <s:v/>
      </s:c>
      <s:c r="M269" s="63" t="str">
        <s:f>IF(OR($J269="",$L269=""),"",$J269+$L269)</s:f>
        <s:v/>
      </s:c>
      <s:c r="N269" s="64" t="str">
        <s:f>IF($A269="","",IF($J269="","NEW - reach out",IF($M269&lt;$B$3,"OVERDUE",IF($M269&lt;=$B$3+3,"DUE","Current"))))</s:f>
        <s:v/>
      </s:c>
      <s:c r="O269" s="65" t="n"/>
      <s:c r="P269" s="65" t="n"/>
      <s:c r="Q269" s="65" t="n"/>
      <s:c r="R269" s="66" t="str">
        <s:f>IF($A269="","",IF($J269="",9999+ROW()/100000,IF($M269&gt;$B$3,"",($B$3-$M269)+ROW()/100000)))</s:f>
        <s:v/>
      </s:c>
    </s:row>
    <s:row r="270">
      <s:c r="A270" s="67" t="n"/>
      <s:c r="B270" s="67" t="n"/>
      <s:c r="C270" s="67" t="n"/>
      <s:c r="D270" s="67" t="n"/>
      <s:c r="E270" s="67" t="n"/>
      <s:c r="F270" s="67" t="n"/>
      <s:c r="G270" s="67" t="n"/>
      <s:c r="H270" s="68" t="n"/>
      <s:c r="I270" s="69" t="str">
        <s:f>IF($H270="","",$H270*Inputs!$C$12)</s:f>
        <s:v/>
      </s:c>
      <s:c r="J270" s="70" t="n"/>
      <s:c r="K270" s="71" t="str">
        <s:f>IF($J270="","",$B$3-$J270)</s:f>
        <s:v/>
      </s:c>
      <s:c r="L270" s="72" t="str">
        <s:f>IFERROR(INDEX('CRM Playbook'!$C$6:$C$10,MATCH($B270,'CRM Playbook'!$B$6:$B$10,0)),"")</s:f>
        <s:v/>
      </s:c>
      <s:c r="M270" s="73" t="str">
        <s:f>IF(OR($J270="",$L270=""),"",$J270+$L270)</s:f>
        <s:v/>
      </s:c>
      <s:c r="N270" s="74" t="str">
        <s:f>IF($A270="","",IF($J270="","NEW - reach out",IF($M270&lt;$B$3,"OVERDUE",IF($M270&lt;=$B$3+3,"DUE","Current"))))</s:f>
        <s:v/>
      </s:c>
      <s:c r="O270" s="67" t="n"/>
      <s:c r="P270" s="67" t="n"/>
      <s:c r="Q270" s="67" t="n"/>
      <s:c r="R270" s="75" t="str">
        <s:f>IF($A270="","",IF($J270="",9999+ROW()/100000,IF($M270&gt;$B$3,"",($B$3-$M270)+ROW()/100000)))</s:f>
        <s:v/>
      </s:c>
    </s:row>
    <s:row r="271">
      <s:c r="A271" s="65" t="n"/>
      <s:c r="B271" s="65" t="n"/>
      <s:c r="C271" s="65" t="n"/>
      <s:c r="D271" s="65" t="n"/>
      <s:c r="E271" s="65" t="n"/>
      <s:c r="F271" s="65" t="n"/>
      <s:c r="G271" s="65" t="n"/>
      <s:c r="H271" s="76" t="n"/>
      <s:c r="I271" s="59" t="str">
        <s:f>IF($H271="","",$H271*Inputs!$C$12)</s:f>
        <s:v/>
      </s:c>
      <s:c r="J271" s="77" t="n"/>
      <s:c r="K271" s="61" t="str">
        <s:f>IF($J271="","",$B$3-$J271)</s:f>
        <s:v/>
      </s:c>
      <s:c r="L271" s="62" t="str">
        <s:f>IFERROR(INDEX('CRM Playbook'!$C$6:$C$10,MATCH($B271,'CRM Playbook'!$B$6:$B$10,0)),"")</s:f>
        <s:v/>
      </s:c>
      <s:c r="M271" s="63" t="str">
        <s:f>IF(OR($J271="",$L271=""),"",$J271+$L271)</s:f>
        <s:v/>
      </s:c>
      <s:c r="N271" s="64" t="str">
        <s:f>IF($A271="","",IF($J271="","NEW - reach out",IF($M271&lt;$B$3,"OVERDUE",IF($M271&lt;=$B$3+3,"DUE","Current"))))</s:f>
        <s:v/>
      </s:c>
      <s:c r="O271" s="65" t="n"/>
      <s:c r="P271" s="65" t="n"/>
      <s:c r="Q271" s="65" t="n"/>
      <s:c r="R271" s="66" t="str">
        <s:f>IF($A271="","",IF($J271="",9999+ROW()/100000,IF($M271&gt;$B$3,"",($B$3-$M271)+ROW()/100000)))</s:f>
        <s:v/>
      </s:c>
    </s:row>
    <s:row r="272">
      <s:c r="A272" s="67" t="n"/>
      <s:c r="B272" s="67" t="n"/>
      <s:c r="C272" s="67" t="n"/>
      <s:c r="D272" s="67" t="n"/>
      <s:c r="E272" s="67" t="n"/>
      <s:c r="F272" s="67" t="n"/>
      <s:c r="G272" s="67" t="n"/>
      <s:c r="H272" s="68" t="n"/>
      <s:c r="I272" s="69" t="str">
        <s:f>IF($H272="","",$H272*Inputs!$C$12)</s:f>
        <s:v/>
      </s:c>
      <s:c r="J272" s="70" t="n"/>
      <s:c r="K272" s="71" t="str">
        <s:f>IF($J272="","",$B$3-$J272)</s:f>
        <s:v/>
      </s:c>
      <s:c r="L272" s="72" t="str">
        <s:f>IFERROR(INDEX('CRM Playbook'!$C$6:$C$10,MATCH($B272,'CRM Playbook'!$B$6:$B$10,0)),"")</s:f>
        <s:v/>
      </s:c>
      <s:c r="M272" s="73" t="str">
        <s:f>IF(OR($J272="",$L272=""),"",$J272+$L272)</s:f>
        <s:v/>
      </s:c>
      <s:c r="N272" s="74" t="str">
        <s:f>IF($A272="","",IF($J272="","NEW - reach out",IF($M272&lt;$B$3,"OVERDUE",IF($M272&lt;=$B$3+3,"DUE","Current"))))</s:f>
        <s:v/>
      </s:c>
      <s:c r="O272" s="67" t="n"/>
      <s:c r="P272" s="67" t="n"/>
      <s:c r="Q272" s="67" t="n"/>
      <s:c r="R272" s="75" t="str">
        <s:f>IF($A272="","",IF($J272="",9999+ROW()/100000,IF($M272&gt;$B$3,"",($B$3-$M272)+ROW()/100000)))</s:f>
        <s:v/>
      </s:c>
    </s:row>
    <s:row r="273">
      <s:c r="A273" s="65" t="n"/>
      <s:c r="B273" s="65" t="n"/>
      <s:c r="C273" s="65" t="n"/>
      <s:c r="D273" s="65" t="n"/>
      <s:c r="E273" s="65" t="n"/>
      <s:c r="F273" s="65" t="n"/>
      <s:c r="G273" s="65" t="n"/>
      <s:c r="H273" s="76" t="n"/>
      <s:c r="I273" s="59" t="str">
        <s:f>IF($H273="","",$H273*Inputs!$C$12)</s:f>
        <s:v/>
      </s:c>
      <s:c r="J273" s="77" t="n"/>
      <s:c r="K273" s="61" t="str">
        <s:f>IF($J273="","",$B$3-$J273)</s:f>
        <s:v/>
      </s:c>
      <s:c r="L273" s="62" t="str">
        <s:f>IFERROR(INDEX('CRM Playbook'!$C$6:$C$10,MATCH($B273,'CRM Playbook'!$B$6:$B$10,0)),"")</s:f>
        <s:v/>
      </s:c>
      <s:c r="M273" s="63" t="str">
        <s:f>IF(OR($J273="",$L273=""),"",$J273+$L273)</s:f>
        <s:v/>
      </s:c>
      <s:c r="N273" s="64" t="str">
        <s:f>IF($A273="","",IF($J273="","NEW - reach out",IF($M273&lt;$B$3,"OVERDUE",IF($M273&lt;=$B$3+3,"DUE","Current"))))</s:f>
        <s:v/>
      </s:c>
      <s:c r="O273" s="65" t="n"/>
      <s:c r="P273" s="65" t="n"/>
      <s:c r="Q273" s="65" t="n"/>
      <s:c r="R273" s="66" t="str">
        <s:f>IF($A273="","",IF($J273="",9999+ROW()/100000,IF($M273&gt;$B$3,"",($B$3-$M273)+ROW()/100000)))</s:f>
        <s:v/>
      </s:c>
    </s:row>
    <s:row r="274">
      <s:c r="A274" s="67" t="n"/>
      <s:c r="B274" s="67" t="n"/>
      <s:c r="C274" s="67" t="n"/>
      <s:c r="D274" s="67" t="n"/>
      <s:c r="E274" s="67" t="n"/>
      <s:c r="F274" s="67" t="n"/>
      <s:c r="G274" s="67" t="n"/>
      <s:c r="H274" s="68" t="n"/>
      <s:c r="I274" s="69" t="str">
        <s:f>IF($H274="","",$H274*Inputs!$C$12)</s:f>
        <s:v/>
      </s:c>
      <s:c r="J274" s="70" t="n"/>
      <s:c r="K274" s="71" t="str">
        <s:f>IF($J274="","",$B$3-$J274)</s:f>
        <s:v/>
      </s:c>
      <s:c r="L274" s="72" t="str">
        <s:f>IFERROR(INDEX('CRM Playbook'!$C$6:$C$10,MATCH($B274,'CRM Playbook'!$B$6:$B$10,0)),"")</s:f>
        <s:v/>
      </s:c>
      <s:c r="M274" s="73" t="str">
        <s:f>IF(OR($J274="",$L274=""),"",$J274+$L274)</s:f>
        <s:v/>
      </s:c>
      <s:c r="N274" s="74" t="str">
        <s:f>IF($A274="","",IF($J274="","NEW - reach out",IF($M274&lt;$B$3,"OVERDUE",IF($M274&lt;=$B$3+3,"DUE","Current"))))</s:f>
        <s:v/>
      </s:c>
      <s:c r="O274" s="67" t="n"/>
      <s:c r="P274" s="67" t="n"/>
      <s:c r="Q274" s="67" t="n"/>
      <s:c r="R274" s="75" t="str">
        <s:f>IF($A274="","",IF($J274="",9999+ROW()/100000,IF($M274&gt;$B$3,"",($B$3-$M274)+ROW()/100000)))</s:f>
        <s:v/>
      </s:c>
    </s:row>
    <s:row r="275">
      <s:c r="A275" s="65" t="n"/>
      <s:c r="B275" s="65" t="n"/>
      <s:c r="C275" s="65" t="n"/>
      <s:c r="D275" s="65" t="n"/>
      <s:c r="E275" s="65" t="n"/>
      <s:c r="F275" s="65" t="n"/>
      <s:c r="G275" s="65" t="n"/>
      <s:c r="H275" s="76" t="n"/>
      <s:c r="I275" s="59" t="str">
        <s:f>IF($H275="","",$H275*Inputs!$C$12)</s:f>
        <s:v/>
      </s:c>
      <s:c r="J275" s="77" t="n"/>
      <s:c r="K275" s="61" t="str">
        <s:f>IF($J275="","",$B$3-$J275)</s:f>
        <s:v/>
      </s:c>
      <s:c r="L275" s="62" t="str">
        <s:f>IFERROR(INDEX('CRM Playbook'!$C$6:$C$10,MATCH($B275,'CRM Playbook'!$B$6:$B$10,0)),"")</s:f>
        <s:v/>
      </s:c>
      <s:c r="M275" s="63" t="str">
        <s:f>IF(OR($J275="",$L275=""),"",$J275+$L275)</s:f>
        <s:v/>
      </s:c>
      <s:c r="N275" s="64" t="str">
        <s:f>IF($A275="","",IF($J275="","NEW - reach out",IF($M275&lt;$B$3,"OVERDUE",IF($M275&lt;=$B$3+3,"DUE","Current"))))</s:f>
        <s:v/>
      </s:c>
      <s:c r="O275" s="65" t="n"/>
      <s:c r="P275" s="65" t="n"/>
      <s:c r="Q275" s="65" t="n"/>
      <s:c r="R275" s="66" t="str">
        <s:f>IF($A275="","",IF($J275="",9999+ROW()/100000,IF($M275&gt;$B$3,"",($B$3-$M275)+ROW()/100000)))</s:f>
        <s:v/>
      </s:c>
    </s:row>
    <s:row r="276">
      <s:c r="A276" s="67" t="n"/>
      <s:c r="B276" s="67" t="n"/>
      <s:c r="C276" s="67" t="n"/>
      <s:c r="D276" s="67" t="n"/>
      <s:c r="E276" s="67" t="n"/>
      <s:c r="F276" s="67" t="n"/>
      <s:c r="G276" s="67" t="n"/>
      <s:c r="H276" s="68" t="n"/>
      <s:c r="I276" s="69" t="str">
        <s:f>IF($H276="","",$H276*Inputs!$C$12)</s:f>
        <s:v/>
      </s:c>
      <s:c r="J276" s="70" t="n"/>
      <s:c r="K276" s="71" t="str">
        <s:f>IF($J276="","",$B$3-$J276)</s:f>
        <s:v/>
      </s:c>
      <s:c r="L276" s="72" t="str">
        <s:f>IFERROR(INDEX('CRM Playbook'!$C$6:$C$10,MATCH($B276,'CRM Playbook'!$B$6:$B$10,0)),"")</s:f>
        <s:v/>
      </s:c>
      <s:c r="M276" s="73" t="str">
        <s:f>IF(OR($J276="",$L276=""),"",$J276+$L276)</s:f>
        <s:v/>
      </s:c>
      <s:c r="N276" s="74" t="str">
        <s:f>IF($A276="","",IF($J276="","NEW - reach out",IF($M276&lt;$B$3,"OVERDUE",IF($M276&lt;=$B$3+3,"DUE","Current"))))</s:f>
        <s:v/>
      </s:c>
      <s:c r="O276" s="67" t="n"/>
      <s:c r="P276" s="67" t="n"/>
      <s:c r="Q276" s="67" t="n"/>
      <s:c r="R276" s="75" t="str">
        <s:f>IF($A276="","",IF($J276="",9999+ROW()/100000,IF($M276&gt;$B$3,"",($B$3-$M276)+ROW()/100000)))</s:f>
        <s:v/>
      </s:c>
    </s:row>
    <s:row r="277">
      <s:c r="A277" s="65" t="n"/>
      <s:c r="B277" s="65" t="n"/>
      <s:c r="C277" s="65" t="n"/>
      <s:c r="D277" s="65" t="n"/>
      <s:c r="E277" s="65" t="n"/>
      <s:c r="F277" s="65" t="n"/>
      <s:c r="G277" s="65" t="n"/>
      <s:c r="H277" s="76" t="n"/>
      <s:c r="I277" s="59" t="str">
        <s:f>IF($H277="","",$H277*Inputs!$C$12)</s:f>
        <s:v/>
      </s:c>
      <s:c r="J277" s="77" t="n"/>
      <s:c r="K277" s="61" t="str">
        <s:f>IF($J277="","",$B$3-$J277)</s:f>
        <s:v/>
      </s:c>
      <s:c r="L277" s="62" t="str">
        <s:f>IFERROR(INDEX('CRM Playbook'!$C$6:$C$10,MATCH($B277,'CRM Playbook'!$B$6:$B$10,0)),"")</s:f>
        <s:v/>
      </s:c>
      <s:c r="M277" s="63" t="str">
        <s:f>IF(OR($J277="",$L277=""),"",$J277+$L277)</s:f>
        <s:v/>
      </s:c>
      <s:c r="N277" s="64" t="str">
        <s:f>IF($A277="","",IF($J277="","NEW - reach out",IF($M277&lt;$B$3,"OVERDUE",IF($M277&lt;=$B$3+3,"DUE","Current"))))</s:f>
        <s:v/>
      </s:c>
      <s:c r="O277" s="65" t="n"/>
      <s:c r="P277" s="65" t="n"/>
      <s:c r="Q277" s="65" t="n"/>
      <s:c r="R277" s="66" t="str">
        <s:f>IF($A277="","",IF($J277="",9999+ROW()/100000,IF($M277&gt;$B$3,"",($B$3-$M277)+ROW()/100000)))</s:f>
        <s:v/>
      </s:c>
    </s:row>
    <s:row r="278">
      <s:c r="A278" s="67" t="n"/>
      <s:c r="B278" s="67" t="n"/>
      <s:c r="C278" s="67" t="n"/>
      <s:c r="D278" s="67" t="n"/>
      <s:c r="E278" s="67" t="n"/>
      <s:c r="F278" s="67" t="n"/>
      <s:c r="G278" s="67" t="n"/>
      <s:c r="H278" s="68" t="n"/>
      <s:c r="I278" s="69" t="str">
        <s:f>IF($H278="","",$H278*Inputs!$C$12)</s:f>
        <s:v/>
      </s:c>
      <s:c r="J278" s="70" t="n"/>
      <s:c r="K278" s="71" t="str">
        <s:f>IF($J278="","",$B$3-$J278)</s:f>
        <s:v/>
      </s:c>
      <s:c r="L278" s="72" t="str">
        <s:f>IFERROR(INDEX('CRM Playbook'!$C$6:$C$10,MATCH($B278,'CRM Playbook'!$B$6:$B$10,0)),"")</s:f>
        <s:v/>
      </s:c>
      <s:c r="M278" s="73" t="str">
        <s:f>IF(OR($J278="",$L278=""),"",$J278+$L278)</s:f>
        <s:v/>
      </s:c>
      <s:c r="N278" s="74" t="str">
        <s:f>IF($A278="","",IF($J278="","NEW - reach out",IF($M278&lt;$B$3,"OVERDUE",IF($M278&lt;=$B$3+3,"DUE","Current"))))</s:f>
        <s:v/>
      </s:c>
      <s:c r="O278" s="67" t="n"/>
      <s:c r="P278" s="67" t="n"/>
      <s:c r="Q278" s="67" t="n"/>
      <s:c r="R278" s="75" t="str">
        <s:f>IF($A278="","",IF($J278="",9999+ROW()/100000,IF($M278&gt;$B$3,"",($B$3-$M278)+ROW()/100000)))</s:f>
        <s:v/>
      </s:c>
    </s:row>
    <s:row r="279">
      <s:c r="A279" s="65" t="n"/>
      <s:c r="B279" s="65" t="n"/>
      <s:c r="C279" s="65" t="n"/>
      <s:c r="D279" s="65" t="n"/>
      <s:c r="E279" s="65" t="n"/>
      <s:c r="F279" s="65" t="n"/>
      <s:c r="G279" s="65" t="n"/>
      <s:c r="H279" s="76" t="n"/>
      <s:c r="I279" s="59" t="str">
        <s:f>IF($H279="","",$H279*Inputs!$C$12)</s:f>
        <s:v/>
      </s:c>
      <s:c r="J279" s="77" t="n"/>
      <s:c r="K279" s="61" t="str">
        <s:f>IF($J279="","",$B$3-$J279)</s:f>
        <s:v/>
      </s:c>
      <s:c r="L279" s="62" t="str">
        <s:f>IFERROR(INDEX('CRM Playbook'!$C$6:$C$10,MATCH($B279,'CRM Playbook'!$B$6:$B$10,0)),"")</s:f>
        <s:v/>
      </s:c>
      <s:c r="M279" s="63" t="str">
        <s:f>IF(OR($J279="",$L279=""),"",$J279+$L279)</s:f>
        <s:v/>
      </s:c>
      <s:c r="N279" s="64" t="str">
        <s:f>IF($A279="","",IF($J279="","NEW - reach out",IF($M279&lt;$B$3,"OVERDUE",IF($M279&lt;=$B$3+3,"DUE","Current"))))</s:f>
        <s:v/>
      </s:c>
      <s:c r="O279" s="65" t="n"/>
      <s:c r="P279" s="65" t="n"/>
      <s:c r="Q279" s="65" t="n"/>
      <s:c r="R279" s="66" t="str">
        <s:f>IF($A279="","",IF($J279="",9999+ROW()/100000,IF($M279&gt;$B$3,"",($B$3-$M279)+ROW()/100000)))</s:f>
        <s:v/>
      </s:c>
    </s:row>
    <s:row r="280">
      <s:c r="A280" s="67" t="n"/>
      <s:c r="B280" s="67" t="n"/>
      <s:c r="C280" s="67" t="n"/>
      <s:c r="D280" s="67" t="n"/>
      <s:c r="E280" s="67" t="n"/>
      <s:c r="F280" s="67" t="n"/>
      <s:c r="G280" s="67" t="n"/>
      <s:c r="H280" s="68" t="n"/>
      <s:c r="I280" s="69" t="str">
        <s:f>IF($H280="","",$H280*Inputs!$C$12)</s:f>
        <s:v/>
      </s:c>
      <s:c r="J280" s="70" t="n"/>
      <s:c r="K280" s="71" t="str">
        <s:f>IF($J280="","",$B$3-$J280)</s:f>
        <s:v/>
      </s:c>
      <s:c r="L280" s="72" t="str">
        <s:f>IFERROR(INDEX('CRM Playbook'!$C$6:$C$10,MATCH($B280,'CRM Playbook'!$B$6:$B$10,0)),"")</s:f>
        <s:v/>
      </s:c>
      <s:c r="M280" s="73" t="str">
        <s:f>IF(OR($J280="",$L280=""),"",$J280+$L280)</s:f>
        <s:v/>
      </s:c>
      <s:c r="N280" s="74" t="str">
        <s:f>IF($A280="","",IF($J280="","NEW - reach out",IF($M280&lt;$B$3,"OVERDUE",IF($M280&lt;=$B$3+3,"DUE","Current"))))</s:f>
        <s:v/>
      </s:c>
      <s:c r="O280" s="67" t="n"/>
      <s:c r="P280" s="67" t="n"/>
      <s:c r="Q280" s="67" t="n"/>
      <s:c r="R280" s="75" t="str">
        <s:f>IF($A280="","",IF($J280="",9999+ROW()/100000,IF($M280&gt;$B$3,"",($B$3-$M280)+ROW()/100000)))</s:f>
        <s:v/>
      </s:c>
    </s:row>
    <s:row r="281">
      <s:c r="A281" s="65" t="n"/>
      <s:c r="B281" s="65" t="n"/>
      <s:c r="C281" s="65" t="n"/>
      <s:c r="D281" s="65" t="n"/>
      <s:c r="E281" s="65" t="n"/>
      <s:c r="F281" s="65" t="n"/>
      <s:c r="G281" s="65" t="n"/>
      <s:c r="H281" s="76" t="n"/>
      <s:c r="I281" s="59" t="str">
        <s:f>IF($H281="","",$H281*Inputs!$C$12)</s:f>
        <s:v/>
      </s:c>
      <s:c r="J281" s="77" t="n"/>
      <s:c r="K281" s="61" t="str">
        <s:f>IF($J281="","",$B$3-$J281)</s:f>
        <s:v/>
      </s:c>
      <s:c r="L281" s="62" t="str">
        <s:f>IFERROR(INDEX('CRM Playbook'!$C$6:$C$10,MATCH($B281,'CRM Playbook'!$B$6:$B$10,0)),"")</s:f>
        <s:v/>
      </s:c>
      <s:c r="M281" s="63" t="str">
        <s:f>IF(OR($J281="",$L281=""),"",$J281+$L281)</s:f>
        <s:v/>
      </s:c>
      <s:c r="N281" s="64" t="str">
        <s:f>IF($A281="","",IF($J281="","NEW - reach out",IF($M281&lt;$B$3,"OVERDUE",IF($M281&lt;=$B$3+3,"DUE","Current"))))</s:f>
        <s:v/>
      </s:c>
      <s:c r="O281" s="65" t="n"/>
      <s:c r="P281" s="65" t="n"/>
      <s:c r="Q281" s="65" t="n"/>
      <s:c r="R281" s="66" t="str">
        <s:f>IF($A281="","",IF($J281="",9999+ROW()/100000,IF($M281&gt;$B$3,"",($B$3-$M281)+ROW()/100000)))</s:f>
        <s:v/>
      </s:c>
    </s:row>
    <s:row r="282">
      <s:c r="A282" s="67" t="n"/>
      <s:c r="B282" s="67" t="n"/>
      <s:c r="C282" s="67" t="n"/>
      <s:c r="D282" s="67" t="n"/>
      <s:c r="E282" s="67" t="n"/>
      <s:c r="F282" s="67" t="n"/>
      <s:c r="G282" s="67" t="n"/>
      <s:c r="H282" s="68" t="n"/>
      <s:c r="I282" s="69" t="str">
        <s:f>IF($H282="","",$H282*Inputs!$C$12)</s:f>
        <s:v/>
      </s:c>
      <s:c r="J282" s="70" t="n"/>
      <s:c r="K282" s="71" t="str">
        <s:f>IF($J282="","",$B$3-$J282)</s:f>
        <s:v/>
      </s:c>
      <s:c r="L282" s="72" t="str">
        <s:f>IFERROR(INDEX('CRM Playbook'!$C$6:$C$10,MATCH($B282,'CRM Playbook'!$B$6:$B$10,0)),"")</s:f>
        <s:v/>
      </s:c>
      <s:c r="M282" s="73" t="str">
        <s:f>IF(OR($J282="",$L282=""),"",$J282+$L282)</s:f>
        <s:v/>
      </s:c>
      <s:c r="N282" s="74" t="str">
        <s:f>IF($A282="","",IF($J282="","NEW - reach out",IF($M282&lt;$B$3,"OVERDUE",IF($M282&lt;=$B$3+3,"DUE","Current"))))</s:f>
        <s:v/>
      </s:c>
      <s:c r="O282" s="67" t="n"/>
      <s:c r="P282" s="67" t="n"/>
      <s:c r="Q282" s="67" t="n"/>
      <s:c r="R282" s="75" t="str">
        <s:f>IF($A282="","",IF($J282="",9999+ROW()/100000,IF($M282&gt;$B$3,"",($B$3-$M282)+ROW()/100000)))</s:f>
        <s:v/>
      </s:c>
    </s:row>
    <s:row r="283">
      <s:c r="A283" s="65" t="n"/>
      <s:c r="B283" s="65" t="n"/>
      <s:c r="C283" s="65" t="n"/>
      <s:c r="D283" s="65" t="n"/>
      <s:c r="E283" s="65" t="n"/>
      <s:c r="F283" s="65" t="n"/>
      <s:c r="G283" s="65" t="n"/>
      <s:c r="H283" s="76" t="n"/>
      <s:c r="I283" s="59" t="str">
        <s:f>IF($H283="","",$H283*Inputs!$C$12)</s:f>
        <s:v/>
      </s:c>
      <s:c r="J283" s="77" t="n"/>
      <s:c r="K283" s="61" t="str">
        <s:f>IF($J283="","",$B$3-$J283)</s:f>
        <s:v/>
      </s:c>
      <s:c r="L283" s="62" t="str">
        <s:f>IFERROR(INDEX('CRM Playbook'!$C$6:$C$10,MATCH($B283,'CRM Playbook'!$B$6:$B$10,0)),"")</s:f>
        <s:v/>
      </s:c>
      <s:c r="M283" s="63" t="str">
        <s:f>IF(OR($J283="",$L283=""),"",$J283+$L283)</s:f>
        <s:v/>
      </s:c>
      <s:c r="N283" s="64" t="str">
        <s:f>IF($A283="","",IF($J283="","NEW - reach out",IF($M283&lt;$B$3,"OVERDUE",IF($M283&lt;=$B$3+3,"DUE","Current"))))</s:f>
        <s:v/>
      </s:c>
      <s:c r="O283" s="65" t="n"/>
      <s:c r="P283" s="65" t="n"/>
      <s:c r="Q283" s="65" t="n"/>
      <s:c r="R283" s="66" t="str">
        <s:f>IF($A283="","",IF($J283="",9999+ROW()/100000,IF($M283&gt;$B$3,"",($B$3-$M283)+ROW()/100000)))</s:f>
        <s:v/>
      </s:c>
    </s:row>
    <s:row r="284">
      <s:c r="A284" s="67" t="n"/>
      <s:c r="B284" s="67" t="n"/>
      <s:c r="C284" s="67" t="n"/>
      <s:c r="D284" s="67" t="n"/>
      <s:c r="E284" s="67" t="n"/>
      <s:c r="F284" s="67" t="n"/>
      <s:c r="G284" s="67" t="n"/>
      <s:c r="H284" s="68" t="n"/>
      <s:c r="I284" s="69" t="str">
        <s:f>IF($H284="","",$H284*Inputs!$C$12)</s:f>
        <s:v/>
      </s:c>
      <s:c r="J284" s="70" t="n"/>
      <s:c r="K284" s="71" t="str">
        <s:f>IF($J284="","",$B$3-$J284)</s:f>
        <s:v/>
      </s:c>
      <s:c r="L284" s="72" t="str">
        <s:f>IFERROR(INDEX('CRM Playbook'!$C$6:$C$10,MATCH($B284,'CRM Playbook'!$B$6:$B$10,0)),"")</s:f>
        <s:v/>
      </s:c>
      <s:c r="M284" s="73" t="str">
        <s:f>IF(OR($J284="",$L284=""),"",$J284+$L284)</s:f>
        <s:v/>
      </s:c>
      <s:c r="N284" s="74" t="str">
        <s:f>IF($A284="","",IF($J284="","NEW - reach out",IF($M284&lt;$B$3,"OVERDUE",IF($M284&lt;=$B$3+3,"DUE","Current"))))</s:f>
        <s:v/>
      </s:c>
      <s:c r="O284" s="67" t="n"/>
      <s:c r="P284" s="67" t="n"/>
      <s:c r="Q284" s="67" t="n"/>
      <s:c r="R284" s="75" t="str">
        <s:f>IF($A284="","",IF($J284="",9999+ROW()/100000,IF($M284&gt;$B$3,"",($B$3-$M284)+ROW()/100000)))</s:f>
        <s:v/>
      </s:c>
    </s:row>
    <s:row r="285">
      <s:c r="A285" s="65" t="n"/>
      <s:c r="B285" s="65" t="n"/>
      <s:c r="C285" s="65" t="n"/>
      <s:c r="D285" s="65" t="n"/>
      <s:c r="E285" s="65" t="n"/>
      <s:c r="F285" s="65" t="n"/>
      <s:c r="G285" s="65" t="n"/>
      <s:c r="H285" s="76" t="n"/>
      <s:c r="I285" s="59" t="str">
        <s:f>IF($H285="","",$H285*Inputs!$C$12)</s:f>
        <s:v/>
      </s:c>
      <s:c r="J285" s="77" t="n"/>
      <s:c r="K285" s="61" t="str">
        <s:f>IF($J285="","",$B$3-$J285)</s:f>
        <s:v/>
      </s:c>
      <s:c r="L285" s="62" t="str">
        <s:f>IFERROR(INDEX('CRM Playbook'!$C$6:$C$10,MATCH($B285,'CRM Playbook'!$B$6:$B$10,0)),"")</s:f>
        <s:v/>
      </s:c>
      <s:c r="M285" s="63" t="str">
        <s:f>IF(OR($J285="",$L285=""),"",$J285+$L285)</s:f>
        <s:v/>
      </s:c>
      <s:c r="N285" s="64" t="str">
        <s:f>IF($A285="","",IF($J285="","NEW - reach out",IF($M285&lt;$B$3,"OVERDUE",IF($M285&lt;=$B$3+3,"DUE","Current"))))</s:f>
        <s:v/>
      </s:c>
      <s:c r="O285" s="65" t="n"/>
      <s:c r="P285" s="65" t="n"/>
      <s:c r="Q285" s="65" t="n"/>
      <s:c r="R285" s="66" t="str">
        <s:f>IF($A285="","",IF($J285="",9999+ROW()/100000,IF($M285&gt;$B$3,"",($B$3-$M285)+ROW()/100000)))</s:f>
        <s:v/>
      </s:c>
    </s:row>
    <s:row r="286">
      <s:c r="A286" s="67" t="n"/>
      <s:c r="B286" s="67" t="n"/>
      <s:c r="C286" s="67" t="n"/>
      <s:c r="D286" s="67" t="n"/>
      <s:c r="E286" s="67" t="n"/>
      <s:c r="F286" s="67" t="n"/>
      <s:c r="G286" s="67" t="n"/>
      <s:c r="H286" s="68" t="n"/>
      <s:c r="I286" s="69" t="str">
        <s:f>IF($H286="","",$H286*Inputs!$C$12)</s:f>
        <s:v/>
      </s:c>
      <s:c r="J286" s="70" t="n"/>
      <s:c r="K286" s="71" t="str">
        <s:f>IF($J286="","",$B$3-$J286)</s:f>
        <s:v/>
      </s:c>
      <s:c r="L286" s="72" t="str">
        <s:f>IFERROR(INDEX('CRM Playbook'!$C$6:$C$10,MATCH($B286,'CRM Playbook'!$B$6:$B$10,0)),"")</s:f>
        <s:v/>
      </s:c>
      <s:c r="M286" s="73" t="str">
        <s:f>IF(OR($J286="",$L286=""),"",$J286+$L286)</s:f>
        <s:v/>
      </s:c>
      <s:c r="N286" s="74" t="str">
        <s:f>IF($A286="","",IF($J286="","NEW - reach out",IF($M286&lt;$B$3,"OVERDUE",IF($M286&lt;=$B$3+3,"DUE","Current"))))</s:f>
        <s:v/>
      </s:c>
      <s:c r="O286" s="67" t="n"/>
      <s:c r="P286" s="67" t="n"/>
      <s:c r="Q286" s="67" t="n"/>
      <s:c r="R286" s="75" t="str">
        <s:f>IF($A286="","",IF($J286="",9999+ROW()/100000,IF($M286&gt;$B$3,"",($B$3-$M286)+ROW()/100000)))</s:f>
        <s:v/>
      </s:c>
    </s:row>
    <s:row r="287">
      <s:c r="A287" s="65" t="n"/>
      <s:c r="B287" s="65" t="n"/>
      <s:c r="C287" s="65" t="n"/>
      <s:c r="D287" s="65" t="n"/>
      <s:c r="E287" s="65" t="n"/>
      <s:c r="F287" s="65" t="n"/>
      <s:c r="G287" s="65" t="n"/>
      <s:c r="H287" s="76" t="n"/>
      <s:c r="I287" s="59" t="str">
        <s:f>IF($H287="","",$H287*Inputs!$C$12)</s:f>
        <s:v/>
      </s:c>
      <s:c r="J287" s="77" t="n"/>
      <s:c r="K287" s="61" t="str">
        <s:f>IF($J287="","",$B$3-$J287)</s:f>
        <s:v/>
      </s:c>
      <s:c r="L287" s="62" t="str">
        <s:f>IFERROR(INDEX('CRM Playbook'!$C$6:$C$10,MATCH($B287,'CRM Playbook'!$B$6:$B$10,0)),"")</s:f>
        <s:v/>
      </s:c>
      <s:c r="M287" s="63" t="str">
        <s:f>IF(OR($J287="",$L287=""),"",$J287+$L287)</s:f>
        <s:v/>
      </s:c>
      <s:c r="N287" s="64" t="str">
        <s:f>IF($A287="","",IF($J287="","NEW - reach out",IF($M287&lt;$B$3,"OVERDUE",IF($M287&lt;=$B$3+3,"DUE","Current"))))</s:f>
        <s:v/>
      </s:c>
      <s:c r="O287" s="65" t="n"/>
      <s:c r="P287" s="65" t="n"/>
      <s:c r="Q287" s="65" t="n"/>
      <s:c r="R287" s="66" t="str">
        <s:f>IF($A287="","",IF($J287="",9999+ROW()/100000,IF($M287&gt;$B$3,"",($B$3-$M287)+ROW()/100000)))</s:f>
        <s:v/>
      </s:c>
    </s:row>
    <s:row r="288">
      <s:c r="A288" s="67" t="n"/>
      <s:c r="B288" s="67" t="n"/>
      <s:c r="C288" s="67" t="n"/>
      <s:c r="D288" s="67" t="n"/>
      <s:c r="E288" s="67" t="n"/>
      <s:c r="F288" s="67" t="n"/>
      <s:c r="G288" s="67" t="n"/>
      <s:c r="H288" s="68" t="n"/>
      <s:c r="I288" s="69" t="str">
        <s:f>IF($H288="","",$H288*Inputs!$C$12)</s:f>
        <s:v/>
      </s:c>
      <s:c r="J288" s="70" t="n"/>
      <s:c r="K288" s="71" t="str">
        <s:f>IF($J288="","",$B$3-$J288)</s:f>
        <s:v/>
      </s:c>
      <s:c r="L288" s="72" t="str">
        <s:f>IFERROR(INDEX('CRM Playbook'!$C$6:$C$10,MATCH($B288,'CRM Playbook'!$B$6:$B$10,0)),"")</s:f>
        <s:v/>
      </s:c>
      <s:c r="M288" s="73" t="str">
        <s:f>IF(OR($J288="",$L288=""),"",$J288+$L288)</s:f>
        <s:v/>
      </s:c>
      <s:c r="N288" s="74" t="str">
        <s:f>IF($A288="","",IF($J288="","NEW - reach out",IF($M288&lt;$B$3,"OVERDUE",IF($M288&lt;=$B$3+3,"DUE","Current"))))</s:f>
        <s:v/>
      </s:c>
      <s:c r="O288" s="67" t="n"/>
      <s:c r="P288" s="67" t="n"/>
      <s:c r="Q288" s="67" t="n"/>
      <s:c r="R288" s="75" t="str">
        <s:f>IF($A288="","",IF($J288="",9999+ROW()/100000,IF($M288&gt;$B$3,"",($B$3-$M288)+ROW()/100000)))</s:f>
        <s:v/>
      </s:c>
    </s:row>
    <s:row r="289">
      <s:c r="A289" s="65" t="n"/>
      <s:c r="B289" s="65" t="n"/>
      <s:c r="C289" s="65" t="n"/>
      <s:c r="D289" s="65" t="n"/>
      <s:c r="E289" s="65" t="n"/>
      <s:c r="F289" s="65" t="n"/>
      <s:c r="G289" s="65" t="n"/>
      <s:c r="H289" s="76" t="n"/>
      <s:c r="I289" s="59" t="str">
        <s:f>IF($H289="","",$H289*Inputs!$C$12)</s:f>
        <s:v/>
      </s:c>
      <s:c r="J289" s="77" t="n"/>
      <s:c r="K289" s="61" t="str">
        <s:f>IF($J289="","",$B$3-$J289)</s:f>
        <s:v/>
      </s:c>
      <s:c r="L289" s="62" t="str">
        <s:f>IFERROR(INDEX('CRM Playbook'!$C$6:$C$10,MATCH($B289,'CRM Playbook'!$B$6:$B$10,0)),"")</s:f>
        <s:v/>
      </s:c>
      <s:c r="M289" s="63" t="str">
        <s:f>IF(OR($J289="",$L289=""),"",$J289+$L289)</s:f>
        <s:v/>
      </s:c>
      <s:c r="N289" s="64" t="str">
        <s:f>IF($A289="","",IF($J289="","NEW - reach out",IF($M289&lt;$B$3,"OVERDUE",IF($M289&lt;=$B$3+3,"DUE","Current"))))</s:f>
        <s:v/>
      </s:c>
      <s:c r="O289" s="65" t="n"/>
      <s:c r="P289" s="65" t="n"/>
      <s:c r="Q289" s="65" t="n"/>
      <s:c r="R289" s="66" t="str">
        <s:f>IF($A289="","",IF($J289="",9999+ROW()/100000,IF($M289&gt;$B$3,"",($B$3-$M289)+ROW()/100000)))</s:f>
        <s:v/>
      </s:c>
    </s:row>
    <s:row r="290">
      <s:c r="A290" s="67" t="n"/>
      <s:c r="B290" s="67" t="n"/>
      <s:c r="C290" s="67" t="n"/>
      <s:c r="D290" s="67" t="n"/>
      <s:c r="E290" s="67" t="n"/>
      <s:c r="F290" s="67" t="n"/>
      <s:c r="G290" s="67" t="n"/>
      <s:c r="H290" s="68" t="n"/>
      <s:c r="I290" s="69" t="str">
        <s:f>IF($H290="","",$H290*Inputs!$C$12)</s:f>
        <s:v/>
      </s:c>
      <s:c r="J290" s="70" t="n"/>
      <s:c r="K290" s="71" t="str">
        <s:f>IF($J290="","",$B$3-$J290)</s:f>
        <s:v/>
      </s:c>
      <s:c r="L290" s="72" t="str">
        <s:f>IFERROR(INDEX('CRM Playbook'!$C$6:$C$10,MATCH($B290,'CRM Playbook'!$B$6:$B$10,0)),"")</s:f>
        <s:v/>
      </s:c>
      <s:c r="M290" s="73" t="str">
        <s:f>IF(OR($J290="",$L290=""),"",$J290+$L290)</s:f>
        <s:v/>
      </s:c>
      <s:c r="N290" s="74" t="str">
        <s:f>IF($A290="","",IF($J290="","NEW - reach out",IF($M290&lt;$B$3,"OVERDUE",IF($M290&lt;=$B$3+3,"DUE","Current"))))</s:f>
        <s:v/>
      </s:c>
      <s:c r="O290" s="67" t="n"/>
      <s:c r="P290" s="67" t="n"/>
      <s:c r="Q290" s="67" t="n"/>
      <s:c r="R290" s="75" t="str">
        <s:f>IF($A290="","",IF($J290="",9999+ROW()/100000,IF($M290&gt;$B$3,"",($B$3-$M290)+ROW()/100000)))</s:f>
        <s:v/>
      </s:c>
    </s:row>
    <s:row r="291">
      <s:c r="A291" s="65" t="n"/>
      <s:c r="B291" s="65" t="n"/>
      <s:c r="C291" s="65" t="n"/>
      <s:c r="D291" s="65" t="n"/>
      <s:c r="E291" s="65" t="n"/>
      <s:c r="F291" s="65" t="n"/>
      <s:c r="G291" s="65" t="n"/>
      <s:c r="H291" s="76" t="n"/>
      <s:c r="I291" s="59" t="str">
        <s:f>IF($H291="","",$H291*Inputs!$C$12)</s:f>
        <s:v/>
      </s:c>
      <s:c r="J291" s="77" t="n"/>
      <s:c r="K291" s="61" t="str">
        <s:f>IF($J291="","",$B$3-$J291)</s:f>
        <s:v/>
      </s:c>
      <s:c r="L291" s="62" t="str">
        <s:f>IFERROR(INDEX('CRM Playbook'!$C$6:$C$10,MATCH($B291,'CRM Playbook'!$B$6:$B$10,0)),"")</s:f>
        <s:v/>
      </s:c>
      <s:c r="M291" s="63" t="str">
        <s:f>IF(OR($J291="",$L291=""),"",$J291+$L291)</s:f>
        <s:v/>
      </s:c>
      <s:c r="N291" s="64" t="str">
        <s:f>IF($A291="","",IF($J291="","NEW - reach out",IF($M291&lt;$B$3,"OVERDUE",IF($M291&lt;=$B$3+3,"DUE","Current"))))</s:f>
        <s:v/>
      </s:c>
      <s:c r="O291" s="65" t="n"/>
      <s:c r="P291" s="65" t="n"/>
      <s:c r="Q291" s="65" t="n"/>
      <s:c r="R291" s="66" t="str">
        <s:f>IF($A291="","",IF($J291="",9999+ROW()/100000,IF($M291&gt;$B$3,"",($B$3-$M291)+ROW()/100000)))</s:f>
        <s:v/>
      </s:c>
    </s:row>
    <s:row r="292">
      <s:c r="A292" s="67" t="n"/>
      <s:c r="B292" s="67" t="n"/>
      <s:c r="C292" s="67" t="n"/>
      <s:c r="D292" s="67" t="n"/>
      <s:c r="E292" s="67" t="n"/>
      <s:c r="F292" s="67" t="n"/>
      <s:c r="G292" s="67" t="n"/>
      <s:c r="H292" s="68" t="n"/>
      <s:c r="I292" s="69" t="str">
        <s:f>IF($H292="","",$H292*Inputs!$C$12)</s:f>
        <s:v/>
      </s:c>
      <s:c r="J292" s="70" t="n"/>
      <s:c r="K292" s="71" t="str">
        <s:f>IF($J292="","",$B$3-$J292)</s:f>
        <s:v/>
      </s:c>
      <s:c r="L292" s="72" t="str">
        <s:f>IFERROR(INDEX('CRM Playbook'!$C$6:$C$10,MATCH($B292,'CRM Playbook'!$B$6:$B$10,0)),"")</s:f>
        <s:v/>
      </s:c>
      <s:c r="M292" s="73" t="str">
        <s:f>IF(OR($J292="",$L292=""),"",$J292+$L292)</s:f>
        <s:v/>
      </s:c>
      <s:c r="N292" s="74" t="str">
        <s:f>IF($A292="","",IF($J292="","NEW - reach out",IF($M292&lt;$B$3,"OVERDUE",IF($M292&lt;=$B$3+3,"DUE","Current"))))</s:f>
        <s:v/>
      </s:c>
      <s:c r="O292" s="67" t="n"/>
      <s:c r="P292" s="67" t="n"/>
      <s:c r="Q292" s="67" t="n"/>
      <s:c r="R292" s="75" t="str">
        <s:f>IF($A292="","",IF($J292="",9999+ROW()/100000,IF($M292&gt;$B$3,"",($B$3-$M292)+ROW()/100000)))</s:f>
        <s:v/>
      </s:c>
    </s:row>
    <s:row r="293">
      <s:c r="A293" s="65" t="n"/>
      <s:c r="B293" s="65" t="n"/>
      <s:c r="C293" s="65" t="n"/>
      <s:c r="D293" s="65" t="n"/>
      <s:c r="E293" s="65" t="n"/>
      <s:c r="F293" s="65" t="n"/>
      <s:c r="G293" s="65" t="n"/>
      <s:c r="H293" s="76" t="n"/>
      <s:c r="I293" s="59" t="str">
        <s:f>IF($H293="","",$H293*Inputs!$C$12)</s:f>
        <s:v/>
      </s:c>
      <s:c r="J293" s="77" t="n"/>
      <s:c r="K293" s="61" t="str">
        <s:f>IF($J293="","",$B$3-$J293)</s:f>
        <s:v/>
      </s:c>
      <s:c r="L293" s="62" t="str">
        <s:f>IFERROR(INDEX('CRM Playbook'!$C$6:$C$10,MATCH($B293,'CRM Playbook'!$B$6:$B$10,0)),"")</s:f>
        <s:v/>
      </s:c>
      <s:c r="M293" s="63" t="str">
        <s:f>IF(OR($J293="",$L293=""),"",$J293+$L293)</s:f>
        <s:v/>
      </s:c>
      <s:c r="N293" s="64" t="str">
        <s:f>IF($A293="","",IF($J293="","NEW - reach out",IF($M293&lt;$B$3,"OVERDUE",IF($M293&lt;=$B$3+3,"DUE","Current"))))</s:f>
        <s:v/>
      </s:c>
      <s:c r="O293" s="65" t="n"/>
      <s:c r="P293" s="65" t="n"/>
      <s:c r="Q293" s="65" t="n"/>
      <s:c r="R293" s="66" t="str">
        <s:f>IF($A293="","",IF($J293="",9999+ROW()/100000,IF($M293&gt;$B$3,"",($B$3-$M293)+ROW()/100000)))</s:f>
        <s:v/>
      </s:c>
    </s:row>
    <s:row r="294">
      <s:c r="A294" s="67" t="n"/>
      <s:c r="B294" s="67" t="n"/>
      <s:c r="C294" s="67" t="n"/>
      <s:c r="D294" s="67" t="n"/>
      <s:c r="E294" s="67" t="n"/>
      <s:c r="F294" s="67" t="n"/>
      <s:c r="G294" s="67" t="n"/>
      <s:c r="H294" s="68" t="n"/>
      <s:c r="I294" s="69" t="str">
        <s:f>IF($H294="","",$H294*Inputs!$C$12)</s:f>
        <s:v/>
      </s:c>
      <s:c r="J294" s="70" t="n"/>
      <s:c r="K294" s="71" t="str">
        <s:f>IF($J294="","",$B$3-$J294)</s:f>
        <s:v/>
      </s:c>
      <s:c r="L294" s="72" t="str">
        <s:f>IFERROR(INDEX('CRM Playbook'!$C$6:$C$10,MATCH($B294,'CRM Playbook'!$B$6:$B$10,0)),"")</s:f>
        <s:v/>
      </s:c>
      <s:c r="M294" s="73" t="str">
        <s:f>IF(OR($J294="",$L294=""),"",$J294+$L294)</s:f>
        <s:v/>
      </s:c>
      <s:c r="N294" s="74" t="str">
        <s:f>IF($A294="","",IF($J294="","NEW - reach out",IF($M294&lt;$B$3,"OVERDUE",IF($M294&lt;=$B$3+3,"DUE","Current"))))</s:f>
        <s:v/>
      </s:c>
      <s:c r="O294" s="67" t="n"/>
      <s:c r="P294" s="67" t="n"/>
      <s:c r="Q294" s="67" t="n"/>
      <s:c r="R294" s="75" t="str">
        <s:f>IF($A294="","",IF($J294="",9999+ROW()/100000,IF($M294&gt;$B$3,"",($B$3-$M294)+ROW()/100000)))</s:f>
        <s:v/>
      </s:c>
    </s:row>
    <s:row r="295">
      <s:c r="A295" s="65" t="n"/>
      <s:c r="B295" s="65" t="n"/>
      <s:c r="C295" s="65" t="n"/>
      <s:c r="D295" s="65" t="n"/>
      <s:c r="E295" s="65" t="n"/>
      <s:c r="F295" s="65" t="n"/>
      <s:c r="G295" s="65" t="n"/>
      <s:c r="H295" s="76" t="n"/>
      <s:c r="I295" s="59" t="str">
        <s:f>IF($H295="","",$H295*Inputs!$C$12)</s:f>
        <s:v/>
      </s:c>
      <s:c r="J295" s="77" t="n"/>
      <s:c r="K295" s="61" t="str">
        <s:f>IF($J295="","",$B$3-$J295)</s:f>
        <s:v/>
      </s:c>
      <s:c r="L295" s="62" t="str">
        <s:f>IFERROR(INDEX('CRM Playbook'!$C$6:$C$10,MATCH($B295,'CRM Playbook'!$B$6:$B$10,0)),"")</s:f>
        <s:v/>
      </s:c>
      <s:c r="M295" s="63" t="str">
        <s:f>IF(OR($J295="",$L295=""),"",$J295+$L295)</s:f>
        <s:v/>
      </s:c>
      <s:c r="N295" s="64" t="str">
        <s:f>IF($A295="","",IF($J295="","NEW - reach out",IF($M295&lt;$B$3,"OVERDUE",IF($M295&lt;=$B$3+3,"DUE","Current"))))</s:f>
        <s:v/>
      </s:c>
      <s:c r="O295" s="65" t="n"/>
      <s:c r="P295" s="65" t="n"/>
      <s:c r="Q295" s="65" t="n"/>
      <s:c r="R295" s="66" t="str">
        <s:f>IF($A295="","",IF($J295="",9999+ROW()/100000,IF($M295&gt;$B$3,"",($B$3-$M295)+ROW()/100000)))</s:f>
        <s:v/>
      </s:c>
    </s:row>
    <s:row r="296">
      <s:c r="A296" s="67" t="n"/>
      <s:c r="B296" s="67" t="n"/>
      <s:c r="C296" s="67" t="n"/>
      <s:c r="D296" s="67" t="n"/>
      <s:c r="E296" s="67" t="n"/>
      <s:c r="F296" s="67" t="n"/>
      <s:c r="G296" s="67" t="n"/>
      <s:c r="H296" s="68" t="n"/>
      <s:c r="I296" s="69" t="str">
        <s:f>IF($H296="","",$H296*Inputs!$C$12)</s:f>
        <s:v/>
      </s:c>
      <s:c r="J296" s="70" t="n"/>
      <s:c r="K296" s="71" t="str">
        <s:f>IF($J296="","",$B$3-$J296)</s:f>
        <s:v/>
      </s:c>
      <s:c r="L296" s="72" t="str">
        <s:f>IFERROR(INDEX('CRM Playbook'!$C$6:$C$10,MATCH($B296,'CRM Playbook'!$B$6:$B$10,0)),"")</s:f>
        <s:v/>
      </s:c>
      <s:c r="M296" s="73" t="str">
        <s:f>IF(OR($J296="",$L296=""),"",$J296+$L296)</s:f>
        <s:v/>
      </s:c>
      <s:c r="N296" s="74" t="str">
        <s:f>IF($A296="","",IF($J296="","NEW - reach out",IF($M296&lt;$B$3,"OVERDUE",IF($M296&lt;=$B$3+3,"DUE","Current"))))</s:f>
        <s:v/>
      </s:c>
      <s:c r="O296" s="67" t="n"/>
      <s:c r="P296" s="67" t="n"/>
      <s:c r="Q296" s="67" t="n"/>
      <s:c r="R296" s="75" t="str">
        <s:f>IF($A296="","",IF($J296="",9999+ROW()/100000,IF($M296&gt;$B$3,"",($B$3-$M296)+ROW()/100000)))</s:f>
        <s:v/>
      </s:c>
    </s:row>
    <s:row r="297">
      <s:c r="A297" s="65" t="n"/>
      <s:c r="B297" s="65" t="n"/>
      <s:c r="C297" s="65" t="n"/>
      <s:c r="D297" s="65" t="n"/>
      <s:c r="E297" s="65" t="n"/>
      <s:c r="F297" s="65" t="n"/>
      <s:c r="G297" s="65" t="n"/>
      <s:c r="H297" s="76" t="n"/>
      <s:c r="I297" s="59" t="str">
        <s:f>IF($H297="","",$H297*Inputs!$C$12)</s:f>
        <s:v/>
      </s:c>
      <s:c r="J297" s="77" t="n"/>
      <s:c r="K297" s="61" t="str">
        <s:f>IF($J297="","",$B$3-$J297)</s:f>
        <s:v/>
      </s:c>
      <s:c r="L297" s="62" t="str">
        <s:f>IFERROR(INDEX('CRM Playbook'!$C$6:$C$10,MATCH($B297,'CRM Playbook'!$B$6:$B$10,0)),"")</s:f>
        <s:v/>
      </s:c>
      <s:c r="M297" s="63" t="str">
        <s:f>IF(OR($J297="",$L297=""),"",$J297+$L297)</s:f>
        <s:v/>
      </s:c>
      <s:c r="N297" s="64" t="str">
        <s:f>IF($A297="","",IF($J297="","NEW - reach out",IF($M297&lt;$B$3,"OVERDUE",IF($M297&lt;=$B$3+3,"DUE","Current"))))</s:f>
        <s:v/>
      </s:c>
      <s:c r="O297" s="65" t="n"/>
      <s:c r="P297" s="65" t="n"/>
      <s:c r="Q297" s="65" t="n"/>
      <s:c r="R297" s="66" t="str">
        <s:f>IF($A297="","",IF($J297="",9999+ROW()/100000,IF($M297&gt;$B$3,"",($B$3-$M297)+ROW()/100000)))</s:f>
        <s:v/>
      </s:c>
    </s:row>
    <s:row r="298">
      <s:c r="A298" s="67" t="n"/>
      <s:c r="B298" s="67" t="n"/>
      <s:c r="C298" s="67" t="n"/>
      <s:c r="D298" s="67" t="n"/>
      <s:c r="E298" s="67" t="n"/>
      <s:c r="F298" s="67" t="n"/>
      <s:c r="G298" s="67" t="n"/>
      <s:c r="H298" s="68" t="n"/>
      <s:c r="I298" s="69" t="str">
        <s:f>IF($H298="","",$H298*Inputs!$C$12)</s:f>
        <s:v/>
      </s:c>
      <s:c r="J298" s="70" t="n"/>
      <s:c r="K298" s="71" t="str">
        <s:f>IF($J298="","",$B$3-$J298)</s:f>
        <s:v/>
      </s:c>
      <s:c r="L298" s="72" t="str">
        <s:f>IFERROR(INDEX('CRM Playbook'!$C$6:$C$10,MATCH($B298,'CRM Playbook'!$B$6:$B$10,0)),"")</s:f>
        <s:v/>
      </s:c>
      <s:c r="M298" s="73" t="str">
        <s:f>IF(OR($J298="",$L298=""),"",$J298+$L298)</s:f>
        <s:v/>
      </s:c>
      <s:c r="N298" s="74" t="str">
        <s:f>IF($A298="","",IF($J298="","NEW - reach out",IF($M298&lt;$B$3,"OVERDUE",IF($M298&lt;=$B$3+3,"DUE","Current"))))</s:f>
        <s:v/>
      </s:c>
      <s:c r="O298" s="67" t="n"/>
      <s:c r="P298" s="67" t="n"/>
      <s:c r="Q298" s="67" t="n"/>
      <s:c r="R298" s="75" t="str">
        <s:f>IF($A298="","",IF($J298="",9999+ROW()/100000,IF($M298&gt;$B$3,"",($B$3-$M298)+ROW()/100000)))</s:f>
        <s:v/>
      </s:c>
    </s:row>
    <s:row r="299">
      <s:c r="A299" s="65" t="n"/>
      <s:c r="B299" s="65" t="n"/>
      <s:c r="C299" s="65" t="n"/>
      <s:c r="D299" s="65" t="n"/>
      <s:c r="E299" s="65" t="n"/>
      <s:c r="F299" s="65" t="n"/>
      <s:c r="G299" s="65" t="n"/>
      <s:c r="H299" s="76" t="n"/>
      <s:c r="I299" s="59" t="str">
        <s:f>IF($H299="","",$H299*Inputs!$C$12)</s:f>
        <s:v/>
      </s:c>
      <s:c r="J299" s="77" t="n"/>
      <s:c r="K299" s="61" t="str">
        <s:f>IF($J299="","",$B$3-$J299)</s:f>
        <s:v/>
      </s:c>
      <s:c r="L299" s="62" t="str">
        <s:f>IFERROR(INDEX('CRM Playbook'!$C$6:$C$10,MATCH($B299,'CRM Playbook'!$B$6:$B$10,0)),"")</s:f>
        <s:v/>
      </s:c>
      <s:c r="M299" s="63" t="str">
        <s:f>IF(OR($J299="",$L299=""),"",$J299+$L299)</s:f>
        <s:v/>
      </s:c>
      <s:c r="N299" s="64" t="str">
        <s:f>IF($A299="","",IF($J299="","NEW - reach out",IF($M299&lt;$B$3,"OVERDUE",IF($M299&lt;=$B$3+3,"DUE","Current"))))</s:f>
        <s:v/>
      </s:c>
      <s:c r="O299" s="65" t="n"/>
      <s:c r="P299" s="65" t="n"/>
      <s:c r="Q299" s="65" t="n"/>
      <s:c r="R299" s="66" t="str">
        <s:f>IF($A299="","",IF($J299="",9999+ROW()/100000,IF($M299&gt;$B$3,"",($B$3-$M299)+ROW()/100000)))</s:f>
        <s:v/>
      </s:c>
    </s:row>
    <s:row r="300">
      <s:c r="A300" s="67" t="n"/>
      <s:c r="B300" s="67" t="n"/>
      <s:c r="C300" s="67" t="n"/>
      <s:c r="D300" s="67" t="n"/>
      <s:c r="E300" s="67" t="n"/>
      <s:c r="F300" s="67" t="n"/>
      <s:c r="G300" s="67" t="n"/>
      <s:c r="H300" s="68" t="n"/>
      <s:c r="I300" s="69" t="str">
        <s:f>IF($H300="","",$H300*Inputs!$C$12)</s:f>
        <s:v/>
      </s:c>
      <s:c r="J300" s="70" t="n"/>
      <s:c r="K300" s="71" t="str">
        <s:f>IF($J300="","",$B$3-$J300)</s:f>
        <s:v/>
      </s:c>
      <s:c r="L300" s="72" t="str">
        <s:f>IFERROR(INDEX('CRM Playbook'!$C$6:$C$10,MATCH($B300,'CRM Playbook'!$B$6:$B$10,0)),"")</s:f>
        <s:v/>
      </s:c>
      <s:c r="M300" s="73" t="str">
        <s:f>IF(OR($J300="",$L300=""),"",$J300+$L300)</s:f>
        <s:v/>
      </s:c>
      <s:c r="N300" s="74" t="str">
        <s:f>IF($A300="","",IF($J300="","NEW - reach out",IF($M300&lt;$B$3,"OVERDUE",IF($M300&lt;=$B$3+3,"DUE","Current"))))</s:f>
        <s:v/>
      </s:c>
      <s:c r="O300" s="67" t="n"/>
      <s:c r="P300" s="67" t="n"/>
      <s:c r="Q300" s="67" t="n"/>
      <s:c r="R300" s="75" t="str">
        <s:f>IF($A300="","",IF($J300="",9999+ROW()/100000,IF($M300&gt;$B$3,"",($B$3-$M300)+ROW()/100000)))</s:f>
        <s:v/>
      </s:c>
    </s:row>
    <s:row r="301">
      <s:c r="A301" s="65" t="n"/>
      <s:c r="B301" s="65" t="n"/>
      <s:c r="C301" s="65" t="n"/>
      <s:c r="D301" s="65" t="n"/>
      <s:c r="E301" s="65" t="n"/>
      <s:c r="F301" s="65" t="n"/>
      <s:c r="G301" s="65" t="n"/>
      <s:c r="H301" s="76" t="n"/>
      <s:c r="I301" s="59" t="str">
        <s:f>IF($H301="","",$H301*Inputs!$C$12)</s:f>
        <s:v/>
      </s:c>
      <s:c r="J301" s="77" t="n"/>
      <s:c r="K301" s="61" t="str">
        <s:f>IF($J301="","",$B$3-$J301)</s:f>
        <s:v/>
      </s:c>
      <s:c r="L301" s="62" t="str">
        <s:f>IFERROR(INDEX('CRM Playbook'!$C$6:$C$10,MATCH($B301,'CRM Playbook'!$B$6:$B$10,0)),"")</s:f>
        <s:v/>
      </s:c>
      <s:c r="M301" s="63" t="str">
        <s:f>IF(OR($J301="",$L301=""),"",$J301+$L301)</s:f>
        <s:v/>
      </s:c>
      <s:c r="N301" s="64" t="str">
        <s:f>IF($A301="","",IF($J301="","NEW - reach out",IF($M301&lt;$B$3,"OVERDUE",IF($M301&lt;=$B$3+3,"DUE","Current"))))</s:f>
        <s:v/>
      </s:c>
      <s:c r="O301" s="65" t="n"/>
      <s:c r="P301" s="65" t="n"/>
      <s:c r="Q301" s="65" t="n"/>
      <s:c r="R301" s="66" t="str">
        <s:f>IF($A301="","",IF($J301="",9999+ROW()/100000,IF($M301&gt;$B$3,"",($B$3-$M301)+ROW()/100000)))</s:f>
        <s:v/>
      </s:c>
    </s:row>
    <s:row r="302">
      <s:c r="A302" s="67" t="n"/>
      <s:c r="B302" s="67" t="n"/>
      <s:c r="C302" s="67" t="n"/>
      <s:c r="D302" s="67" t="n"/>
      <s:c r="E302" s="67" t="n"/>
      <s:c r="F302" s="67" t="n"/>
      <s:c r="G302" s="67" t="n"/>
      <s:c r="H302" s="68" t="n"/>
      <s:c r="I302" s="69" t="str">
        <s:f>IF($H302="","",$H302*Inputs!$C$12)</s:f>
        <s:v/>
      </s:c>
      <s:c r="J302" s="70" t="n"/>
      <s:c r="K302" s="71" t="str">
        <s:f>IF($J302="","",$B$3-$J302)</s:f>
        <s:v/>
      </s:c>
      <s:c r="L302" s="72" t="str">
        <s:f>IFERROR(INDEX('CRM Playbook'!$C$6:$C$10,MATCH($B302,'CRM Playbook'!$B$6:$B$10,0)),"")</s:f>
        <s:v/>
      </s:c>
      <s:c r="M302" s="73" t="str">
        <s:f>IF(OR($J302="",$L302=""),"",$J302+$L302)</s:f>
        <s:v/>
      </s:c>
      <s:c r="N302" s="74" t="str">
        <s:f>IF($A302="","",IF($J302="","NEW - reach out",IF($M302&lt;$B$3,"OVERDUE",IF($M302&lt;=$B$3+3,"DUE","Current"))))</s:f>
        <s:v/>
      </s:c>
      <s:c r="O302" s="67" t="n"/>
      <s:c r="P302" s="67" t="n"/>
      <s:c r="Q302" s="67" t="n"/>
      <s:c r="R302" s="75" t="str">
        <s:f>IF($A302="","",IF($J302="",9999+ROW()/100000,IF($M302&gt;$B$3,"",($B$3-$M302)+ROW()/100000)))</s:f>
        <s:v/>
      </s:c>
    </s:row>
    <s:row r="303">
      <s:c r="A303" s="65" t="n"/>
      <s:c r="B303" s="65" t="n"/>
      <s:c r="C303" s="65" t="n"/>
      <s:c r="D303" s="65" t="n"/>
      <s:c r="E303" s="65" t="n"/>
      <s:c r="F303" s="65" t="n"/>
      <s:c r="G303" s="65" t="n"/>
      <s:c r="H303" s="76" t="n"/>
      <s:c r="I303" s="59" t="str">
        <s:f>IF($H303="","",$H303*Inputs!$C$12)</s:f>
        <s:v/>
      </s:c>
      <s:c r="J303" s="77" t="n"/>
      <s:c r="K303" s="61" t="str">
        <s:f>IF($J303="","",$B$3-$J303)</s:f>
        <s:v/>
      </s:c>
      <s:c r="L303" s="62" t="str">
        <s:f>IFERROR(INDEX('CRM Playbook'!$C$6:$C$10,MATCH($B303,'CRM Playbook'!$B$6:$B$10,0)),"")</s:f>
        <s:v/>
      </s:c>
      <s:c r="M303" s="63" t="str">
        <s:f>IF(OR($J303="",$L303=""),"",$J303+$L303)</s:f>
        <s:v/>
      </s:c>
      <s:c r="N303" s="64" t="str">
        <s:f>IF($A303="","",IF($J303="","NEW - reach out",IF($M303&lt;$B$3,"OVERDUE",IF($M303&lt;=$B$3+3,"DUE","Current"))))</s:f>
        <s:v/>
      </s:c>
      <s:c r="O303" s="65" t="n"/>
      <s:c r="P303" s="65" t="n"/>
      <s:c r="Q303" s="65" t="n"/>
      <s:c r="R303" s="66" t="str">
        <s:f>IF($A303="","",IF($J303="",9999+ROW()/100000,IF($M303&gt;$B$3,"",($B$3-$M303)+ROW()/100000)))</s:f>
        <s:v/>
      </s:c>
    </s:row>
    <s:row r="304">
      <s:c r="A304" s="67" t="n"/>
      <s:c r="B304" s="67" t="n"/>
      <s:c r="C304" s="67" t="n"/>
      <s:c r="D304" s="67" t="n"/>
      <s:c r="E304" s="67" t="n"/>
      <s:c r="F304" s="67" t="n"/>
      <s:c r="G304" s="67" t="n"/>
      <s:c r="H304" s="68" t="n"/>
      <s:c r="I304" s="69" t="str">
        <s:f>IF($H304="","",$H304*Inputs!$C$12)</s:f>
        <s:v/>
      </s:c>
      <s:c r="J304" s="70" t="n"/>
      <s:c r="K304" s="71" t="str">
        <s:f>IF($J304="","",$B$3-$J304)</s:f>
        <s:v/>
      </s:c>
      <s:c r="L304" s="72" t="str">
        <s:f>IFERROR(INDEX('CRM Playbook'!$C$6:$C$10,MATCH($B304,'CRM Playbook'!$B$6:$B$10,0)),"")</s:f>
        <s:v/>
      </s:c>
      <s:c r="M304" s="73" t="str">
        <s:f>IF(OR($J304="",$L304=""),"",$J304+$L304)</s:f>
        <s:v/>
      </s:c>
      <s:c r="N304" s="74" t="str">
        <s:f>IF($A304="","",IF($J304="","NEW - reach out",IF($M304&lt;$B$3,"OVERDUE",IF($M304&lt;=$B$3+3,"DUE","Current"))))</s:f>
        <s:v/>
      </s:c>
      <s:c r="O304" s="67" t="n"/>
      <s:c r="P304" s="67" t="n"/>
      <s:c r="Q304" s="67" t="n"/>
      <s:c r="R304" s="75" t="str">
        <s:f>IF($A304="","",IF($J304="",9999+ROW()/100000,IF($M304&gt;$B$3,"",($B$3-$M304)+ROW()/100000)))</s:f>
        <s:v/>
      </s:c>
    </s:row>
    <s:row r="305">
      <s:c r="A305" s="65" t="n"/>
      <s:c r="B305" s="65" t="n"/>
      <s:c r="C305" s="65" t="n"/>
      <s:c r="D305" s="65" t="n"/>
      <s:c r="E305" s="65" t="n"/>
      <s:c r="F305" s="65" t="n"/>
      <s:c r="G305" s="65" t="n"/>
      <s:c r="H305" s="76" t="n"/>
      <s:c r="I305" s="59" t="str">
        <s:f>IF($H305="","",$H305*Inputs!$C$12)</s:f>
        <s:v/>
      </s:c>
      <s:c r="J305" s="77" t="n"/>
      <s:c r="K305" s="61" t="str">
        <s:f>IF($J305="","",$B$3-$J305)</s:f>
        <s:v/>
      </s:c>
      <s:c r="L305" s="62" t="str">
        <s:f>IFERROR(INDEX('CRM Playbook'!$C$6:$C$10,MATCH($B305,'CRM Playbook'!$B$6:$B$10,0)),"")</s:f>
        <s:v/>
      </s:c>
      <s:c r="M305" s="63" t="str">
        <s:f>IF(OR($J305="",$L305=""),"",$J305+$L305)</s:f>
        <s:v/>
      </s:c>
      <s:c r="N305" s="64" t="str">
        <s:f>IF($A305="","",IF($J305="","NEW - reach out",IF($M305&lt;$B$3,"OVERDUE",IF($M305&lt;=$B$3+3,"DUE","Current"))))</s:f>
        <s:v/>
      </s:c>
      <s:c r="O305" s="65" t="n"/>
      <s:c r="P305" s="65" t="n"/>
      <s:c r="Q305" s="65" t="n"/>
      <s:c r="R305" s="66" t="str">
        <s:f>IF($A305="","",IF($J305="",9999+ROW()/100000,IF($M305&gt;$B$3,"",($B$3-$M305)+ROW()/100000)))</s:f>
        <s:v/>
      </s:c>
    </s:row>
    <s:row r="306">
      <s:c r="A306" s="67" t="n"/>
      <s:c r="B306" s="67" t="n"/>
      <s:c r="C306" s="67" t="n"/>
      <s:c r="D306" s="67" t="n"/>
      <s:c r="E306" s="67" t="n"/>
      <s:c r="F306" s="67" t="n"/>
      <s:c r="G306" s="67" t="n"/>
      <s:c r="H306" s="68" t="n"/>
      <s:c r="I306" s="69" t="str">
        <s:f>IF($H306="","",$H306*Inputs!$C$12)</s:f>
        <s:v/>
      </s:c>
      <s:c r="J306" s="70" t="n"/>
      <s:c r="K306" s="71" t="str">
        <s:f>IF($J306="","",$B$3-$J306)</s:f>
        <s:v/>
      </s:c>
      <s:c r="L306" s="72" t="str">
        <s:f>IFERROR(INDEX('CRM Playbook'!$C$6:$C$10,MATCH($B306,'CRM Playbook'!$B$6:$B$10,0)),"")</s:f>
        <s:v/>
      </s:c>
      <s:c r="M306" s="73" t="str">
        <s:f>IF(OR($J306="",$L306=""),"",$J306+$L306)</s:f>
        <s:v/>
      </s:c>
      <s:c r="N306" s="74" t="str">
        <s:f>IF($A306="","",IF($J306="","NEW - reach out",IF($M306&lt;$B$3,"OVERDUE",IF($M306&lt;=$B$3+3,"DUE","Current"))))</s:f>
        <s:v/>
      </s:c>
      <s:c r="O306" s="67" t="n"/>
      <s:c r="P306" s="67" t="n"/>
      <s:c r="Q306" s="67" t="n"/>
      <s:c r="R306" s="75" t="str">
        <s:f>IF($A306="","",IF($J306="",9999+ROW()/100000,IF($M306&gt;$B$3,"",($B$3-$M306)+ROW()/100000)))</s:f>
        <s:v/>
      </s:c>
    </s:row>
  </s:sheetData>
  <s:mergeCells count="4">
    <s:mergeCell ref="A5:R5"/>
    <s:mergeCell ref="A2:R2"/>
    <s:mergeCell ref="A1:R1"/>
    <s:mergeCell ref="C3:H3"/>
  </s:mergeCells>
  <s:conditionalFormatting sqref="N7:N306">
    <s:cfRule type="cellIs" priority="1" operator="equal" dxfId="0">
      <s:formula>"OVERDUE"</s:formula>
    </s:cfRule>
    <s:cfRule type="cellIs" priority="2" operator="equal" dxfId="1">
      <s:formula>"NEW - reach out"</s:formula>
    </s:cfRule>
    <s:cfRule type="cellIs" priority="3" operator="equal" dxfId="1">
      <s:formula>"DUE"</s:formula>
    </s:cfRule>
    <s:cfRule type="cellIs" priority="4" operator="equal" dxfId="2">
      <s:formula>"Current"</s:formula>
    </s:cfRule>
  </s:conditionalFormatting>
  <s:dataValidations count="2">
    <s:dataValidation sqref="B7:B306" showDropDown="0" showInputMessage="0" showErrorMessage="0" allowBlank="1" type="list">
      <s:formula1>"Prospect,Lead,Active Client,Closed Client,Dead Lead"</s:formula1>
    </s:dataValidation>
    <s:dataValidation sqref="P7:P306" showDropDown="0" showInputMessage="0" showErrorMessage="0" allowBlank="1" type="list">
      <s:formula1>"Y,N"</s:formula1>
    </s:dataValidation>
  </s:dataValidations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tabColor rgb="00C00000"/>
    <s:outlinePr summaryBelow="1" summaryRight="1"/>
    <s:pageSetUpPr/>
  </s:sheetPr>
  <s:dimension ref="A1:I31"/>
  <s:sheetViews>
    <s:sheetView showGridLines="0" workbookViewId="0">
      <s:pane ySplit="6" topLeftCell="A7" activePane="bottomLeft" state="frozen"/>
      <s:selection pane="bottomLeft" activeCell="A1" sqref="A1"/>
    </s:sheetView>
  </s:sheetViews>
  <s:sheetFormatPr baseColWidth="8" defaultRowHeight="15"/>
  <s:cols>
    <s:col width="5" customWidth="1" min="1" max="1"/>
    <s:col width="22" customWidth="1" min="2" max="2"/>
    <s:col width="15" customWidth="1" min="3" max="3"/>
    <s:col width="14" customWidth="1" min="4" max="4"/>
    <s:col width="26" customWidth="1" min="5" max="5"/>
    <s:col width="13" customWidth="1" min="6" max="6"/>
    <s:col width="28" customWidth="1" min="7" max="7"/>
    <s:col width="16" customWidth="1" min="8" max="8"/>
    <s:col width="9" customWidth="1" min="9" max="9"/>
  </s:cols>
  <s:sheetData>
    <s:row r="1" ht="26" customHeight="1">
      <s:c r="A1" s="1" t="inlineStr">
        <s:is>
          <s:t>FOLLOW-UP QUEUE  —  who to contact today, in order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inlineStr">
        <s:is>
          <s:t>Pulled automatically from your Sphere of Influence. Never-contacted people come first, then whoever is most overdue. Work top to bottom.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A4" s="12" t="inlineStr">
        <s:is>
          <s:t>People needing a touch right now:</s:t>
        </s:is>
      </s:c>
      <s:c r="E4" s="37">
        <s:f>'Sphere of Influence'!D4</s:f>
        <s:v>1.0</s:v>
      </s:c>
    </s:row>
    <s:row r="5">
      <s:c r="A5" s="56" t="inlineStr">
        <s:is>
          <s:t>Refresh the TODAY cell on 'Sphere of Influence' and this re-sorts itself.</s:t>
        </s:is>
      </s:c>
    </s:row>
    <s:row r="6" ht="30" customHeight="1">
      <s:c r="A6" s="16" t="inlineStr">
        <s:is>
          <s:t>#</s:t>
        </s:is>
      </s:c>
      <s:c r="B6" s="16" t="inlineStr">
        <s:is>
          <s:t>Name</s:t>
        </s:is>
      </s:c>
      <s:c r="C6" s="16" t="inlineStr">
        <s:is>
          <s:t>Category</s:t>
        </s:is>
      </s:c>
      <s:c r="D6" s="16" t="inlineStr">
        <s:is>
          <s:t>Phone</s:t>
        </s:is>
      </s:c>
      <s:c r="E6" s="16" t="inlineStr">
        <s:is>
          <s:t>Email</s:t>
        </s:is>
      </s:c>
      <s:c r="F6" s="16" t="inlineStr">
        <s:is>
          <s:t>Overdue by</s:t>
        </s:is>
      </s:c>
      <s:c r="G6" s="16" t="inlineStr">
        <s:is>
          <s:t>Next action</s:t>
        </s:is>
      </s:c>
      <s:c r="H6" s="16" t="inlineStr">
        <s:is>
          <s:t>Est. commission</s:t>
        </s:is>
      </s:c>
      <s:c r="I6" s="16" t="inlineStr">
        <s:is>
          <s:t>Queue</s:t>
        </s:is>
      </s:c>
    </s:row>
    <s:row r="7">
      <s:c r="A7" s="71" t="n">
        <s:v>1</s:v>
      </s:c>
      <s:c r="B7" s="21" t="str">
        <s:f>IF($I7="","",IFERROR(INDEX('Sphere of Influence'!$A$7:$A$306,MATCH($I7,'Sphere of Influence'!$R$7:$R$306,0)),""))</s:f>
        <s:v>Jane Example</s:v>
      </s:c>
      <s:c r="C7" s="78" t="str">
        <s:f>IF($I7="","",IFERROR(INDEX('Sphere of Influence'!$B$7:$B$306,MATCH($I7,'Sphere of Influence'!$R$7:$R$306,0)),""))</s:f>
        <s:v>Lead</s:v>
      </s:c>
      <s:c r="D7" s="79" t="str">
        <s:f>IF($I7="","",IFERROR(INDEX('Sphere of Influence'!$D$7:$D$306,MATCH($I7,'Sphere of Influence'!$R$7:$R$306,0)),""))</s:f>
        <s:v>207-555-0123</s:v>
      </s:c>
      <s:c r="E7" s="79" t="str">
        <s:f>IF($I7="","",IFERROR(INDEX('Sphere of Influence'!$E$7:$E$306,MATCH($I7,'Sphere of Influence'!$R$7:$R$306,0)),""))</s:f>
        <s:v>jane@example.com</s:v>
      </s:c>
      <s:c r="F7" s="74" t="str">
        <s:f>IF($I7="","",IF($I7&gt;=9999,"never contacted",INT($I7)&amp;" days"))</s:f>
        <s:v>2 days</s:v>
      </s:c>
      <s:c r="G7" s="79" t="str">
        <s:f>IF($I7="","",IFERROR(INDEX('Sphere of Influence'!$O$7:$O$306,MATCH($I7,'Sphere of Influence'!$R$7:$R$306,0)),""))</s:f>
        <s:v>Send pre-qual letter</s:v>
      </s:c>
      <s:c r="H7" s="80">
        <s:f>IF($I7="","",IFERROR(INDEX('Sphere of Influence'!$I$7:$I$306,MATCH($I7,'Sphere of Influence'!$R$7:$R$306,0)),""))</s:f>
        <s:v>2625.0</s:v>
      </s:c>
      <s:c r="I7" s="75">
        <s:f>IFERROR(LARGE('Sphere of Influence'!$R$7:$R$306,1),"")</s:f>
        <s:v>2.00007</s:v>
      </s:c>
    </s:row>
    <s:row r="8">
      <s:c r="A8" s="61" t="n">
        <s:v>2</s:v>
      </s:c>
      <s:c r="B8" s="8" t="str">
        <s:f>IF($I8="","",IFERROR(INDEX('Sphere of Influence'!$A$7:$A$306,MATCH($I8,'Sphere of Influence'!$R$7:$R$306,0)),""))</s:f>
        <s:v/>
      </s:c>
      <s:c r="C8" s="81" t="str">
        <s:f>IF($I8="","",IFERROR(INDEX('Sphere of Influence'!$B$7:$B$306,MATCH($I8,'Sphere of Influence'!$R$7:$R$306,0)),""))</s:f>
        <s:v/>
      </s:c>
      <s:c r="D8" s="82" t="str">
        <s:f>IF($I8="","",IFERROR(INDEX('Sphere of Influence'!$D$7:$D$306,MATCH($I8,'Sphere of Influence'!$R$7:$R$306,0)),""))</s:f>
        <s:v/>
      </s:c>
      <s:c r="E8" s="82" t="str">
        <s:f>IF($I8="","",IFERROR(INDEX('Sphere of Influence'!$E$7:$E$306,MATCH($I8,'Sphere of Influence'!$R$7:$R$306,0)),""))</s:f>
        <s:v/>
      </s:c>
      <s:c r="F8" s="64" t="str">
        <s:f>IF($I8="","",IF($I8&gt;=9999,"never contacted",INT($I8)&amp;" days"))</s:f>
        <s:v/>
      </s:c>
      <s:c r="G8" s="82" t="str">
        <s:f>IF($I8="","",IFERROR(INDEX('Sphere of Influence'!$O$7:$O$306,MATCH($I8,'Sphere of Influence'!$R$7:$R$306,0)),""))</s:f>
        <s:v/>
      </s:c>
      <s:c r="H8" s="83" t="str">
        <s:f>IF($I8="","",IFERROR(INDEX('Sphere of Influence'!$I$7:$I$306,MATCH($I8,'Sphere of Influence'!$R$7:$R$306,0)),""))</s:f>
        <s:v/>
      </s:c>
      <s:c r="I8" s="66" t="str">
        <s:f>IFERROR(LARGE('Sphere of Influence'!$R$7:$R$306,2),"")</s:f>
        <s:v/>
      </s:c>
    </s:row>
    <s:row r="9">
      <s:c r="A9" s="71" t="n">
        <s:v>3</s:v>
      </s:c>
      <s:c r="B9" s="21" t="str">
        <s:f>IF($I9="","",IFERROR(INDEX('Sphere of Influence'!$A$7:$A$306,MATCH($I9,'Sphere of Influence'!$R$7:$R$306,0)),""))</s:f>
        <s:v/>
      </s:c>
      <s:c r="C9" s="78" t="str">
        <s:f>IF($I9="","",IFERROR(INDEX('Sphere of Influence'!$B$7:$B$306,MATCH($I9,'Sphere of Influence'!$R$7:$R$306,0)),""))</s:f>
        <s:v/>
      </s:c>
      <s:c r="D9" s="79" t="str">
        <s:f>IF($I9="","",IFERROR(INDEX('Sphere of Influence'!$D$7:$D$306,MATCH($I9,'Sphere of Influence'!$R$7:$R$306,0)),""))</s:f>
        <s:v/>
      </s:c>
      <s:c r="E9" s="79" t="str">
        <s:f>IF($I9="","",IFERROR(INDEX('Sphere of Influence'!$E$7:$E$306,MATCH($I9,'Sphere of Influence'!$R$7:$R$306,0)),""))</s:f>
        <s:v/>
      </s:c>
      <s:c r="F9" s="74" t="str">
        <s:f>IF($I9="","",IF($I9&gt;=9999,"never contacted",INT($I9)&amp;" days"))</s:f>
        <s:v/>
      </s:c>
      <s:c r="G9" s="79" t="str">
        <s:f>IF($I9="","",IFERROR(INDEX('Sphere of Influence'!$O$7:$O$306,MATCH($I9,'Sphere of Influence'!$R$7:$R$306,0)),""))</s:f>
        <s:v/>
      </s:c>
      <s:c r="H9" s="80" t="str">
        <s:f>IF($I9="","",IFERROR(INDEX('Sphere of Influence'!$I$7:$I$306,MATCH($I9,'Sphere of Influence'!$R$7:$R$306,0)),""))</s:f>
        <s:v/>
      </s:c>
      <s:c r="I9" s="75" t="str">
        <s:f>IFERROR(LARGE('Sphere of Influence'!$R$7:$R$306,3),"")</s:f>
        <s:v/>
      </s:c>
    </s:row>
    <s:row r="10">
      <s:c r="A10" s="61" t="n">
        <s:v>4</s:v>
      </s:c>
      <s:c r="B10" s="8" t="str">
        <s:f>IF($I10="","",IFERROR(INDEX('Sphere of Influence'!$A$7:$A$306,MATCH($I10,'Sphere of Influence'!$R$7:$R$306,0)),""))</s:f>
        <s:v/>
      </s:c>
      <s:c r="C10" s="81" t="str">
        <s:f>IF($I10="","",IFERROR(INDEX('Sphere of Influence'!$B$7:$B$306,MATCH($I10,'Sphere of Influence'!$R$7:$R$306,0)),""))</s:f>
        <s:v/>
      </s:c>
      <s:c r="D10" s="82" t="str">
        <s:f>IF($I10="","",IFERROR(INDEX('Sphere of Influence'!$D$7:$D$306,MATCH($I10,'Sphere of Influence'!$R$7:$R$306,0)),""))</s:f>
        <s:v/>
      </s:c>
      <s:c r="E10" s="82" t="str">
        <s:f>IF($I10="","",IFERROR(INDEX('Sphere of Influence'!$E$7:$E$306,MATCH($I10,'Sphere of Influence'!$R$7:$R$306,0)),""))</s:f>
        <s:v/>
      </s:c>
      <s:c r="F10" s="64" t="str">
        <s:f>IF($I10="","",IF($I10&gt;=9999,"never contacted",INT($I10)&amp;" days"))</s:f>
        <s:v/>
      </s:c>
      <s:c r="G10" s="82" t="str">
        <s:f>IF($I10="","",IFERROR(INDEX('Sphere of Influence'!$O$7:$O$306,MATCH($I10,'Sphere of Influence'!$R$7:$R$306,0)),""))</s:f>
        <s:v/>
      </s:c>
      <s:c r="H10" s="83" t="str">
        <s:f>IF($I10="","",IFERROR(INDEX('Sphere of Influence'!$I$7:$I$306,MATCH($I10,'Sphere of Influence'!$R$7:$R$306,0)),""))</s:f>
        <s:v/>
      </s:c>
      <s:c r="I10" s="66" t="str">
        <s:f>IFERROR(LARGE('Sphere of Influence'!$R$7:$R$306,4),"")</s:f>
        <s:v/>
      </s:c>
    </s:row>
    <s:row r="11">
      <s:c r="A11" s="71" t="n">
        <s:v>5</s:v>
      </s:c>
      <s:c r="B11" s="21" t="str">
        <s:f>IF($I11="","",IFERROR(INDEX('Sphere of Influence'!$A$7:$A$306,MATCH($I11,'Sphere of Influence'!$R$7:$R$306,0)),""))</s:f>
        <s:v/>
      </s:c>
      <s:c r="C11" s="78" t="str">
        <s:f>IF($I11="","",IFERROR(INDEX('Sphere of Influence'!$B$7:$B$306,MATCH($I11,'Sphere of Influence'!$R$7:$R$306,0)),""))</s:f>
        <s:v/>
      </s:c>
      <s:c r="D11" s="79" t="str">
        <s:f>IF($I11="","",IFERROR(INDEX('Sphere of Influence'!$D$7:$D$306,MATCH($I11,'Sphere of Influence'!$R$7:$R$306,0)),""))</s:f>
        <s:v/>
      </s:c>
      <s:c r="E11" s="79" t="str">
        <s:f>IF($I11="","",IFERROR(INDEX('Sphere of Influence'!$E$7:$E$306,MATCH($I11,'Sphere of Influence'!$R$7:$R$306,0)),""))</s:f>
        <s:v/>
      </s:c>
      <s:c r="F11" s="74" t="str">
        <s:f>IF($I11="","",IF($I11&gt;=9999,"never contacted",INT($I11)&amp;" days"))</s:f>
        <s:v/>
      </s:c>
      <s:c r="G11" s="79" t="str">
        <s:f>IF($I11="","",IFERROR(INDEX('Sphere of Influence'!$O$7:$O$306,MATCH($I11,'Sphere of Influence'!$R$7:$R$306,0)),""))</s:f>
        <s:v/>
      </s:c>
      <s:c r="H11" s="80" t="str">
        <s:f>IF($I11="","",IFERROR(INDEX('Sphere of Influence'!$I$7:$I$306,MATCH($I11,'Sphere of Influence'!$R$7:$R$306,0)),""))</s:f>
        <s:v/>
      </s:c>
      <s:c r="I11" s="75" t="str">
        <s:f>IFERROR(LARGE('Sphere of Influence'!$R$7:$R$306,5),"")</s:f>
        <s:v/>
      </s:c>
    </s:row>
    <s:row r="12">
      <s:c r="A12" s="61" t="n">
        <s:v>6</s:v>
      </s:c>
      <s:c r="B12" s="8" t="str">
        <s:f>IF($I12="","",IFERROR(INDEX('Sphere of Influence'!$A$7:$A$306,MATCH($I12,'Sphere of Influence'!$R$7:$R$306,0)),""))</s:f>
        <s:v/>
      </s:c>
      <s:c r="C12" s="81" t="str">
        <s:f>IF($I12="","",IFERROR(INDEX('Sphere of Influence'!$B$7:$B$306,MATCH($I12,'Sphere of Influence'!$R$7:$R$306,0)),""))</s:f>
        <s:v/>
      </s:c>
      <s:c r="D12" s="82" t="str">
        <s:f>IF($I12="","",IFERROR(INDEX('Sphere of Influence'!$D$7:$D$306,MATCH($I12,'Sphere of Influence'!$R$7:$R$306,0)),""))</s:f>
        <s:v/>
      </s:c>
      <s:c r="E12" s="82" t="str">
        <s:f>IF($I12="","",IFERROR(INDEX('Sphere of Influence'!$E$7:$E$306,MATCH($I12,'Sphere of Influence'!$R$7:$R$306,0)),""))</s:f>
        <s:v/>
      </s:c>
      <s:c r="F12" s="64" t="str">
        <s:f>IF($I12="","",IF($I12&gt;=9999,"never contacted",INT($I12)&amp;" days"))</s:f>
        <s:v/>
      </s:c>
      <s:c r="G12" s="82" t="str">
        <s:f>IF($I12="","",IFERROR(INDEX('Sphere of Influence'!$O$7:$O$306,MATCH($I12,'Sphere of Influence'!$R$7:$R$306,0)),""))</s:f>
        <s:v/>
      </s:c>
      <s:c r="H12" s="83" t="str">
        <s:f>IF($I12="","",IFERROR(INDEX('Sphere of Influence'!$I$7:$I$306,MATCH($I12,'Sphere of Influence'!$R$7:$R$306,0)),""))</s:f>
        <s:v/>
      </s:c>
      <s:c r="I12" s="66" t="str">
        <s:f>IFERROR(LARGE('Sphere of Influence'!$R$7:$R$306,6),"")</s:f>
        <s:v/>
      </s:c>
    </s:row>
    <s:row r="13">
      <s:c r="A13" s="71" t="n">
        <s:v>7</s:v>
      </s:c>
      <s:c r="B13" s="21" t="str">
        <s:f>IF($I13="","",IFERROR(INDEX('Sphere of Influence'!$A$7:$A$306,MATCH($I13,'Sphere of Influence'!$R$7:$R$306,0)),""))</s:f>
        <s:v/>
      </s:c>
      <s:c r="C13" s="78" t="str">
        <s:f>IF($I13="","",IFERROR(INDEX('Sphere of Influence'!$B$7:$B$306,MATCH($I13,'Sphere of Influence'!$R$7:$R$306,0)),""))</s:f>
        <s:v/>
      </s:c>
      <s:c r="D13" s="79" t="str">
        <s:f>IF($I13="","",IFERROR(INDEX('Sphere of Influence'!$D$7:$D$306,MATCH($I13,'Sphere of Influence'!$R$7:$R$306,0)),""))</s:f>
        <s:v/>
      </s:c>
      <s:c r="E13" s="79" t="str">
        <s:f>IF($I13="","",IFERROR(INDEX('Sphere of Influence'!$E$7:$E$306,MATCH($I13,'Sphere of Influence'!$R$7:$R$306,0)),""))</s:f>
        <s:v/>
      </s:c>
      <s:c r="F13" s="74" t="str">
        <s:f>IF($I13="","",IF($I13&gt;=9999,"never contacted",INT($I13)&amp;" days"))</s:f>
        <s:v/>
      </s:c>
      <s:c r="G13" s="79" t="str">
        <s:f>IF($I13="","",IFERROR(INDEX('Sphere of Influence'!$O$7:$O$306,MATCH($I13,'Sphere of Influence'!$R$7:$R$306,0)),""))</s:f>
        <s:v/>
      </s:c>
      <s:c r="H13" s="80" t="str">
        <s:f>IF($I13="","",IFERROR(INDEX('Sphere of Influence'!$I$7:$I$306,MATCH($I13,'Sphere of Influence'!$R$7:$R$306,0)),""))</s:f>
        <s:v/>
      </s:c>
      <s:c r="I13" s="75" t="str">
        <s:f>IFERROR(LARGE('Sphere of Influence'!$R$7:$R$306,7),"")</s:f>
        <s:v/>
      </s:c>
    </s:row>
    <s:row r="14">
      <s:c r="A14" s="61" t="n">
        <s:v>8</s:v>
      </s:c>
      <s:c r="B14" s="8" t="str">
        <s:f>IF($I14="","",IFERROR(INDEX('Sphere of Influence'!$A$7:$A$306,MATCH($I14,'Sphere of Influence'!$R$7:$R$306,0)),""))</s:f>
        <s:v/>
      </s:c>
      <s:c r="C14" s="81" t="str">
        <s:f>IF($I14="","",IFERROR(INDEX('Sphere of Influence'!$B$7:$B$306,MATCH($I14,'Sphere of Influence'!$R$7:$R$306,0)),""))</s:f>
        <s:v/>
      </s:c>
      <s:c r="D14" s="82" t="str">
        <s:f>IF($I14="","",IFERROR(INDEX('Sphere of Influence'!$D$7:$D$306,MATCH($I14,'Sphere of Influence'!$R$7:$R$306,0)),""))</s:f>
        <s:v/>
      </s:c>
      <s:c r="E14" s="82" t="str">
        <s:f>IF($I14="","",IFERROR(INDEX('Sphere of Influence'!$E$7:$E$306,MATCH($I14,'Sphere of Influence'!$R$7:$R$306,0)),""))</s:f>
        <s:v/>
      </s:c>
      <s:c r="F14" s="64" t="str">
        <s:f>IF($I14="","",IF($I14&gt;=9999,"never contacted",INT($I14)&amp;" days"))</s:f>
        <s:v/>
      </s:c>
      <s:c r="G14" s="82" t="str">
        <s:f>IF($I14="","",IFERROR(INDEX('Sphere of Influence'!$O$7:$O$306,MATCH($I14,'Sphere of Influence'!$R$7:$R$306,0)),""))</s:f>
        <s:v/>
      </s:c>
      <s:c r="H14" s="83" t="str">
        <s:f>IF($I14="","",IFERROR(INDEX('Sphere of Influence'!$I$7:$I$306,MATCH($I14,'Sphere of Influence'!$R$7:$R$306,0)),""))</s:f>
        <s:v/>
      </s:c>
      <s:c r="I14" s="66" t="str">
        <s:f>IFERROR(LARGE('Sphere of Influence'!$R$7:$R$306,8),"")</s:f>
        <s:v/>
      </s:c>
    </s:row>
    <s:row r="15">
      <s:c r="A15" s="71" t="n">
        <s:v>9</s:v>
      </s:c>
      <s:c r="B15" s="21" t="str">
        <s:f>IF($I15="","",IFERROR(INDEX('Sphere of Influence'!$A$7:$A$306,MATCH($I15,'Sphere of Influence'!$R$7:$R$306,0)),""))</s:f>
        <s:v/>
      </s:c>
      <s:c r="C15" s="78" t="str">
        <s:f>IF($I15="","",IFERROR(INDEX('Sphere of Influence'!$B$7:$B$306,MATCH($I15,'Sphere of Influence'!$R$7:$R$306,0)),""))</s:f>
        <s:v/>
      </s:c>
      <s:c r="D15" s="79" t="str">
        <s:f>IF($I15="","",IFERROR(INDEX('Sphere of Influence'!$D$7:$D$306,MATCH($I15,'Sphere of Influence'!$R$7:$R$306,0)),""))</s:f>
        <s:v/>
      </s:c>
      <s:c r="E15" s="79" t="str">
        <s:f>IF($I15="","",IFERROR(INDEX('Sphere of Influence'!$E$7:$E$306,MATCH($I15,'Sphere of Influence'!$R$7:$R$306,0)),""))</s:f>
        <s:v/>
      </s:c>
      <s:c r="F15" s="74" t="str">
        <s:f>IF($I15="","",IF($I15&gt;=9999,"never contacted",INT($I15)&amp;" days"))</s:f>
        <s:v/>
      </s:c>
      <s:c r="G15" s="79" t="str">
        <s:f>IF($I15="","",IFERROR(INDEX('Sphere of Influence'!$O$7:$O$306,MATCH($I15,'Sphere of Influence'!$R$7:$R$306,0)),""))</s:f>
        <s:v/>
      </s:c>
      <s:c r="H15" s="80" t="str">
        <s:f>IF($I15="","",IFERROR(INDEX('Sphere of Influence'!$I$7:$I$306,MATCH($I15,'Sphere of Influence'!$R$7:$R$306,0)),""))</s:f>
        <s:v/>
      </s:c>
      <s:c r="I15" s="75" t="str">
        <s:f>IFERROR(LARGE('Sphere of Influence'!$R$7:$R$306,9),"")</s:f>
        <s:v/>
      </s:c>
    </s:row>
    <s:row r="16">
      <s:c r="A16" s="61" t="n">
        <s:v>10</s:v>
      </s:c>
      <s:c r="B16" s="8" t="str">
        <s:f>IF($I16="","",IFERROR(INDEX('Sphere of Influence'!$A$7:$A$306,MATCH($I16,'Sphere of Influence'!$R$7:$R$306,0)),""))</s:f>
        <s:v/>
      </s:c>
      <s:c r="C16" s="81" t="str">
        <s:f>IF($I16="","",IFERROR(INDEX('Sphere of Influence'!$B$7:$B$306,MATCH($I16,'Sphere of Influence'!$R$7:$R$306,0)),""))</s:f>
        <s:v/>
      </s:c>
      <s:c r="D16" s="82" t="str">
        <s:f>IF($I16="","",IFERROR(INDEX('Sphere of Influence'!$D$7:$D$306,MATCH($I16,'Sphere of Influence'!$R$7:$R$306,0)),""))</s:f>
        <s:v/>
      </s:c>
      <s:c r="E16" s="82" t="str">
        <s:f>IF($I16="","",IFERROR(INDEX('Sphere of Influence'!$E$7:$E$306,MATCH($I16,'Sphere of Influence'!$R$7:$R$306,0)),""))</s:f>
        <s:v/>
      </s:c>
      <s:c r="F16" s="64" t="str">
        <s:f>IF($I16="","",IF($I16&gt;=9999,"never contacted",INT($I16)&amp;" days"))</s:f>
        <s:v/>
      </s:c>
      <s:c r="G16" s="82" t="str">
        <s:f>IF($I16="","",IFERROR(INDEX('Sphere of Influence'!$O$7:$O$306,MATCH($I16,'Sphere of Influence'!$R$7:$R$306,0)),""))</s:f>
        <s:v/>
      </s:c>
      <s:c r="H16" s="83" t="str">
        <s:f>IF($I16="","",IFERROR(INDEX('Sphere of Influence'!$I$7:$I$306,MATCH($I16,'Sphere of Influence'!$R$7:$R$306,0)),""))</s:f>
        <s:v/>
      </s:c>
      <s:c r="I16" s="66" t="str">
        <s:f>IFERROR(LARGE('Sphere of Influence'!$R$7:$R$306,10),"")</s:f>
        <s:v/>
      </s:c>
    </s:row>
    <s:row r="17">
      <s:c r="A17" s="71" t="n">
        <s:v>11</s:v>
      </s:c>
      <s:c r="B17" s="21" t="str">
        <s:f>IF($I17="","",IFERROR(INDEX('Sphere of Influence'!$A$7:$A$306,MATCH($I17,'Sphere of Influence'!$R$7:$R$306,0)),""))</s:f>
        <s:v/>
      </s:c>
      <s:c r="C17" s="78" t="str">
        <s:f>IF($I17="","",IFERROR(INDEX('Sphere of Influence'!$B$7:$B$306,MATCH($I17,'Sphere of Influence'!$R$7:$R$306,0)),""))</s:f>
        <s:v/>
      </s:c>
      <s:c r="D17" s="79" t="str">
        <s:f>IF($I17="","",IFERROR(INDEX('Sphere of Influence'!$D$7:$D$306,MATCH($I17,'Sphere of Influence'!$R$7:$R$306,0)),""))</s:f>
        <s:v/>
      </s:c>
      <s:c r="E17" s="79" t="str">
        <s:f>IF($I17="","",IFERROR(INDEX('Sphere of Influence'!$E$7:$E$306,MATCH($I17,'Sphere of Influence'!$R$7:$R$306,0)),""))</s:f>
        <s:v/>
      </s:c>
      <s:c r="F17" s="74" t="str">
        <s:f>IF($I17="","",IF($I17&gt;=9999,"never contacted",INT($I17)&amp;" days"))</s:f>
        <s:v/>
      </s:c>
      <s:c r="G17" s="79" t="str">
        <s:f>IF($I17="","",IFERROR(INDEX('Sphere of Influence'!$O$7:$O$306,MATCH($I17,'Sphere of Influence'!$R$7:$R$306,0)),""))</s:f>
        <s:v/>
      </s:c>
      <s:c r="H17" s="80" t="str">
        <s:f>IF($I17="","",IFERROR(INDEX('Sphere of Influence'!$I$7:$I$306,MATCH($I17,'Sphere of Influence'!$R$7:$R$306,0)),""))</s:f>
        <s:v/>
      </s:c>
      <s:c r="I17" s="75" t="str">
        <s:f>IFERROR(LARGE('Sphere of Influence'!$R$7:$R$306,11),"")</s:f>
        <s:v/>
      </s:c>
    </s:row>
    <s:row r="18">
      <s:c r="A18" s="61" t="n">
        <s:v>12</s:v>
      </s:c>
      <s:c r="B18" s="8" t="str">
        <s:f>IF($I18="","",IFERROR(INDEX('Sphere of Influence'!$A$7:$A$306,MATCH($I18,'Sphere of Influence'!$R$7:$R$306,0)),""))</s:f>
        <s:v/>
      </s:c>
      <s:c r="C18" s="81" t="str">
        <s:f>IF($I18="","",IFERROR(INDEX('Sphere of Influence'!$B$7:$B$306,MATCH($I18,'Sphere of Influence'!$R$7:$R$306,0)),""))</s:f>
        <s:v/>
      </s:c>
      <s:c r="D18" s="82" t="str">
        <s:f>IF($I18="","",IFERROR(INDEX('Sphere of Influence'!$D$7:$D$306,MATCH($I18,'Sphere of Influence'!$R$7:$R$306,0)),""))</s:f>
        <s:v/>
      </s:c>
      <s:c r="E18" s="82" t="str">
        <s:f>IF($I18="","",IFERROR(INDEX('Sphere of Influence'!$E$7:$E$306,MATCH($I18,'Sphere of Influence'!$R$7:$R$306,0)),""))</s:f>
        <s:v/>
      </s:c>
      <s:c r="F18" s="64" t="str">
        <s:f>IF($I18="","",IF($I18&gt;=9999,"never contacted",INT($I18)&amp;" days"))</s:f>
        <s:v/>
      </s:c>
      <s:c r="G18" s="82" t="str">
        <s:f>IF($I18="","",IFERROR(INDEX('Sphere of Influence'!$O$7:$O$306,MATCH($I18,'Sphere of Influence'!$R$7:$R$306,0)),""))</s:f>
        <s:v/>
      </s:c>
      <s:c r="H18" s="83" t="str">
        <s:f>IF($I18="","",IFERROR(INDEX('Sphere of Influence'!$I$7:$I$306,MATCH($I18,'Sphere of Influence'!$R$7:$R$306,0)),""))</s:f>
        <s:v/>
      </s:c>
      <s:c r="I18" s="66" t="str">
        <s:f>IFERROR(LARGE('Sphere of Influence'!$R$7:$R$306,12),"")</s:f>
        <s:v/>
      </s:c>
    </s:row>
    <s:row r="19">
      <s:c r="A19" s="71" t="n">
        <s:v>13</s:v>
      </s:c>
      <s:c r="B19" s="21" t="str">
        <s:f>IF($I19="","",IFERROR(INDEX('Sphere of Influence'!$A$7:$A$306,MATCH($I19,'Sphere of Influence'!$R$7:$R$306,0)),""))</s:f>
        <s:v/>
      </s:c>
      <s:c r="C19" s="78" t="str">
        <s:f>IF($I19="","",IFERROR(INDEX('Sphere of Influence'!$B$7:$B$306,MATCH($I19,'Sphere of Influence'!$R$7:$R$306,0)),""))</s:f>
        <s:v/>
      </s:c>
      <s:c r="D19" s="79" t="str">
        <s:f>IF($I19="","",IFERROR(INDEX('Sphere of Influence'!$D$7:$D$306,MATCH($I19,'Sphere of Influence'!$R$7:$R$306,0)),""))</s:f>
        <s:v/>
      </s:c>
      <s:c r="E19" s="79" t="str">
        <s:f>IF($I19="","",IFERROR(INDEX('Sphere of Influence'!$E$7:$E$306,MATCH($I19,'Sphere of Influence'!$R$7:$R$306,0)),""))</s:f>
        <s:v/>
      </s:c>
      <s:c r="F19" s="74" t="str">
        <s:f>IF($I19="","",IF($I19&gt;=9999,"never contacted",INT($I19)&amp;" days"))</s:f>
        <s:v/>
      </s:c>
      <s:c r="G19" s="79" t="str">
        <s:f>IF($I19="","",IFERROR(INDEX('Sphere of Influence'!$O$7:$O$306,MATCH($I19,'Sphere of Influence'!$R$7:$R$306,0)),""))</s:f>
        <s:v/>
      </s:c>
      <s:c r="H19" s="80" t="str">
        <s:f>IF($I19="","",IFERROR(INDEX('Sphere of Influence'!$I$7:$I$306,MATCH($I19,'Sphere of Influence'!$R$7:$R$306,0)),""))</s:f>
        <s:v/>
      </s:c>
      <s:c r="I19" s="75" t="str">
        <s:f>IFERROR(LARGE('Sphere of Influence'!$R$7:$R$306,13),"")</s:f>
        <s:v/>
      </s:c>
    </s:row>
    <s:row r="20">
      <s:c r="A20" s="61" t="n">
        <s:v>14</s:v>
      </s:c>
      <s:c r="B20" s="8" t="str">
        <s:f>IF($I20="","",IFERROR(INDEX('Sphere of Influence'!$A$7:$A$306,MATCH($I20,'Sphere of Influence'!$R$7:$R$306,0)),""))</s:f>
        <s:v/>
      </s:c>
      <s:c r="C20" s="81" t="str">
        <s:f>IF($I20="","",IFERROR(INDEX('Sphere of Influence'!$B$7:$B$306,MATCH($I20,'Sphere of Influence'!$R$7:$R$306,0)),""))</s:f>
        <s:v/>
      </s:c>
      <s:c r="D20" s="82" t="str">
        <s:f>IF($I20="","",IFERROR(INDEX('Sphere of Influence'!$D$7:$D$306,MATCH($I20,'Sphere of Influence'!$R$7:$R$306,0)),""))</s:f>
        <s:v/>
      </s:c>
      <s:c r="E20" s="82" t="str">
        <s:f>IF($I20="","",IFERROR(INDEX('Sphere of Influence'!$E$7:$E$306,MATCH($I20,'Sphere of Influence'!$R$7:$R$306,0)),""))</s:f>
        <s:v/>
      </s:c>
      <s:c r="F20" s="64" t="str">
        <s:f>IF($I20="","",IF($I20&gt;=9999,"never contacted",INT($I20)&amp;" days"))</s:f>
        <s:v/>
      </s:c>
      <s:c r="G20" s="82" t="str">
        <s:f>IF($I20="","",IFERROR(INDEX('Sphere of Influence'!$O$7:$O$306,MATCH($I20,'Sphere of Influence'!$R$7:$R$306,0)),""))</s:f>
        <s:v/>
      </s:c>
      <s:c r="H20" s="83" t="str">
        <s:f>IF($I20="","",IFERROR(INDEX('Sphere of Influence'!$I$7:$I$306,MATCH($I20,'Sphere of Influence'!$R$7:$R$306,0)),""))</s:f>
        <s:v/>
      </s:c>
      <s:c r="I20" s="66" t="str">
        <s:f>IFERROR(LARGE('Sphere of Influence'!$R$7:$R$306,14),"")</s:f>
        <s:v/>
      </s:c>
    </s:row>
    <s:row r="21">
      <s:c r="A21" s="71" t="n">
        <s:v>15</s:v>
      </s:c>
      <s:c r="B21" s="21" t="str">
        <s:f>IF($I21="","",IFERROR(INDEX('Sphere of Influence'!$A$7:$A$306,MATCH($I21,'Sphere of Influence'!$R$7:$R$306,0)),""))</s:f>
        <s:v/>
      </s:c>
      <s:c r="C21" s="78" t="str">
        <s:f>IF($I21="","",IFERROR(INDEX('Sphere of Influence'!$B$7:$B$306,MATCH($I21,'Sphere of Influence'!$R$7:$R$306,0)),""))</s:f>
        <s:v/>
      </s:c>
      <s:c r="D21" s="79" t="str">
        <s:f>IF($I21="","",IFERROR(INDEX('Sphere of Influence'!$D$7:$D$306,MATCH($I21,'Sphere of Influence'!$R$7:$R$306,0)),""))</s:f>
        <s:v/>
      </s:c>
      <s:c r="E21" s="79" t="str">
        <s:f>IF($I21="","",IFERROR(INDEX('Sphere of Influence'!$E$7:$E$306,MATCH($I21,'Sphere of Influence'!$R$7:$R$306,0)),""))</s:f>
        <s:v/>
      </s:c>
      <s:c r="F21" s="74" t="str">
        <s:f>IF($I21="","",IF($I21&gt;=9999,"never contacted",INT($I21)&amp;" days"))</s:f>
        <s:v/>
      </s:c>
      <s:c r="G21" s="79" t="str">
        <s:f>IF($I21="","",IFERROR(INDEX('Sphere of Influence'!$O$7:$O$306,MATCH($I21,'Sphere of Influence'!$R$7:$R$306,0)),""))</s:f>
        <s:v/>
      </s:c>
      <s:c r="H21" s="80" t="str">
        <s:f>IF($I21="","",IFERROR(INDEX('Sphere of Influence'!$I$7:$I$306,MATCH($I21,'Sphere of Influence'!$R$7:$R$306,0)),""))</s:f>
        <s:v/>
      </s:c>
      <s:c r="I21" s="75" t="str">
        <s:f>IFERROR(LARGE('Sphere of Influence'!$R$7:$R$306,15),"")</s:f>
        <s:v/>
      </s:c>
    </s:row>
    <s:row r="22">
      <s:c r="A22" s="61" t="n">
        <s:v>16</s:v>
      </s:c>
      <s:c r="B22" s="8" t="str">
        <s:f>IF($I22="","",IFERROR(INDEX('Sphere of Influence'!$A$7:$A$306,MATCH($I22,'Sphere of Influence'!$R$7:$R$306,0)),""))</s:f>
        <s:v/>
      </s:c>
      <s:c r="C22" s="81" t="str">
        <s:f>IF($I22="","",IFERROR(INDEX('Sphere of Influence'!$B$7:$B$306,MATCH($I22,'Sphere of Influence'!$R$7:$R$306,0)),""))</s:f>
        <s:v/>
      </s:c>
      <s:c r="D22" s="82" t="str">
        <s:f>IF($I22="","",IFERROR(INDEX('Sphere of Influence'!$D$7:$D$306,MATCH($I22,'Sphere of Influence'!$R$7:$R$306,0)),""))</s:f>
        <s:v/>
      </s:c>
      <s:c r="E22" s="82" t="str">
        <s:f>IF($I22="","",IFERROR(INDEX('Sphere of Influence'!$E$7:$E$306,MATCH($I22,'Sphere of Influence'!$R$7:$R$306,0)),""))</s:f>
        <s:v/>
      </s:c>
      <s:c r="F22" s="64" t="str">
        <s:f>IF($I22="","",IF($I22&gt;=9999,"never contacted",INT($I22)&amp;" days"))</s:f>
        <s:v/>
      </s:c>
      <s:c r="G22" s="82" t="str">
        <s:f>IF($I22="","",IFERROR(INDEX('Sphere of Influence'!$O$7:$O$306,MATCH($I22,'Sphere of Influence'!$R$7:$R$306,0)),""))</s:f>
        <s:v/>
      </s:c>
      <s:c r="H22" s="83" t="str">
        <s:f>IF($I22="","",IFERROR(INDEX('Sphere of Influence'!$I$7:$I$306,MATCH($I22,'Sphere of Influence'!$R$7:$R$306,0)),""))</s:f>
        <s:v/>
      </s:c>
      <s:c r="I22" s="66" t="str">
        <s:f>IFERROR(LARGE('Sphere of Influence'!$R$7:$R$306,16),"")</s:f>
        <s:v/>
      </s:c>
    </s:row>
    <s:row r="23">
      <s:c r="A23" s="71" t="n">
        <s:v>17</s:v>
      </s:c>
      <s:c r="B23" s="21" t="str">
        <s:f>IF($I23="","",IFERROR(INDEX('Sphere of Influence'!$A$7:$A$306,MATCH($I23,'Sphere of Influence'!$R$7:$R$306,0)),""))</s:f>
        <s:v/>
      </s:c>
      <s:c r="C23" s="78" t="str">
        <s:f>IF($I23="","",IFERROR(INDEX('Sphere of Influence'!$B$7:$B$306,MATCH($I23,'Sphere of Influence'!$R$7:$R$306,0)),""))</s:f>
        <s:v/>
      </s:c>
      <s:c r="D23" s="79" t="str">
        <s:f>IF($I23="","",IFERROR(INDEX('Sphere of Influence'!$D$7:$D$306,MATCH($I23,'Sphere of Influence'!$R$7:$R$306,0)),""))</s:f>
        <s:v/>
      </s:c>
      <s:c r="E23" s="79" t="str">
        <s:f>IF($I23="","",IFERROR(INDEX('Sphere of Influence'!$E$7:$E$306,MATCH($I23,'Sphere of Influence'!$R$7:$R$306,0)),""))</s:f>
        <s:v/>
      </s:c>
      <s:c r="F23" s="74" t="str">
        <s:f>IF($I23="","",IF($I23&gt;=9999,"never contacted",INT($I23)&amp;" days"))</s:f>
        <s:v/>
      </s:c>
      <s:c r="G23" s="79" t="str">
        <s:f>IF($I23="","",IFERROR(INDEX('Sphere of Influence'!$O$7:$O$306,MATCH($I23,'Sphere of Influence'!$R$7:$R$306,0)),""))</s:f>
        <s:v/>
      </s:c>
      <s:c r="H23" s="80" t="str">
        <s:f>IF($I23="","",IFERROR(INDEX('Sphere of Influence'!$I$7:$I$306,MATCH($I23,'Sphere of Influence'!$R$7:$R$306,0)),""))</s:f>
        <s:v/>
      </s:c>
      <s:c r="I23" s="75" t="str">
        <s:f>IFERROR(LARGE('Sphere of Influence'!$R$7:$R$306,17),"")</s:f>
        <s:v/>
      </s:c>
    </s:row>
    <s:row r="24">
      <s:c r="A24" s="61" t="n">
        <s:v>18</s:v>
      </s:c>
      <s:c r="B24" s="8" t="str">
        <s:f>IF($I24="","",IFERROR(INDEX('Sphere of Influence'!$A$7:$A$306,MATCH($I24,'Sphere of Influence'!$R$7:$R$306,0)),""))</s:f>
        <s:v/>
      </s:c>
      <s:c r="C24" s="81" t="str">
        <s:f>IF($I24="","",IFERROR(INDEX('Sphere of Influence'!$B$7:$B$306,MATCH($I24,'Sphere of Influence'!$R$7:$R$306,0)),""))</s:f>
        <s:v/>
      </s:c>
      <s:c r="D24" s="82" t="str">
        <s:f>IF($I24="","",IFERROR(INDEX('Sphere of Influence'!$D$7:$D$306,MATCH($I24,'Sphere of Influence'!$R$7:$R$306,0)),""))</s:f>
        <s:v/>
      </s:c>
      <s:c r="E24" s="82" t="str">
        <s:f>IF($I24="","",IFERROR(INDEX('Sphere of Influence'!$E$7:$E$306,MATCH($I24,'Sphere of Influence'!$R$7:$R$306,0)),""))</s:f>
        <s:v/>
      </s:c>
      <s:c r="F24" s="64" t="str">
        <s:f>IF($I24="","",IF($I24&gt;=9999,"never contacted",INT($I24)&amp;" days"))</s:f>
        <s:v/>
      </s:c>
      <s:c r="G24" s="82" t="str">
        <s:f>IF($I24="","",IFERROR(INDEX('Sphere of Influence'!$O$7:$O$306,MATCH($I24,'Sphere of Influence'!$R$7:$R$306,0)),""))</s:f>
        <s:v/>
      </s:c>
      <s:c r="H24" s="83" t="str">
        <s:f>IF($I24="","",IFERROR(INDEX('Sphere of Influence'!$I$7:$I$306,MATCH($I24,'Sphere of Influence'!$R$7:$R$306,0)),""))</s:f>
        <s:v/>
      </s:c>
      <s:c r="I24" s="66" t="str">
        <s:f>IFERROR(LARGE('Sphere of Influence'!$R$7:$R$306,18),"")</s:f>
        <s:v/>
      </s:c>
    </s:row>
    <s:row r="25">
      <s:c r="A25" s="71" t="n">
        <s:v>19</s:v>
      </s:c>
      <s:c r="B25" s="21" t="str">
        <s:f>IF($I25="","",IFERROR(INDEX('Sphere of Influence'!$A$7:$A$306,MATCH($I25,'Sphere of Influence'!$R$7:$R$306,0)),""))</s:f>
        <s:v/>
      </s:c>
      <s:c r="C25" s="78" t="str">
        <s:f>IF($I25="","",IFERROR(INDEX('Sphere of Influence'!$B$7:$B$306,MATCH($I25,'Sphere of Influence'!$R$7:$R$306,0)),""))</s:f>
        <s:v/>
      </s:c>
      <s:c r="D25" s="79" t="str">
        <s:f>IF($I25="","",IFERROR(INDEX('Sphere of Influence'!$D$7:$D$306,MATCH($I25,'Sphere of Influence'!$R$7:$R$306,0)),""))</s:f>
        <s:v/>
      </s:c>
      <s:c r="E25" s="79" t="str">
        <s:f>IF($I25="","",IFERROR(INDEX('Sphere of Influence'!$E$7:$E$306,MATCH($I25,'Sphere of Influence'!$R$7:$R$306,0)),""))</s:f>
        <s:v/>
      </s:c>
      <s:c r="F25" s="74" t="str">
        <s:f>IF($I25="","",IF($I25&gt;=9999,"never contacted",INT($I25)&amp;" days"))</s:f>
        <s:v/>
      </s:c>
      <s:c r="G25" s="79" t="str">
        <s:f>IF($I25="","",IFERROR(INDEX('Sphere of Influence'!$O$7:$O$306,MATCH($I25,'Sphere of Influence'!$R$7:$R$306,0)),""))</s:f>
        <s:v/>
      </s:c>
      <s:c r="H25" s="80" t="str">
        <s:f>IF($I25="","",IFERROR(INDEX('Sphere of Influence'!$I$7:$I$306,MATCH($I25,'Sphere of Influence'!$R$7:$R$306,0)),""))</s:f>
        <s:v/>
      </s:c>
      <s:c r="I25" s="75" t="str">
        <s:f>IFERROR(LARGE('Sphere of Influence'!$R$7:$R$306,19),"")</s:f>
        <s:v/>
      </s:c>
    </s:row>
    <s:row r="26">
      <s:c r="A26" s="61" t="n">
        <s:v>20</s:v>
      </s:c>
      <s:c r="B26" s="8" t="str">
        <s:f>IF($I26="","",IFERROR(INDEX('Sphere of Influence'!$A$7:$A$306,MATCH($I26,'Sphere of Influence'!$R$7:$R$306,0)),""))</s:f>
        <s:v/>
      </s:c>
      <s:c r="C26" s="81" t="str">
        <s:f>IF($I26="","",IFERROR(INDEX('Sphere of Influence'!$B$7:$B$306,MATCH($I26,'Sphere of Influence'!$R$7:$R$306,0)),""))</s:f>
        <s:v/>
      </s:c>
      <s:c r="D26" s="82" t="str">
        <s:f>IF($I26="","",IFERROR(INDEX('Sphere of Influence'!$D$7:$D$306,MATCH($I26,'Sphere of Influence'!$R$7:$R$306,0)),""))</s:f>
        <s:v/>
      </s:c>
      <s:c r="E26" s="82" t="str">
        <s:f>IF($I26="","",IFERROR(INDEX('Sphere of Influence'!$E$7:$E$306,MATCH($I26,'Sphere of Influence'!$R$7:$R$306,0)),""))</s:f>
        <s:v/>
      </s:c>
      <s:c r="F26" s="64" t="str">
        <s:f>IF($I26="","",IF($I26&gt;=9999,"never contacted",INT($I26)&amp;" days"))</s:f>
        <s:v/>
      </s:c>
      <s:c r="G26" s="82" t="str">
        <s:f>IF($I26="","",IFERROR(INDEX('Sphere of Influence'!$O$7:$O$306,MATCH($I26,'Sphere of Influence'!$R$7:$R$306,0)),""))</s:f>
        <s:v/>
      </s:c>
      <s:c r="H26" s="83" t="str">
        <s:f>IF($I26="","",IFERROR(INDEX('Sphere of Influence'!$I$7:$I$306,MATCH($I26,'Sphere of Influence'!$R$7:$R$306,0)),""))</s:f>
        <s:v/>
      </s:c>
      <s:c r="I26" s="66" t="str">
        <s:f>IFERROR(LARGE('Sphere of Influence'!$R$7:$R$306,20),"")</s:f>
        <s:v/>
      </s:c>
    </s:row>
    <s:row r="27">
      <s:c r="A27" s="71" t="n">
        <s:v>21</s:v>
      </s:c>
      <s:c r="B27" s="21" t="str">
        <s:f>IF($I27="","",IFERROR(INDEX('Sphere of Influence'!$A$7:$A$306,MATCH($I27,'Sphere of Influence'!$R$7:$R$306,0)),""))</s:f>
        <s:v/>
      </s:c>
      <s:c r="C27" s="78" t="str">
        <s:f>IF($I27="","",IFERROR(INDEX('Sphere of Influence'!$B$7:$B$306,MATCH($I27,'Sphere of Influence'!$R$7:$R$306,0)),""))</s:f>
        <s:v/>
      </s:c>
      <s:c r="D27" s="79" t="str">
        <s:f>IF($I27="","",IFERROR(INDEX('Sphere of Influence'!$D$7:$D$306,MATCH($I27,'Sphere of Influence'!$R$7:$R$306,0)),""))</s:f>
        <s:v/>
      </s:c>
      <s:c r="E27" s="79" t="str">
        <s:f>IF($I27="","",IFERROR(INDEX('Sphere of Influence'!$E$7:$E$306,MATCH($I27,'Sphere of Influence'!$R$7:$R$306,0)),""))</s:f>
        <s:v/>
      </s:c>
      <s:c r="F27" s="74" t="str">
        <s:f>IF($I27="","",IF($I27&gt;=9999,"never contacted",INT($I27)&amp;" days"))</s:f>
        <s:v/>
      </s:c>
      <s:c r="G27" s="79" t="str">
        <s:f>IF($I27="","",IFERROR(INDEX('Sphere of Influence'!$O$7:$O$306,MATCH($I27,'Sphere of Influence'!$R$7:$R$306,0)),""))</s:f>
        <s:v/>
      </s:c>
      <s:c r="H27" s="80" t="str">
        <s:f>IF($I27="","",IFERROR(INDEX('Sphere of Influence'!$I$7:$I$306,MATCH($I27,'Sphere of Influence'!$R$7:$R$306,0)),""))</s:f>
        <s:v/>
      </s:c>
      <s:c r="I27" s="75" t="str">
        <s:f>IFERROR(LARGE('Sphere of Influence'!$R$7:$R$306,21),"")</s:f>
        <s:v/>
      </s:c>
    </s:row>
    <s:row r="28">
      <s:c r="A28" s="61" t="n">
        <s:v>22</s:v>
      </s:c>
      <s:c r="B28" s="8" t="str">
        <s:f>IF($I28="","",IFERROR(INDEX('Sphere of Influence'!$A$7:$A$306,MATCH($I28,'Sphere of Influence'!$R$7:$R$306,0)),""))</s:f>
        <s:v/>
      </s:c>
      <s:c r="C28" s="81" t="str">
        <s:f>IF($I28="","",IFERROR(INDEX('Sphere of Influence'!$B$7:$B$306,MATCH($I28,'Sphere of Influence'!$R$7:$R$306,0)),""))</s:f>
        <s:v/>
      </s:c>
      <s:c r="D28" s="82" t="str">
        <s:f>IF($I28="","",IFERROR(INDEX('Sphere of Influence'!$D$7:$D$306,MATCH($I28,'Sphere of Influence'!$R$7:$R$306,0)),""))</s:f>
        <s:v/>
      </s:c>
      <s:c r="E28" s="82" t="str">
        <s:f>IF($I28="","",IFERROR(INDEX('Sphere of Influence'!$E$7:$E$306,MATCH($I28,'Sphere of Influence'!$R$7:$R$306,0)),""))</s:f>
        <s:v/>
      </s:c>
      <s:c r="F28" s="64" t="str">
        <s:f>IF($I28="","",IF($I28&gt;=9999,"never contacted",INT($I28)&amp;" days"))</s:f>
        <s:v/>
      </s:c>
      <s:c r="G28" s="82" t="str">
        <s:f>IF($I28="","",IFERROR(INDEX('Sphere of Influence'!$O$7:$O$306,MATCH($I28,'Sphere of Influence'!$R$7:$R$306,0)),""))</s:f>
        <s:v/>
      </s:c>
      <s:c r="H28" s="83" t="str">
        <s:f>IF($I28="","",IFERROR(INDEX('Sphere of Influence'!$I$7:$I$306,MATCH($I28,'Sphere of Influence'!$R$7:$R$306,0)),""))</s:f>
        <s:v/>
      </s:c>
      <s:c r="I28" s="66" t="str">
        <s:f>IFERROR(LARGE('Sphere of Influence'!$R$7:$R$306,22),"")</s:f>
        <s:v/>
      </s:c>
    </s:row>
    <s:row r="29">
      <s:c r="A29" s="71" t="n">
        <s:v>23</s:v>
      </s:c>
      <s:c r="B29" s="21" t="str">
        <s:f>IF($I29="","",IFERROR(INDEX('Sphere of Influence'!$A$7:$A$306,MATCH($I29,'Sphere of Influence'!$R$7:$R$306,0)),""))</s:f>
        <s:v/>
      </s:c>
      <s:c r="C29" s="78" t="str">
        <s:f>IF($I29="","",IFERROR(INDEX('Sphere of Influence'!$B$7:$B$306,MATCH($I29,'Sphere of Influence'!$R$7:$R$306,0)),""))</s:f>
        <s:v/>
      </s:c>
      <s:c r="D29" s="79" t="str">
        <s:f>IF($I29="","",IFERROR(INDEX('Sphere of Influence'!$D$7:$D$306,MATCH($I29,'Sphere of Influence'!$R$7:$R$306,0)),""))</s:f>
        <s:v/>
      </s:c>
      <s:c r="E29" s="79" t="str">
        <s:f>IF($I29="","",IFERROR(INDEX('Sphere of Influence'!$E$7:$E$306,MATCH($I29,'Sphere of Influence'!$R$7:$R$306,0)),""))</s:f>
        <s:v/>
      </s:c>
      <s:c r="F29" s="74" t="str">
        <s:f>IF($I29="","",IF($I29&gt;=9999,"never contacted",INT($I29)&amp;" days"))</s:f>
        <s:v/>
      </s:c>
      <s:c r="G29" s="79" t="str">
        <s:f>IF($I29="","",IFERROR(INDEX('Sphere of Influence'!$O$7:$O$306,MATCH($I29,'Sphere of Influence'!$R$7:$R$306,0)),""))</s:f>
        <s:v/>
      </s:c>
      <s:c r="H29" s="80" t="str">
        <s:f>IF($I29="","",IFERROR(INDEX('Sphere of Influence'!$I$7:$I$306,MATCH($I29,'Sphere of Influence'!$R$7:$R$306,0)),""))</s:f>
        <s:v/>
      </s:c>
      <s:c r="I29" s="75" t="str">
        <s:f>IFERROR(LARGE('Sphere of Influence'!$R$7:$R$306,23),"")</s:f>
        <s:v/>
      </s:c>
    </s:row>
    <s:row r="30">
      <s:c r="A30" s="61" t="n">
        <s:v>24</s:v>
      </s:c>
      <s:c r="B30" s="8" t="str">
        <s:f>IF($I30="","",IFERROR(INDEX('Sphere of Influence'!$A$7:$A$306,MATCH($I30,'Sphere of Influence'!$R$7:$R$306,0)),""))</s:f>
        <s:v/>
      </s:c>
      <s:c r="C30" s="81" t="str">
        <s:f>IF($I30="","",IFERROR(INDEX('Sphere of Influence'!$B$7:$B$306,MATCH($I30,'Sphere of Influence'!$R$7:$R$306,0)),""))</s:f>
        <s:v/>
      </s:c>
      <s:c r="D30" s="82" t="str">
        <s:f>IF($I30="","",IFERROR(INDEX('Sphere of Influence'!$D$7:$D$306,MATCH($I30,'Sphere of Influence'!$R$7:$R$306,0)),""))</s:f>
        <s:v/>
      </s:c>
      <s:c r="E30" s="82" t="str">
        <s:f>IF($I30="","",IFERROR(INDEX('Sphere of Influence'!$E$7:$E$306,MATCH($I30,'Sphere of Influence'!$R$7:$R$306,0)),""))</s:f>
        <s:v/>
      </s:c>
      <s:c r="F30" s="64" t="str">
        <s:f>IF($I30="","",IF($I30&gt;=9999,"never contacted",INT($I30)&amp;" days"))</s:f>
        <s:v/>
      </s:c>
      <s:c r="G30" s="82" t="str">
        <s:f>IF($I30="","",IFERROR(INDEX('Sphere of Influence'!$O$7:$O$306,MATCH($I30,'Sphere of Influence'!$R$7:$R$306,0)),""))</s:f>
        <s:v/>
      </s:c>
      <s:c r="H30" s="83" t="str">
        <s:f>IF($I30="","",IFERROR(INDEX('Sphere of Influence'!$I$7:$I$306,MATCH($I30,'Sphere of Influence'!$R$7:$R$306,0)),""))</s:f>
        <s:v/>
      </s:c>
      <s:c r="I30" s="66" t="str">
        <s:f>IFERROR(LARGE('Sphere of Influence'!$R$7:$R$306,24),"")</s:f>
        <s:v/>
      </s:c>
    </s:row>
    <s:row r="31">
      <s:c r="A31" s="71" t="n">
        <s:v>25</s:v>
      </s:c>
      <s:c r="B31" s="21" t="str">
        <s:f>IF($I31="","",IFERROR(INDEX('Sphere of Influence'!$A$7:$A$306,MATCH($I31,'Sphere of Influence'!$R$7:$R$306,0)),""))</s:f>
        <s:v/>
      </s:c>
      <s:c r="C31" s="78" t="str">
        <s:f>IF($I31="","",IFERROR(INDEX('Sphere of Influence'!$B$7:$B$306,MATCH($I31,'Sphere of Influence'!$R$7:$R$306,0)),""))</s:f>
        <s:v/>
      </s:c>
      <s:c r="D31" s="79" t="str">
        <s:f>IF($I31="","",IFERROR(INDEX('Sphere of Influence'!$D$7:$D$306,MATCH($I31,'Sphere of Influence'!$R$7:$R$306,0)),""))</s:f>
        <s:v/>
      </s:c>
      <s:c r="E31" s="79" t="str">
        <s:f>IF($I31="","",IFERROR(INDEX('Sphere of Influence'!$E$7:$E$306,MATCH($I31,'Sphere of Influence'!$R$7:$R$306,0)),""))</s:f>
        <s:v/>
      </s:c>
      <s:c r="F31" s="74" t="str">
        <s:f>IF($I31="","",IF($I31&gt;=9999,"never contacted",INT($I31)&amp;" days"))</s:f>
        <s:v/>
      </s:c>
      <s:c r="G31" s="79" t="str">
        <s:f>IF($I31="","",IFERROR(INDEX('Sphere of Influence'!$O$7:$O$306,MATCH($I31,'Sphere of Influence'!$R$7:$R$306,0)),""))</s:f>
        <s:v/>
      </s:c>
      <s:c r="H31" s="80" t="str">
        <s:f>IF($I31="","",IFERROR(INDEX('Sphere of Influence'!$I$7:$I$306,MATCH($I31,'Sphere of Influence'!$R$7:$R$306,0)),""))</s:f>
        <s:v/>
      </s:c>
      <s:c r="I31" s="75" t="str">
        <s:f>IFERROR(LARGE('Sphere of Influence'!$R$7:$R$306,25),"")</s:f>
        <s:v/>
      </s:c>
    </s:row>
  </s:sheetData>
  <s:mergeCells count="4">
    <s:mergeCell ref="A1:I1"/>
    <s:mergeCell ref="A5:I5"/>
    <s:mergeCell ref="A4:D4"/>
    <s:mergeCell ref="A2:I2"/>
  </s:mergeCells>
  <s:pageMargins left="0.75" right="0.75" top="1" bottom="1" header="0.5" footer="0.5"/>
</s:worksheet>
</file>

<file path=xl/worksheets/sheet7.xml><?xml version="1.0" encoding="utf-8"?>
<s:worksheet xmlns:s="http://schemas.openxmlformats.org/spreadsheetml/2006/main">
  <s:sheetPr>
    <s:tabColor rgb="001F4E79"/>
    <s:outlinePr summaryBelow="1" summaryRight="1"/>
    <s:pageSetUpPr/>
  </s:sheetPr>
  <s:dimension ref="A1:I58"/>
  <s:sheetViews>
    <s:sheetView showGridLines="0" workbookViewId="0">
      <s:pane ySplit="6" topLeftCell="A7" activePane="bottomLeft" state="frozen"/>
      <s:selection pane="bottomLeft" activeCell="A1" sqref="A1"/>
    </s:sheetView>
  </s:sheetViews>
  <s:sheetFormatPr baseColWidth="8" defaultRowHeight="15"/>
  <s:cols>
    <s:col width="13" customWidth="1" min="1" max="1"/>
    <s:col width="14" customWidth="1" min="2" max="2"/>
    <s:col width="11" customWidth="1" min="3" max="3"/>
    <s:col width="12" customWidth="1" min="4" max="4"/>
    <s:col width="12" customWidth="1" min="5" max="5"/>
    <s:col width="11" customWidth="1" min="6" max="6"/>
    <s:col width="14" customWidth="1" min="7" max="7"/>
    <s:col width="13" customWidth="1" min="8" max="8"/>
    <s:col width="34" customWidth="1" min="9" max="9"/>
  </s:cols>
  <s:sheetData>
    <s:row r="1" ht="26" customHeight="1">
      <s:c r="A1" s="1" t="inlineStr">
        <s:is>
          <s:t>WEEKLY RHYTHM  —  100 adds, one post, engage your engagers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inlineStr">
        <s:is>
          <s:t>Three boxes a week. That's the whole system. Fill in the blue columns every Friday.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A4" s="12" t="inlineStr">
        <s:is>
          <s:t>Weeks scored 3/3</s:t>
        </s:is>
      </s:c>
      <s:c r="B4" s="35">
        <s:f>COUNTIF(F7:F58,3)</s:f>
        <s:v>0.0</s:v>
      </s:c>
      <s:c r="C4" s="12" t="inlineStr">
        <s:is>
          <s:t>Connections added</s:t>
        </s:is>
      </s:c>
      <s:c r="E4" s="36">
        <s:f>SUM(B7:B58)</s:f>
        <s:v>0.0</s:v>
      </s:c>
      <s:c r="F4" s="12" t="inlineStr">
        <s:is>
          <s:t>Target/yr</s:t>
        </s:is>
      </s:c>
      <s:c r="G4" s="84">
        <s:f>52*100</s:f>
        <s:v>5200.0</s:v>
      </s:c>
    </s:row>
    <s:row r="6" ht="30" customHeight="1">
      <s:c r="A6" s="16" t="inlineStr">
        <s:is>
          <s:t>Week of</s:t>
        </s:is>
      </s:c>
      <s:c r="B6" s="16" t="inlineStr">
        <s:is>
          <s:t>LinkedIn adds</s:t>
        </s:is>
      </s:c>
      <s:c r="C6" s="16" t="inlineStr">
        <s:is>
          <s:t>Target</s:t>
        </s:is>
      </s:c>
      <s:c r="D6" s="16" t="inlineStr">
        <s:is>
          <s:t>Posted?</s:t>
        </s:is>
      </s:c>
      <s:c r="E6" s="16" t="inlineStr">
        <s:is>
          <s:t>Engaged?</s:t>
        </s:is>
      </s:c>
      <s:c r="F6" s="16" t="inlineStr">
        <s:is>
          <s:t>Score</s:t>
        </s:is>
      </s:c>
      <s:c r="G6" s="16" t="inlineStr">
        <s:is>
          <s:t>Cumulative</s:t>
        </s:is>
      </s:c>
      <s:c r="H6" s="16" t="inlineStr">
        <s:is>
          <s:t>On pace?</s:t>
        </s:is>
      </s:c>
      <s:c r="I6" s="16" t="inlineStr">
        <s:is>
          <s:t>Notes</s:t>
        </s:is>
      </s:c>
    </s:row>
    <s:row r="7">
      <s:c r="A7" s="63">
        <s:f>DATE(2026,9,14)+0</s:f>
        <s:v>46279.0</s:v>
      </s:c>
      <s:c r="B7" s="85" t="n"/>
      <s:c r="C7" s="86" t="n">
        <s:v>100</s:v>
      </s:c>
      <s:c r="D7" s="87" t="n"/>
      <s:c r="E7" s="87" t="n"/>
      <s:c r="F7" s="88" t="str">
        <s:f>IF($B7="","",(N($B7&gt;=$C7))+(IF($D7="Y",1,0))+(IF($E7="Y",1,0)))</s:f>
        <s:v/>
      </s:c>
      <s:c r="G7" s="61" t="str">
        <s:f>IF($B7="","",$B7)</s:f>
        <s:v/>
      </s:c>
      <s:c r="H7" s="89" t="str">
        <s:f>IF($B7="","",IF($G7&gt;=100,"on pace","behind"))</s:f>
        <s:v/>
      </s:c>
      <s:c r="I7" s="65" t="n"/>
    </s:row>
    <s:row r="8">
      <s:c r="A8" s="73">
        <s:f>DATE(2026,9,14)+7</s:f>
        <s:v>46286.0</s:v>
      </s:c>
      <s:c r="B8" s="90" t="n"/>
      <s:c r="C8" s="86" t="n">
        <s:v>100</s:v>
      </s:c>
      <s:c r="D8" s="91" t="n"/>
      <s:c r="E8" s="91" t="n"/>
      <s:c r="F8" s="92" t="str">
        <s:f>IF($B8="","",(N($B8&gt;=$C8))+(IF($D8="Y",1,0))+(IF($E8="Y",1,0)))</s:f>
        <s:v/>
      </s:c>
      <s:c r="G8" s="71" t="str">
        <s:f>IF($B8="",G7,N(G7)+$B8)</s:f>
        <s:v/>
      </s:c>
      <s:c r="H8" s="93" t="str">
        <s:f>IF($B8="","",IF($G8&gt;=200,"on pace","behind"))</s:f>
        <s:v/>
      </s:c>
      <s:c r="I8" s="67" t="n"/>
    </s:row>
    <s:row r="9">
      <s:c r="A9" s="63">
        <s:f>DATE(2026,9,14)+14</s:f>
        <s:v>46293.0</s:v>
      </s:c>
      <s:c r="B9" s="85" t="n"/>
      <s:c r="C9" s="86" t="n">
        <s:v>100</s:v>
      </s:c>
      <s:c r="D9" s="87" t="n"/>
      <s:c r="E9" s="87" t="n"/>
      <s:c r="F9" s="88" t="str">
        <s:f>IF($B9="","",(N($B9&gt;=$C9))+(IF($D9="Y",1,0))+(IF($E9="Y",1,0)))</s:f>
        <s:v/>
      </s:c>
      <s:c r="G9" s="61" t="str">
        <s:f>IF($B9="",G8,N(G8)+$B9)</s:f>
        <s:v/>
      </s:c>
      <s:c r="H9" s="89" t="str">
        <s:f>IF($B9="","",IF($G9&gt;=300,"on pace","behind"))</s:f>
        <s:v/>
      </s:c>
      <s:c r="I9" s="65" t="n"/>
    </s:row>
    <s:row r="10">
      <s:c r="A10" s="73">
        <s:f>DATE(2026,9,14)+21</s:f>
        <s:v>46300.0</s:v>
      </s:c>
      <s:c r="B10" s="90" t="n"/>
      <s:c r="C10" s="86" t="n">
        <s:v>100</s:v>
      </s:c>
      <s:c r="D10" s="91" t="n"/>
      <s:c r="E10" s="91" t="n"/>
      <s:c r="F10" s="92" t="str">
        <s:f>IF($B10="","",(N($B10&gt;=$C10))+(IF($D10="Y",1,0))+(IF($E10="Y",1,0)))</s:f>
        <s:v/>
      </s:c>
      <s:c r="G10" s="71" t="str">
        <s:f>IF($B10="",G9,N(G9)+$B10)</s:f>
        <s:v/>
      </s:c>
      <s:c r="H10" s="93" t="str">
        <s:f>IF($B10="","",IF($G10&gt;=400,"on pace","behind"))</s:f>
        <s:v/>
      </s:c>
      <s:c r="I10" s="67" t="n"/>
    </s:row>
    <s:row r="11">
      <s:c r="A11" s="63">
        <s:f>DATE(2026,9,14)+28</s:f>
        <s:v>46307.0</s:v>
      </s:c>
      <s:c r="B11" s="85" t="n"/>
      <s:c r="C11" s="86" t="n">
        <s:v>100</s:v>
      </s:c>
      <s:c r="D11" s="87" t="n"/>
      <s:c r="E11" s="87" t="n"/>
      <s:c r="F11" s="88" t="str">
        <s:f>IF($B11="","",(N($B11&gt;=$C11))+(IF($D11="Y",1,0))+(IF($E11="Y",1,0)))</s:f>
        <s:v/>
      </s:c>
      <s:c r="G11" s="61" t="str">
        <s:f>IF($B11="",G10,N(G10)+$B11)</s:f>
        <s:v/>
      </s:c>
      <s:c r="H11" s="89" t="str">
        <s:f>IF($B11="","",IF($G11&gt;=500,"on pace","behind"))</s:f>
        <s:v/>
      </s:c>
      <s:c r="I11" s="65" t="n"/>
    </s:row>
    <s:row r="12">
      <s:c r="A12" s="73">
        <s:f>DATE(2026,9,14)+35</s:f>
        <s:v>46314.0</s:v>
      </s:c>
      <s:c r="B12" s="90" t="n"/>
      <s:c r="C12" s="86" t="n">
        <s:v>100</s:v>
      </s:c>
      <s:c r="D12" s="91" t="n"/>
      <s:c r="E12" s="91" t="n"/>
      <s:c r="F12" s="92" t="str">
        <s:f>IF($B12="","",(N($B12&gt;=$C12))+(IF($D12="Y",1,0))+(IF($E12="Y",1,0)))</s:f>
        <s:v/>
      </s:c>
      <s:c r="G12" s="71" t="str">
        <s:f>IF($B12="",G11,N(G11)+$B12)</s:f>
        <s:v/>
      </s:c>
      <s:c r="H12" s="93" t="str">
        <s:f>IF($B12="","",IF($G12&gt;=600,"on pace","behind"))</s:f>
        <s:v/>
      </s:c>
      <s:c r="I12" s="67" t="n"/>
    </s:row>
    <s:row r="13">
      <s:c r="A13" s="63">
        <s:f>DATE(2026,9,14)+42</s:f>
        <s:v>46321.0</s:v>
      </s:c>
      <s:c r="B13" s="85" t="n"/>
      <s:c r="C13" s="86" t="n">
        <s:v>100</s:v>
      </s:c>
      <s:c r="D13" s="87" t="n"/>
      <s:c r="E13" s="87" t="n"/>
      <s:c r="F13" s="88" t="str">
        <s:f>IF($B13="","",(N($B13&gt;=$C13))+(IF($D13="Y",1,0))+(IF($E13="Y",1,0)))</s:f>
        <s:v/>
      </s:c>
      <s:c r="G13" s="61" t="str">
        <s:f>IF($B13="",G12,N(G12)+$B13)</s:f>
        <s:v/>
      </s:c>
      <s:c r="H13" s="89" t="str">
        <s:f>IF($B13="","",IF($G13&gt;=700,"on pace","behind"))</s:f>
        <s:v/>
      </s:c>
      <s:c r="I13" s="65" t="n"/>
    </s:row>
    <s:row r="14">
      <s:c r="A14" s="73">
        <s:f>DATE(2026,9,14)+49</s:f>
        <s:v>46328.0</s:v>
      </s:c>
      <s:c r="B14" s="90" t="n"/>
      <s:c r="C14" s="86" t="n">
        <s:v>100</s:v>
      </s:c>
      <s:c r="D14" s="91" t="n"/>
      <s:c r="E14" s="91" t="n"/>
      <s:c r="F14" s="92" t="str">
        <s:f>IF($B14="","",(N($B14&gt;=$C14))+(IF($D14="Y",1,0))+(IF($E14="Y",1,0)))</s:f>
        <s:v/>
      </s:c>
      <s:c r="G14" s="71" t="str">
        <s:f>IF($B14="",G13,N(G13)+$B14)</s:f>
        <s:v/>
      </s:c>
      <s:c r="H14" s="93" t="str">
        <s:f>IF($B14="","",IF($G14&gt;=800,"on pace","behind"))</s:f>
        <s:v/>
      </s:c>
      <s:c r="I14" s="67" t="n"/>
    </s:row>
    <s:row r="15">
      <s:c r="A15" s="63">
        <s:f>DATE(2026,9,14)+56</s:f>
        <s:v>46335.0</s:v>
      </s:c>
      <s:c r="B15" s="85" t="n"/>
      <s:c r="C15" s="86" t="n">
        <s:v>100</s:v>
      </s:c>
      <s:c r="D15" s="87" t="n"/>
      <s:c r="E15" s="87" t="n"/>
      <s:c r="F15" s="88" t="str">
        <s:f>IF($B15="","",(N($B15&gt;=$C15))+(IF($D15="Y",1,0))+(IF($E15="Y",1,0)))</s:f>
        <s:v/>
      </s:c>
      <s:c r="G15" s="61" t="str">
        <s:f>IF($B15="",G14,N(G14)+$B15)</s:f>
        <s:v/>
      </s:c>
      <s:c r="H15" s="89" t="str">
        <s:f>IF($B15="","",IF($G15&gt;=900,"on pace","behind"))</s:f>
        <s:v/>
      </s:c>
      <s:c r="I15" s="65" t="n"/>
    </s:row>
    <s:row r="16">
      <s:c r="A16" s="73">
        <s:f>DATE(2026,9,14)+63</s:f>
        <s:v>46342.0</s:v>
      </s:c>
      <s:c r="B16" s="90" t="n"/>
      <s:c r="C16" s="86" t="n">
        <s:v>100</s:v>
      </s:c>
      <s:c r="D16" s="91" t="n"/>
      <s:c r="E16" s="91" t="n"/>
      <s:c r="F16" s="92" t="str">
        <s:f>IF($B16="","",(N($B16&gt;=$C16))+(IF($D16="Y",1,0))+(IF($E16="Y",1,0)))</s:f>
        <s:v/>
      </s:c>
      <s:c r="G16" s="71" t="str">
        <s:f>IF($B16="",G15,N(G15)+$B16)</s:f>
        <s:v/>
      </s:c>
      <s:c r="H16" s="93" t="str">
        <s:f>IF($B16="","",IF($G16&gt;=1000,"on pace","behind"))</s:f>
        <s:v/>
      </s:c>
      <s:c r="I16" s="67" t="n"/>
    </s:row>
    <s:row r="17">
      <s:c r="A17" s="63">
        <s:f>DATE(2026,9,14)+70</s:f>
        <s:v>46349.0</s:v>
      </s:c>
      <s:c r="B17" s="85" t="n"/>
      <s:c r="C17" s="86" t="n">
        <s:v>100</s:v>
      </s:c>
      <s:c r="D17" s="87" t="n"/>
      <s:c r="E17" s="87" t="n"/>
      <s:c r="F17" s="88" t="str">
        <s:f>IF($B17="","",(N($B17&gt;=$C17))+(IF($D17="Y",1,0))+(IF($E17="Y",1,0)))</s:f>
        <s:v/>
      </s:c>
      <s:c r="G17" s="61" t="str">
        <s:f>IF($B17="",G16,N(G16)+$B17)</s:f>
        <s:v/>
      </s:c>
      <s:c r="H17" s="89" t="str">
        <s:f>IF($B17="","",IF($G17&gt;=1100,"on pace","behind"))</s:f>
        <s:v/>
      </s:c>
      <s:c r="I17" s="65" t="n"/>
    </s:row>
    <s:row r="18">
      <s:c r="A18" s="73">
        <s:f>DATE(2026,9,14)+77</s:f>
        <s:v>46356.0</s:v>
      </s:c>
      <s:c r="B18" s="90" t="n"/>
      <s:c r="C18" s="86" t="n">
        <s:v>100</s:v>
      </s:c>
      <s:c r="D18" s="91" t="n"/>
      <s:c r="E18" s="91" t="n"/>
      <s:c r="F18" s="92" t="str">
        <s:f>IF($B18="","",(N($B18&gt;=$C18))+(IF($D18="Y",1,0))+(IF($E18="Y",1,0)))</s:f>
        <s:v/>
      </s:c>
      <s:c r="G18" s="71" t="str">
        <s:f>IF($B18="",G17,N(G17)+$B18)</s:f>
        <s:v/>
      </s:c>
      <s:c r="H18" s="93" t="str">
        <s:f>IF($B18="","",IF($G18&gt;=1200,"on pace","behind"))</s:f>
        <s:v/>
      </s:c>
      <s:c r="I18" s="67" t="n"/>
    </s:row>
    <s:row r="19">
      <s:c r="A19" s="63">
        <s:f>DATE(2026,9,14)+84</s:f>
        <s:v>46363.0</s:v>
      </s:c>
      <s:c r="B19" s="85" t="n"/>
      <s:c r="C19" s="86" t="n">
        <s:v>100</s:v>
      </s:c>
      <s:c r="D19" s="87" t="n"/>
      <s:c r="E19" s="87" t="n"/>
      <s:c r="F19" s="88" t="str">
        <s:f>IF($B19="","",(N($B19&gt;=$C19))+(IF($D19="Y",1,0))+(IF($E19="Y",1,0)))</s:f>
        <s:v/>
      </s:c>
      <s:c r="G19" s="61" t="str">
        <s:f>IF($B19="",G18,N(G18)+$B19)</s:f>
        <s:v/>
      </s:c>
      <s:c r="H19" s="89" t="str">
        <s:f>IF($B19="","",IF($G19&gt;=1300,"on pace","behind"))</s:f>
        <s:v/>
      </s:c>
      <s:c r="I19" s="65" t="n"/>
    </s:row>
    <s:row r="20">
      <s:c r="A20" s="73">
        <s:f>DATE(2026,9,14)+91</s:f>
        <s:v>46370.0</s:v>
      </s:c>
      <s:c r="B20" s="90" t="n"/>
      <s:c r="C20" s="86" t="n">
        <s:v>100</s:v>
      </s:c>
      <s:c r="D20" s="91" t="n"/>
      <s:c r="E20" s="91" t="n"/>
      <s:c r="F20" s="92" t="str">
        <s:f>IF($B20="","",(N($B20&gt;=$C20))+(IF($D20="Y",1,0))+(IF($E20="Y",1,0)))</s:f>
        <s:v/>
      </s:c>
      <s:c r="G20" s="71" t="str">
        <s:f>IF($B20="",G19,N(G19)+$B20)</s:f>
        <s:v/>
      </s:c>
      <s:c r="H20" s="93" t="str">
        <s:f>IF($B20="","",IF($G20&gt;=1400,"on pace","behind"))</s:f>
        <s:v/>
      </s:c>
      <s:c r="I20" s="67" t="n"/>
    </s:row>
    <s:row r="21">
      <s:c r="A21" s="63">
        <s:f>DATE(2026,9,14)+98</s:f>
        <s:v>46377.0</s:v>
      </s:c>
      <s:c r="B21" s="85" t="n"/>
      <s:c r="C21" s="86" t="n">
        <s:v>100</s:v>
      </s:c>
      <s:c r="D21" s="87" t="n"/>
      <s:c r="E21" s="87" t="n"/>
      <s:c r="F21" s="88" t="str">
        <s:f>IF($B21="","",(N($B21&gt;=$C21))+(IF($D21="Y",1,0))+(IF($E21="Y",1,0)))</s:f>
        <s:v/>
      </s:c>
      <s:c r="G21" s="61" t="str">
        <s:f>IF($B21="",G20,N(G20)+$B21)</s:f>
        <s:v/>
      </s:c>
      <s:c r="H21" s="89" t="str">
        <s:f>IF($B21="","",IF($G21&gt;=1500,"on pace","behind"))</s:f>
        <s:v/>
      </s:c>
      <s:c r="I21" s="65" t="n"/>
    </s:row>
    <s:row r="22">
      <s:c r="A22" s="73">
        <s:f>DATE(2026,9,14)+105</s:f>
        <s:v>46384.0</s:v>
      </s:c>
      <s:c r="B22" s="90" t="n"/>
      <s:c r="C22" s="86" t="n">
        <s:v>100</s:v>
      </s:c>
      <s:c r="D22" s="91" t="n"/>
      <s:c r="E22" s="91" t="n"/>
      <s:c r="F22" s="92" t="str">
        <s:f>IF($B22="","",(N($B22&gt;=$C22))+(IF($D22="Y",1,0))+(IF($E22="Y",1,0)))</s:f>
        <s:v/>
      </s:c>
      <s:c r="G22" s="71" t="str">
        <s:f>IF($B22="",G21,N(G21)+$B22)</s:f>
        <s:v/>
      </s:c>
      <s:c r="H22" s="93" t="str">
        <s:f>IF($B22="","",IF($G22&gt;=1600,"on pace","behind"))</s:f>
        <s:v/>
      </s:c>
      <s:c r="I22" s="67" t="n"/>
    </s:row>
    <s:row r="23">
      <s:c r="A23" s="63">
        <s:f>DATE(2026,9,14)+112</s:f>
        <s:v>46391.0</s:v>
      </s:c>
      <s:c r="B23" s="85" t="n"/>
      <s:c r="C23" s="86" t="n">
        <s:v>100</s:v>
      </s:c>
      <s:c r="D23" s="87" t="n"/>
      <s:c r="E23" s="87" t="n"/>
      <s:c r="F23" s="88" t="str">
        <s:f>IF($B23="","",(N($B23&gt;=$C23))+(IF($D23="Y",1,0))+(IF($E23="Y",1,0)))</s:f>
        <s:v/>
      </s:c>
      <s:c r="G23" s="61" t="str">
        <s:f>IF($B23="",G22,N(G22)+$B23)</s:f>
        <s:v/>
      </s:c>
      <s:c r="H23" s="89" t="str">
        <s:f>IF($B23="","",IF($G23&gt;=1700,"on pace","behind"))</s:f>
        <s:v/>
      </s:c>
      <s:c r="I23" s="65" t="n"/>
    </s:row>
    <s:row r="24">
      <s:c r="A24" s="73">
        <s:f>DATE(2026,9,14)+119</s:f>
        <s:v>46398.0</s:v>
      </s:c>
      <s:c r="B24" s="90" t="n"/>
      <s:c r="C24" s="86" t="n">
        <s:v>100</s:v>
      </s:c>
      <s:c r="D24" s="91" t="n"/>
      <s:c r="E24" s="91" t="n"/>
      <s:c r="F24" s="92" t="str">
        <s:f>IF($B24="","",(N($B24&gt;=$C24))+(IF($D24="Y",1,0))+(IF($E24="Y",1,0)))</s:f>
        <s:v/>
      </s:c>
      <s:c r="G24" s="71" t="str">
        <s:f>IF($B24="",G23,N(G23)+$B24)</s:f>
        <s:v/>
      </s:c>
      <s:c r="H24" s="93" t="str">
        <s:f>IF($B24="","",IF($G24&gt;=1800,"on pace","behind"))</s:f>
        <s:v/>
      </s:c>
      <s:c r="I24" s="67" t="n"/>
    </s:row>
    <s:row r="25">
      <s:c r="A25" s="63">
        <s:f>DATE(2026,9,14)+126</s:f>
        <s:v>46405.0</s:v>
      </s:c>
      <s:c r="B25" s="85" t="n"/>
      <s:c r="C25" s="86" t="n">
        <s:v>100</s:v>
      </s:c>
      <s:c r="D25" s="87" t="n"/>
      <s:c r="E25" s="87" t="n"/>
      <s:c r="F25" s="88" t="str">
        <s:f>IF($B25="","",(N($B25&gt;=$C25))+(IF($D25="Y",1,0))+(IF($E25="Y",1,0)))</s:f>
        <s:v/>
      </s:c>
      <s:c r="G25" s="61" t="str">
        <s:f>IF($B25="",G24,N(G24)+$B25)</s:f>
        <s:v/>
      </s:c>
      <s:c r="H25" s="89" t="str">
        <s:f>IF($B25="","",IF($G25&gt;=1900,"on pace","behind"))</s:f>
        <s:v/>
      </s:c>
      <s:c r="I25" s="65" t="n"/>
    </s:row>
    <s:row r="26">
      <s:c r="A26" s="73">
        <s:f>DATE(2026,9,14)+133</s:f>
        <s:v>46412.0</s:v>
      </s:c>
      <s:c r="B26" s="90" t="n"/>
      <s:c r="C26" s="86" t="n">
        <s:v>100</s:v>
      </s:c>
      <s:c r="D26" s="91" t="n"/>
      <s:c r="E26" s="91" t="n"/>
      <s:c r="F26" s="92" t="str">
        <s:f>IF($B26="","",(N($B26&gt;=$C26))+(IF($D26="Y",1,0))+(IF($E26="Y",1,0)))</s:f>
        <s:v/>
      </s:c>
      <s:c r="G26" s="71" t="str">
        <s:f>IF($B26="",G25,N(G25)+$B26)</s:f>
        <s:v/>
      </s:c>
      <s:c r="H26" s="93" t="str">
        <s:f>IF($B26="","",IF($G26&gt;=2000,"on pace","behind"))</s:f>
        <s:v/>
      </s:c>
      <s:c r="I26" s="67" t="n"/>
    </s:row>
    <s:row r="27">
      <s:c r="A27" s="63">
        <s:f>DATE(2026,9,14)+140</s:f>
        <s:v>46419.0</s:v>
      </s:c>
      <s:c r="B27" s="85" t="n"/>
      <s:c r="C27" s="86" t="n">
        <s:v>100</s:v>
      </s:c>
      <s:c r="D27" s="87" t="n"/>
      <s:c r="E27" s="87" t="n"/>
      <s:c r="F27" s="88" t="str">
        <s:f>IF($B27="","",(N($B27&gt;=$C27))+(IF($D27="Y",1,0))+(IF($E27="Y",1,0)))</s:f>
        <s:v/>
      </s:c>
      <s:c r="G27" s="61" t="str">
        <s:f>IF($B27="",G26,N(G26)+$B27)</s:f>
        <s:v/>
      </s:c>
      <s:c r="H27" s="89" t="str">
        <s:f>IF($B27="","",IF($G27&gt;=2100,"on pace","behind"))</s:f>
        <s:v/>
      </s:c>
      <s:c r="I27" s="65" t="n"/>
    </s:row>
    <s:row r="28">
      <s:c r="A28" s="73">
        <s:f>DATE(2026,9,14)+147</s:f>
        <s:v>46426.0</s:v>
      </s:c>
      <s:c r="B28" s="90" t="n"/>
      <s:c r="C28" s="86" t="n">
        <s:v>100</s:v>
      </s:c>
      <s:c r="D28" s="91" t="n"/>
      <s:c r="E28" s="91" t="n"/>
      <s:c r="F28" s="92" t="str">
        <s:f>IF($B28="","",(N($B28&gt;=$C28))+(IF($D28="Y",1,0))+(IF($E28="Y",1,0)))</s:f>
        <s:v/>
      </s:c>
      <s:c r="G28" s="71" t="str">
        <s:f>IF($B28="",G27,N(G27)+$B28)</s:f>
        <s:v/>
      </s:c>
      <s:c r="H28" s="93" t="str">
        <s:f>IF($B28="","",IF($G28&gt;=2200,"on pace","behind"))</s:f>
        <s:v/>
      </s:c>
      <s:c r="I28" s="67" t="n"/>
    </s:row>
    <s:row r="29">
      <s:c r="A29" s="63">
        <s:f>DATE(2026,9,14)+154</s:f>
        <s:v>46433.0</s:v>
      </s:c>
      <s:c r="B29" s="85" t="n"/>
      <s:c r="C29" s="86" t="n">
        <s:v>100</s:v>
      </s:c>
      <s:c r="D29" s="87" t="n"/>
      <s:c r="E29" s="87" t="n"/>
      <s:c r="F29" s="88" t="str">
        <s:f>IF($B29="","",(N($B29&gt;=$C29))+(IF($D29="Y",1,0))+(IF($E29="Y",1,0)))</s:f>
        <s:v/>
      </s:c>
      <s:c r="G29" s="61" t="str">
        <s:f>IF($B29="",G28,N(G28)+$B29)</s:f>
        <s:v/>
      </s:c>
      <s:c r="H29" s="89" t="str">
        <s:f>IF($B29="","",IF($G29&gt;=2300,"on pace","behind"))</s:f>
        <s:v/>
      </s:c>
      <s:c r="I29" s="65" t="n"/>
    </s:row>
    <s:row r="30">
      <s:c r="A30" s="73">
        <s:f>DATE(2026,9,14)+161</s:f>
        <s:v>46440.0</s:v>
      </s:c>
      <s:c r="B30" s="90" t="n"/>
      <s:c r="C30" s="86" t="n">
        <s:v>100</s:v>
      </s:c>
      <s:c r="D30" s="91" t="n"/>
      <s:c r="E30" s="91" t="n"/>
      <s:c r="F30" s="92" t="str">
        <s:f>IF($B30="","",(N($B30&gt;=$C30))+(IF($D30="Y",1,0))+(IF($E30="Y",1,0)))</s:f>
        <s:v/>
      </s:c>
      <s:c r="G30" s="71" t="str">
        <s:f>IF($B30="",G29,N(G29)+$B30)</s:f>
        <s:v/>
      </s:c>
      <s:c r="H30" s="93" t="str">
        <s:f>IF($B30="","",IF($G30&gt;=2400,"on pace","behind"))</s:f>
        <s:v/>
      </s:c>
      <s:c r="I30" s="67" t="n"/>
    </s:row>
    <s:row r="31">
      <s:c r="A31" s="63">
        <s:f>DATE(2026,9,14)+168</s:f>
        <s:v>46447.0</s:v>
      </s:c>
      <s:c r="B31" s="85" t="n"/>
      <s:c r="C31" s="86" t="n">
        <s:v>100</s:v>
      </s:c>
      <s:c r="D31" s="87" t="n"/>
      <s:c r="E31" s="87" t="n"/>
      <s:c r="F31" s="88" t="str">
        <s:f>IF($B31="","",(N($B31&gt;=$C31))+(IF($D31="Y",1,0))+(IF($E31="Y",1,0)))</s:f>
        <s:v/>
      </s:c>
      <s:c r="G31" s="61" t="str">
        <s:f>IF($B31="",G30,N(G30)+$B31)</s:f>
        <s:v/>
      </s:c>
      <s:c r="H31" s="89" t="str">
        <s:f>IF($B31="","",IF($G31&gt;=2500,"on pace","behind"))</s:f>
        <s:v/>
      </s:c>
      <s:c r="I31" s="65" t="n"/>
    </s:row>
    <s:row r="32">
      <s:c r="A32" s="73">
        <s:f>DATE(2026,9,14)+175</s:f>
        <s:v>46454.0</s:v>
      </s:c>
      <s:c r="B32" s="90" t="n"/>
      <s:c r="C32" s="86" t="n">
        <s:v>100</s:v>
      </s:c>
      <s:c r="D32" s="91" t="n"/>
      <s:c r="E32" s="91" t="n"/>
      <s:c r="F32" s="92" t="str">
        <s:f>IF($B32="","",(N($B32&gt;=$C32))+(IF($D32="Y",1,0))+(IF($E32="Y",1,0)))</s:f>
        <s:v/>
      </s:c>
      <s:c r="G32" s="71" t="str">
        <s:f>IF($B32="",G31,N(G31)+$B32)</s:f>
        <s:v/>
      </s:c>
      <s:c r="H32" s="93" t="str">
        <s:f>IF($B32="","",IF($G32&gt;=2600,"on pace","behind"))</s:f>
        <s:v/>
      </s:c>
      <s:c r="I32" s="67" t="n"/>
    </s:row>
    <s:row r="33">
      <s:c r="A33" s="63">
        <s:f>DATE(2026,9,14)+182</s:f>
        <s:v>46461.0</s:v>
      </s:c>
      <s:c r="B33" s="85" t="n"/>
      <s:c r="C33" s="86" t="n">
        <s:v>100</s:v>
      </s:c>
      <s:c r="D33" s="87" t="n"/>
      <s:c r="E33" s="87" t="n"/>
      <s:c r="F33" s="88" t="str">
        <s:f>IF($B33="","",(N($B33&gt;=$C33))+(IF($D33="Y",1,0))+(IF($E33="Y",1,0)))</s:f>
        <s:v/>
      </s:c>
      <s:c r="G33" s="61" t="str">
        <s:f>IF($B33="",G32,N(G32)+$B33)</s:f>
        <s:v/>
      </s:c>
      <s:c r="H33" s="89" t="str">
        <s:f>IF($B33="","",IF($G33&gt;=2700,"on pace","behind"))</s:f>
        <s:v/>
      </s:c>
      <s:c r="I33" s="65" t="n"/>
    </s:row>
    <s:row r="34">
      <s:c r="A34" s="73">
        <s:f>DATE(2026,9,14)+189</s:f>
        <s:v>46468.0</s:v>
      </s:c>
      <s:c r="B34" s="90" t="n"/>
      <s:c r="C34" s="86" t="n">
        <s:v>100</s:v>
      </s:c>
      <s:c r="D34" s="91" t="n"/>
      <s:c r="E34" s="91" t="n"/>
      <s:c r="F34" s="92" t="str">
        <s:f>IF($B34="","",(N($B34&gt;=$C34))+(IF($D34="Y",1,0))+(IF($E34="Y",1,0)))</s:f>
        <s:v/>
      </s:c>
      <s:c r="G34" s="71" t="str">
        <s:f>IF($B34="",G33,N(G33)+$B34)</s:f>
        <s:v/>
      </s:c>
      <s:c r="H34" s="93" t="str">
        <s:f>IF($B34="","",IF($G34&gt;=2800,"on pace","behind"))</s:f>
        <s:v/>
      </s:c>
      <s:c r="I34" s="67" t="n"/>
    </s:row>
    <s:row r="35">
      <s:c r="A35" s="63">
        <s:f>DATE(2026,9,14)+196</s:f>
        <s:v>46475.0</s:v>
      </s:c>
      <s:c r="B35" s="85" t="n"/>
      <s:c r="C35" s="86" t="n">
        <s:v>100</s:v>
      </s:c>
      <s:c r="D35" s="87" t="n"/>
      <s:c r="E35" s="87" t="n"/>
      <s:c r="F35" s="88" t="str">
        <s:f>IF($B35="","",(N($B35&gt;=$C35))+(IF($D35="Y",1,0))+(IF($E35="Y",1,0)))</s:f>
        <s:v/>
      </s:c>
      <s:c r="G35" s="61" t="str">
        <s:f>IF($B35="",G34,N(G34)+$B35)</s:f>
        <s:v/>
      </s:c>
      <s:c r="H35" s="89" t="str">
        <s:f>IF($B35="","",IF($G35&gt;=2900,"on pace","behind"))</s:f>
        <s:v/>
      </s:c>
      <s:c r="I35" s="65" t="n"/>
    </s:row>
    <s:row r="36">
      <s:c r="A36" s="73">
        <s:f>DATE(2026,9,14)+203</s:f>
        <s:v>46482.0</s:v>
      </s:c>
      <s:c r="B36" s="90" t="n"/>
      <s:c r="C36" s="86" t="n">
        <s:v>100</s:v>
      </s:c>
      <s:c r="D36" s="91" t="n"/>
      <s:c r="E36" s="91" t="n"/>
      <s:c r="F36" s="92" t="str">
        <s:f>IF($B36="","",(N($B36&gt;=$C36))+(IF($D36="Y",1,0))+(IF($E36="Y",1,0)))</s:f>
        <s:v/>
      </s:c>
      <s:c r="G36" s="71" t="str">
        <s:f>IF($B36="",G35,N(G35)+$B36)</s:f>
        <s:v/>
      </s:c>
      <s:c r="H36" s="93" t="str">
        <s:f>IF($B36="","",IF($G36&gt;=3000,"on pace","behind"))</s:f>
        <s:v/>
      </s:c>
      <s:c r="I36" s="67" t="n"/>
    </s:row>
    <s:row r="37">
      <s:c r="A37" s="63">
        <s:f>DATE(2026,9,14)+210</s:f>
        <s:v>46489.0</s:v>
      </s:c>
      <s:c r="B37" s="85" t="n"/>
      <s:c r="C37" s="86" t="n">
        <s:v>100</s:v>
      </s:c>
      <s:c r="D37" s="87" t="n"/>
      <s:c r="E37" s="87" t="n"/>
      <s:c r="F37" s="88" t="str">
        <s:f>IF($B37="","",(N($B37&gt;=$C37))+(IF($D37="Y",1,0))+(IF($E37="Y",1,0)))</s:f>
        <s:v/>
      </s:c>
      <s:c r="G37" s="61" t="str">
        <s:f>IF($B37="",G36,N(G36)+$B37)</s:f>
        <s:v/>
      </s:c>
      <s:c r="H37" s="89" t="str">
        <s:f>IF($B37="","",IF($G37&gt;=3100,"on pace","behind"))</s:f>
        <s:v/>
      </s:c>
      <s:c r="I37" s="65" t="n"/>
    </s:row>
    <s:row r="38">
      <s:c r="A38" s="73">
        <s:f>DATE(2026,9,14)+217</s:f>
        <s:v>46496.0</s:v>
      </s:c>
      <s:c r="B38" s="90" t="n"/>
      <s:c r="C38" s="86" t="n">
        <s:v>100</s:v>
      </s:c>
      <s:c r="D38" s="91" t="n"/>
      <s:c r="E38" s="91" t="n"/>
      <s:c r="F38" s="92" t="str">
        <s:f>IF($B38="","",(N($B38&gt;=$C38))+(IF($D38="Y",1,0))+(IF($E38="Y",1,0)))</s:f>
        <s:v/>
      </s:c>
      <s:c r="G38" s="71" t="str">
        <s:f>IF($B38="",G37,N(G37)+$B38)</s:f>
        <s:v/>
      </s:c>
      <s:c r="H38" s="93" t="str">
        <s:f>IF($B38="","",IF($G38&gt;=3200,"on pace","behind"))</s:f>
        <s:v/>
      </s:c>
      <s:c r="I38" s="67" t="n"/>
    </s:row>
    <s:row r="39">
      <s:c r="A39" s="63">
        <s:f>DATE(2026,9,14)+224</s:f>
        <s:v>46503.0</s:v>
      </s:c>
      <s:c r="B39" s="85" t="n"/>
      <s:c r="C39" s="86" t="n">
        <s:v>100</s:v>
      </s:c>
      <s:c r="D39" s="87" t="n"/>
      <s:c r="E39" s="87" t="n"/>
      <s:c r="F39" s="88" t="str">
        <s:f>IF($B39="","",(N($B39&gt;=$C39))+(IF($D39="Y",1,0))+(IF($E39="Y",1,0)))</s:f>
        <s:v/>
      </s:c>
      <s:c r="G39" s="61" t="str">
        <s:f>IF($B39="",G38,N(G38)+$B39)</s:f>
        <s:v/>
      </s:c>
      <s:c r="H39" s="89" t="str">
        <s:f>IF($B39="","",IF($G39&gt;=3300,"on pace","behind"))</s:f>
        <s:v/>
      </s:c>
      <s:c r="I39" s="65" t="n"/>
    </s:row>
    <s:row r="40">
      <s:c r="A40" s="73">
        <s:f>DATE(2026,9,14)+231</s:f>
        <s:v>46510.0</s:v>
      </s:c>
      <s:c r="B40" s="90" t="n"/>
      <s:c r="C40" s="86" t="n">
        <s:v>100</s:v>
      </s:c>
      <s:c r="D40" s="91" t="n"/>
      <s:c r="E40" s="91" t="n"/>
      <s:c r="F40" s="92" t="str">
        <s:f>IF($B40="","",(N($B40&gt;=$C40))+(IF($D40="Y",1,0))+(IF($E40="Y",1,0)))</s:f>
        <s:v/>
      </s:c>
      <s:c r="G40" s="71" t="str">
        <s:f>IF($B40="",G39,N(G39)+$B40)</s:f>
        <s:v/>
      </s:c>
      <s:c r="H40" s="93" t="str">
        <s:f>IF($B40="","",IF($G40&gt;=3400,"on pace","behind"))</s:f>
        <s:v/>
      </s:c>
      <s:c r="I40" s="67" t="n"/>
    </s:row>
    <s:row r="41">
      <s:c r="A41" s="63">
        <s:f>DATE(2026,9,14)+238</s:f>
        <s:v>46517.0</s:v>
      </s:c>
      <s:c r="B41" s="85" t="n"/>
      <s:c r="C41" s="86" t="n">
        <s:v>100</s:v>
      </s:c>
      <s:c r="D41" s="87" t="n"/>
      <s:c r="E41" s="87" t="n"/>
      <s:c r="F41" s="88" t="str">
        <s:f>IF($B41="","",(N($B41&gt;=$C41))+(IF($D41="Y",1,0))+(IF($E41="Y",1,0)))</s:f>
        <s:v/>
      </s:c>
      <s:c r="G41" s="61" t="str">
        <s:f>IF($B41="",G40,N(G40)+$B41)</s:f>
        <s:v/>
      </s:c>
      <s:c r="H41" s="89" t="str">
        <s:f>IF($B41="","",IF($G41&gt;=3500,"on pace","behind"))</s:f>
        <s:v/>
      </s:c>
      <s:c r="I41" s="65" t="n"/>
    </s:row>
    <s:row r="42">
      <s:c r="A42" s="73">
        <s:f>DATE(2026,9,14)+245</s:f>
        <s:v>46524.0</s:v>
      </s:c>
      <s:c r="B42" s="90" t="n"/>
      <s:c r="C42" s="86" t="n">
        <s:v>100</s:v>
      </s:c>
      <s:c r="D42" s="91" t="n"/>
      <s:c r="E42" s="91" t="n"/>
      <s:c r="F42" s="92" t="str">
        <s:f>IF($B42="","",(N($B42&gt;=$C42))+(IF($D42="Y",1,0))+(IF($E42="Y",1,0)))</s:f>
        <s:v/>
      </s:c>
      <s:c r="G42" s="71" t="str">
        <s:f>IF($B42="",G41,N(G41)+$B42)</s:f>
        <s:v/>
      </s:c>
      <s:c r="H42" s="93" t="str">
        <s:f>IF($B42="","",IF($G42&gt;=3600,"on pace","behind"))</s:f>
        <s:v/>
      </s:c>
      <s:c r="I42" s="67" t="n"/>
    </s:row>
    <s:row r="43">
      <s:c r="A43" s="63">
        <s:f>DATE(2026,9,14)+252</s:f>
        <s:v>46531.0</s:v>
      </s:c>
      <s:c r="B43" s="85" t="n"/>
      <s:c r="C43" s="86" t="n">
        <s:v>100</s:v>
      </s:c>
      <s:c r="D43" s="87" t="n"/>
      <s:c r="E43" s="87" t="n"/>
      <s:c r="F43" s="88" t="str">
        <s:f>IF($B43="","",(N($B43&gt;=$C43))+(IF($D43="Y",1,0))+(IF($E43="Y",1,0)))</s:f>
        <s:v/>
      </s:c>
      <s:c r="G43" s="61" t="str">
        <s:f>IF($B43="",G42,N(G42)+$B43)</s:f>
        <s:v/>
      </s:c>
      <s:c r="H43" s="89" t="str">
        <s:f>IF($B43="","",IF($G43&gt;=3700,"on pace","behind"))</s:f>
        <s:v/>
      </s:c>
      <s:c r="I43" s="65" t="n"/>
    </s:row>
    <s:row r="44">
      <s:c r="A44" s="73">
        <s:f>DATE(2026,9,14)+259</s:f>
        <s:v>46538.0</s:v>
      </s:c>
      <s:c r="B44" s="90" t="n"/>
      <s:c r="C44" s="86" t="n">
        <s:v>100</s:v>
      </s:c>
      <s:c r="D44" s="91" t="n"/>
      <s:c r="E44" s="91" t="n"/>
      <s:c r="F44" s="92" t="str">
        <s:f>IF($B44="","",(N($B44&gt;=$C44))+(IF($D44="Y",1,0))+(IF($E44="Y",1,0)))</s:f>
        <s:v/>
      </s:c>
      <s:c r="G44" s="71" t="str">
        <s:f>IF($B44="",G43,N(G43)+$B44)</s:f>
        <s:v/>
      </s:c>
      <s:c r="H44" s="93" t="str">
        <s:f>IF($B44="","",IF($G44&gt;=3800,"on pace","behind"))</s:f>
        <s:v/>
      </s:c>
      <s:c r="I44" s="67" t="n"/>
    </s:row>
    <s:row r="45">
      <s:c r="A45" s="63">
        <s:f>DATE(2026,9,14)+266</s:f>
        <s:v>46545.0</s:v>
      </s:c>
      <s:c r="B45" s="85" t="n"/>
      <s:c r="C45" s="86" t="n">
        <s:v>100</s:v>
      </s:c>
      <s:c r="D45" s="87" t="n"/>
      <s:c r="E45" s="87" t="n"/>
      <s:c r="F45" s="88" t="str">
        <s:f>IF($B45="","",(N($B45&gt;=$C45))+(IF($D45="Y",1,0))+(IF($E45="Y",1,0)))</s:f>
        <s:v/>
      </s:c>
      <s:c r="G45" s="61" t="str">
        <s:f>IF($B45="",G44,N(G44)+$B45)</s:f>
        <s:v/>
      </s:c>
      <s:c r="H45" s="89" t="str">
        <s:f>IF($B45="","",IF($G45&gt;=3900,"on pace","behind"))</s:f>
        <s:v/>
      </s:c>
      <s:c r="I45" s="65" t="n"/>
    </s:row>
    <s:row r="46">
      <s:c r="A46" s="73">
        <s:f>DATE(2026,9,14)+273</s:f>
        <s:v>46552.0</s:v>
      </s:c>
      <s:c r="B46" s="90" t="n"/>
      <s:c r="C46" s="86" t="n">
        <s:v>100</s:v>
      </s:c>
      <s:c r="D46" s="91" t="n"/>
      <s:c r="E46" s="91" t="n"/>
      <s:c r="F46" s="92" t="str">
        <s:f>IF($B46="","",(N($B46&gt;=$C46))+(IF($D46="Y",1,0))+(IF($E46="Y",1,0)))</s:f>
        <s:v/>
      </s:c>
      <s:c r="G46" s="71" t="str">
        <s:f>IF($B46="",G45,N(G45)+$B46)</s:f>
        <s:v/>
      </s:c>
      <s:c r="H46" s="93" t="str">
        <s:f>IF($B46="","",IF($G46&gt;=4000,"on pace","behind"))</s:f>
        <s:v/>
      </s:c>
      <s:c r="I46" s="67" t="n"/>
    </s:row>
    <s:row r="47">
      <s:c r="A47" s="63">
        <s:f>DATE(2026,9,14)+280</s:f>
        <s:v>46559.0</s:v>
      </s:c>
      <s:c r="B47" s="85" t="n"/>
      <s:c r="C47" s="86" t="n">
        <s:v>100</s:v>
      </s:c>
      <s:c r="D47" s="87" t="n"/>
      <s:c r="E47" s="87" t="n"/>
      <s:c r="F47" s="88" t="str">
        <s:f>IF($B47="","",(N($B47&gt;=$C47))+(IF($D47="Y",1,0))+(IF($E47="Y",1,0)))</s:f>
        <s:v/>
      </s:c>
      <s:c r="G47" s="61" t="str">
        <s:f>IF($B47="",G46,N(G46)+$B47)</s:f>
        <s:v/>
      </s:c>
      <s:c r="H47" s="89" t="str">
        <s:f>IF($B47="","",IF($G47&gt;=4100,"on pace","behind"))</s:f>
        <s:v/>
      </s:c>
      <s:c r="I47" s="65" t="n"/>
    </s:row>
    <s:row r="48">
      <s:c r="A48" s="73">
        <s:f>DATE(2026,9,14)+287</s:f>
        <s:v>46566.0</s:v>
      </s:c>
      <s:c r="B48" s="90" t="n"/>
      <s:c r="C48" s="86" t="n">
        <s:v>100</s:v>
      </s:c>
      <s:c r="D48" s="91" t="n"/>
      <s:c r="E48" s="91" t="n"/>
      <s:c r="F48" s="92" t="str">
        <s:f>IF($B48="","",(N($B48&gt;=$C48))+(IF($D48="Y",1,0))+(IF($E48="Y",1,0)))</s:f>
        <s:v/>
      </s:c>
      <s:c r="G48" s="71" t="str">
        <s:f>IF($B48="",G47,N(G47)+$B48)</s:f>
        <s:v/>
      </s:c>
      <s:c r="H48" s="93" t="str">
        <s:f>IF($B48="","",IF($G48&gt;=4200,"on pace","behind"))</s:f>
        <s:v/>
      </s:c>
      <s:c r="I48" s="67" t="n"/>
    </s:row>
    <s:row r="49">
      <s:c r="A49" s="63">
        <s:f>DATE(2026,9,14)+294</s:f>
        <s:v>46573.0</s:v>
      </s:c>
      <s:c r="B49" s="85" t="n"/>
      <s:c r="C49" s="86" t="n">
        <s:v>100</s:v>
      </s:c>
      <s:c r="D49" s="87" t="n"/>
      <s:c r="E49" s="87" t="n"/>
      <s:c r="F49" s="88" t="str">
        <s:f>IF($B49="","",(N($B49&gt;=$C49))+(IF($D49="Y",1,0))+(IF($E49="Y",1,0)))</s:f>
        <s:v/>
      </s:c>
      <s:c r="G49" s="61" t="str">
        <s:f>IF($B49="",G48,N(G48)+$B49)</s:f>
        <s:v/>
      </s:c>
      <s:c r="H49" s="89" t="str">
        <s:f>IF($B49="","",IF($G49&gt;=4300,"on pace","behind"))</s:f>
        <s:v/>
      </s:c>
      <s:c r="I49" s="65" t="n"/>
    </s:row>
    <s:row r="50">
      <s:c r="A50" s="73">
        <s:f>DATE(2026,9,14)+301</s:f>
        <s:v>46580.0</s:v>
      </s:c>
      <s:c r="B50" s="90" t="n"/>
      <s:c r="C50" s="86" t="n">
        <s:v>100</s:v>
      </s:c>
      <s:c r="D50" s="91" t="n"/>
      <s:c r="E50" s="91" t="n"/>
      <s:c r="F50" s="92" t="str">
        <s:f>IF($B50="","",(N($B50&gt;=$C50))+(IF($D50="Y",1,0))+(IF($E50="Y",1,0)))</s:f>
        <s:v/>
      </s:c>
      <s:c r="G50" s="71" t="str">
        <s:f>IF($B50="",G49,N(G49)+$B50)</s:f>
        <s:v/>
      </s:c>
      <s:c r="H50" s="93" t="str">
        <s:f>IF($B50="","",IF($G50&gt;=4400,"on pace","behind"))</s:f>
        <s:v/>
      </s:c>
      <s:c r="I50" s="67" t="n"/>
    </s:row>
    <s:row r="51">
      <s:c r="A51" s="63">
        <s:f>DATE(2026,9,14)+308</s:f>
        <s:v>46587.0</s:v>
      </s:c>
      <s:c r="B51" s="85" t="n"/>
      <s:c r="C51" s="86" t="n">
        <s:v>100</s:v>
      </s:c>
      <s:c r="D51" s="87" t="n"/>
      <s:c r="E51" s="87" t="n"/>
      <s:c r="F51" s="88" t="str">
        <s:f>IF($B51="","",(N($B51&gt;=$C51))+(IF($D51="Y",1,0))+(IF($E51="Y",1,0)))</s:f>
        <s:v/>
      </s:c>
      <s:c r="G51" s="61" t="str">
        <s:f>IF($B51="",G50,N(G50)+$B51)</s:f>
        <s:v/>
      </s:c>
      <s:c r="H51" s="89" t="str">
        <s:f>IF($B51="","",IF($G51&gt;=4500,"on pace","behind"))</s:f>
        <s:v/>
      </s:c>
      <s:c r="I51" s="65" t="n"/>
    </s:row>
    <s:row r="52">
      <s:c r="A52" s="73">
        <s:f>DATE(2026,9,14)+315</s:f>
        <s:v>46594.0</s:v>
      </s:c>
      <s:c r="B52" s="90" t="n"/>
      <s:c r="C52" s="86" t="n">
        <s:v>100</s:v>
      </s:c>
      <s:c r="D52" s="91" t="n"/>
      <s:c r="E52" s="91" t="n"/>
      <s:c r="F52" s="92" t="str">
        <s:f>IF($B52="","",(N($B52&gt;=$C52))+(IF($D52="Y",1,0))+(IF($E52="Y",1,0)))</s:f>
        <s:v/>
      </s:c>
      <s:c r="G52" s="71" t="str">
        <s:f>IF($B52="",G51,N(G51)+$B52)</s:f>
        <s:v/>
      </s:c>
      <s:c r="H52" s="93" t="str">
        <s:f>IF($B52="","",IF($G52&gt;=4600,"on pace","behind"))</s:f>
        <s:v/>
      </s:c>
      <s:c r="I52" s="67" t="n"/>
    </s:row>
    <s:row r="53">
      <s:c r="A53" s="63">
        <s:f>DATE(2026,9,14)+322</s:f>
        <s:v>46601.0</s:v>
      </s:c>
      <s:c r="B53" s="85" t="n"/>
      <s:c r="C53" s="86" t="n">
        <s:v>100</s:v>
      </s:c>
      <s:c r="D53" s="87" t="n"/>
      <s:c r="E53" s="87" t="n"/>
      <s:c r="F53" s="88" t="str">
        <s:f>IF($B53="","",(N($B53&gt;=$C53))+(IF($D53="Y",1,0))+(IF($E53="Y",1,0)))</s:f>
        <s:v/>
      </s:c>
      <s:c r="G53" s="61" t="str">
        <s:f>IF($B53="",G52,N(G52)+$B53)</s:f>
        <s:v/>
      </s:c>
      <s:c r="H53" s="89" t="str">
        <s:f>IF($B53="","",IF($G53&gt;=4700,"on pace","behind"))</s:f>
        <s:v/>
      </s:c>
      <s:c r="I53" s="65" t="n"/>
    </s:row>
    <s:row r="54">
      <s:c r="A54" s="73">
        <s:f>DATE(2026,9,14)+329</s:f>
        <s:v>46608.0</s:v>
      </s:c>
      <s:c r="B54" s="90" t="n"/>
      <s:c r="C54" s="86" t="n">
        <s:v>100</s:v>
      </s:c>
      <s:c r="D54" s="91" t="n"/>
      <s:c r="E54" s="91" t="n"/>
      <s:c r="F54" s="92" t="str">
        <s:f>IF($B54="","",(N($B54&gt;=$C54))+(IF($D54="Y",1,0))+(IF($E54="Y",1,0)))</s:f>
        <s:v/>
      </s:c>
      <s:c r="G54" s="71" t="str">
        <s:f>IF($B54="",G53,N(G53)+$B54)</s:f>
        <s:v/>
      </s:c>
      <s:c r="H54" s="93" t="str">
        <s:f>IF($B54="","",IF($G54&gt;=4800,"on pace","behind"))</s:f>
        <s:v/>
      </s:c>
      <s:c r="I54" s="67" t="n"/>
    </s:row>
    <s:row r="55">
      <s:c r="A55" s="63">
        <s:f>DATE(2026,9,14)+336</s:f>
        <s:v>46615.0</s:v>
      </s:c>
      <s:c r="B55" s="85" t="n"/>
      <s:c r="C55" s="86" t="n">
        <s:v>100</s:v>
      </s:c>
      <s:c r="D55" s="87" t="n"/>
      <s:c r="E55" s="87" t="n"/>
      <s:c r="F55" s="88" t="str">
        <s:f>IF($B55="","",(N($B55&gt;=$C55))+(IF($D55="Y",1,0))+(IF($E55="Y",1,0)))</s:f>
        <s:v/>
      </s:c>
      <s:c r="G55" s="61" t="str">
        <s:f>IF($B55="",G54,N(G54)+$B55)</s:f>
        <s:v/>
      </s:c>
      <s:c r="H55" s="89" t="str">
        <s:f>IF($B55="","",IF($G55&gt;=4900,"on pace","behind"))</s:f>
        <s:v/>
      </s:c>
      <s:c r="I55" s="65" t="n"/>
    </s:row>
    <s:row r="56">
      <s:c r="A56" s="73">
        <s:f>DATE(2026,9,14)+343</s:f>
        <s:v>46622.0</s:v>
      </s:c>
      <s:c r="B56" s="90" t="n"/>
      <s:c r="C56" s="86" t="n">
        <s:v>100</s:v>
      </s:c>
      <s:c r="D56" s="91" t="n"/>
      <s:c r="E56" s="91" t="n"/>
      <s:c r="F56" s="92" t="str">
        <s:f>IF($B56="","",(N($B56&gt;=$C56))+(IF($D56="Y",1,0))+(IF($E56="Y",1,0)))</s:f>
        <s:v/>
      </s:c>
      <s:c r="G56" s="71" t="str">
        <s:f>IF($B56="",G55,N(G55)+$B56)</s:f>
        <s:v/>
      </s:c>
      <s:c r="H56" s="93" t="str">
        <s:f>IF($B56="","",IF($G56&gt;=5000,"on pace","behind"))</s:f>
        <s:v/>
      </s:c>
      <s:c r="I56" s="67" t="n"/>
    </s:row>
    <s:row r="57">
      <s:c r="A57" s="63">
        <s:f>DATE(2026,9,14)+350</s:f>
        <s:v>46629.0</s:v>
      </s:c>
      <s:c r="B57" s="85" t="n"/>
      <s:c r="C57" s="86" t="n">
        <s:v>100</s:v>
      </s:c>
      <s:c r="D57" s="87" t="n"/>
      <s:c r="E57" s="87" t="n"/>
      <s:c r="F57" s="88" t="str">
        <s:f>IF($B57="","",(N($B57&gt;=$C57))+(IF($D57="Y",1,0))+(IF($E57="Y",1,0)))</s:f>
        <s:v/>
      </s:c>
      <s:c r="G57" s="61" t="str">
        <s:f>IF($B57="",G56,N(G56)+$B57)</s:f>
        <s:v/>
      </s:c>
      <s:c r="H57" s="89" t="str">
        <s:f>IF($B57="","",IF($G57&gt;=5100,"on pace","behind"))</s:f>
        <s:v/>
      </s:c>
      <s:c r="I57" s="65" t="n"/>
    </s:row>
    <s:row r="58">
      <s:c r="A58" s="73">
        <s:f>DATE(2026,9,14)+357</s:f>
        <s:v>46636.0</s:v>
      </s:c>
      <s:c r="B58" s="90" t="n"/>
      <s:c r="C58" s="86" t="n">
        <s:v>100</s:v>
      </s:c>
      <s:c r="D58" s="91" t="n"/>
      <s:c r="E58" s="91" t="n"/>
      <s:c r="F58" s="92" t="str">
        <s:f>IF($B58="","",(N($B58&gt;=$C58))+(IF($D58="Y",1,0))+(IF($E58="Y",1,0)))</s:f>
        <s:v/>
      </s:c>
      <s:c r="G58" s="71" t="str">
        <s:f>IF($B58="",G57,N(G57)+$B58)</s:f>
        <s:v/>
      </s:c>
      <s:c r="H58" s="93" t="str">
        <s:f>IF($B58="","",IF($G58&gt;=5200,"on pace","behind"))</s:f>
        <s:v/>
      </s:c>
      <s:c r="I58" s="67" t="n"/>
    </s:row>
  </s:sheetData>
  <s:mergeCells count="3">
    <s:mergeCell ref="A1:I1"/>
    <s:mergeCell ref="A2:I2"/>
    <s:mergeCell ref="C4:D4"/>
  </s:mergeCells>
  <s:conditionalFormatting sqref="F7:F58">
    <s:cfRule type="cellIs" priority="1" operator="equal" dxfId="3">
      <s:formula>3</s:formula>
    </s:cfRule>
    <s:cfRule type="cellIs" priority="2" operator="lessThanOrEqual" dxfId="4">
      <s:formula>1</s:formula>
    </s:cfRule>
  </s:conditionalFormatting>
  <s:dataValidations count="1">
    <s:dataValidation sqref="D7:D58 E7:E58" showDropDown="0" showInputMessage="0" showErrorMessage="0" allowBlank="1" type="list">
      <s:formula1>"Y,N"</s:formula1>
    </s:dataValidation>
  </s:dataValidations>
  <s:pageMargins left="0.75" right="0.75" top="1" bottom="1" header="0.5" footer="0.5"/>
</s:worksheet>
</file>

<file path=xl/worksheets/sheet8.xml><?xml version="1.0" encoding="utf-8"?>
<s:worksheet xmlns:s="http://schemas.openxmlformats.org/spreadsheetml/2006/main">
  <s:sheetPr>
    <s:tabColor rgb="007F6000"/>
    <s:outlinePr summaryBelow="1" summaryRight="1"/>
    <s:pageSetUpPr/>
  </s:sheetPr>
  <s:dimension ref="A1:I30"/>
  <s:sheetViews>
    <s:sheetView showGridLines="0" workbookViewId="0">
      <s:pane ySplit="6" topLeftCell="A7" activePane="bottomLeft" state="frozen"/>
      <s:selection pane="bottomLeft" activeCell="A1" sqref="A1"/>
    </s:sheetView>
  </s:sheetViews>
  <s:sheetFormatPr baseColWidth="8" defaultRowHeight="15"/>
  <s:cols>
    <s:col width="6" customWidth="1" min="1" max="1"/>
    <s:col width="13" customWidth="1" min="2" max="2"/>
    <s:col width="30" customWidth="1" min="3" max="3"/>
    <s:col width="34" customWidth="1" min="4" max="4"/>
    <s:col width="34" customWidth="1" min="5" max="5"/>
    <s:col width="34" customWidth="1" min="6" max="6"/>
    <s:col width="13" customWidth="1" min="7" max="7"/>
    <s:col width="9" customWidth="1" min="8" max="8"/>
    <s:col width="24" customWidth="1" min="9" max="9"/>
  </s:cols>
  <s:sheetData>
    <s:row r="1" ht="26" customHeight="1">
      <s:c r="A1" s="1" t="inlineStr">
        <s:is>
          <s:t>NEWSLETTER PLANNER  —  the Golden Rule, every single issue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inlineStr">
        <s:is>
          <s:t>Personal narrative. Community oriented. Real estate grab bag. All three, or it isn't ready to send.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A4" s="12" t="inlineStr">
        <s:is>
          <s:t>Issues sent</s:t>
        </s:is>
      </s:c>
      <s:c r="C4" s="35">
        <s:f>COUNTIF(H7:H30,"Y")</s:f>
        <s:v>0.0</s:v>
      </s:c>
      <s:c r="D4" s="12" t="inlineStr">
        <s:is>
          <s:t>Ready to send</s:t>
        </s:is>
      </s:c>
      <s:c r="E4" s="36">
        <s:f>COUNTIF(G7:G30,"READY")</s:f>
        <s:v>0.0</s:v>
      </s:c>
    </s:row>
    <s:row r="6" ht="30" customHeight="1">
      <s:c r="A6" s="16" t="inlineStr">
        <s:is>
          <s:t>#</s:t>
        </s:is>
      </s:c>
      <s:c r="B6" s="16" t="inlineStr">
        <s:is>
          <s:t>Send date</s:t>
        </s:is>
      </s:c>
      <s:c r="C6" s="16" t="inlineStr">
        <s:is>
          <s:t>Subject line</s:t>
        </s:is>
      </s:c>
      <s:c r="D6" s="16" t="inlineStr">
        <s:is>
          <s:t>01  Personal narrative</s:t>
        </s:is>
      </s:c>
      <s:c r="E6" s="16" t="inlineStr">
        <s:is>
          <s:t>02  Community oriented</s:t>
        </s:is>
      </s:c>
      <s:c r="F6" s="16" t="inlineStr">
        <s:is>
          <s:t>03  Real estate grab bag</s:t>
        </s:is>
      </s:c>
      <s:c r="G6" s="16" t="inlineStr">
        <s:is>
          <s:t>Status</s:t>
        </s:is>
      </s:c>
      <s:c r="H6" s="16" t="inlineStr">
        <s:is>
          <s:t>Sent?</s:t>
        </s:is>
      </s:c>
      <s:c r="I6" s="16" t="inlineStr">
        <s:is>
          <s:t>Notes</s:t>
        </s:is>
      </s:c>
    </s:row>
    <s:row r="7" ht="26" customHeight="1">
      <s:c r="A7" s="61" t="n">
        <s:v>1</s:v>
      </s:c>
      <s:c r="B7" s="77" t="n"/>
      <s:c r="C7" s="65" t="n"/>
      <s:c r="D7" s="65" t="n"/>
      <s:c r="E7" s="65" t="n"/>
      <s:c r="F7" s="65" t="n"/>
      <s:c r="G7" s="64" t="str">
        <s:f>IF($C7="","",IF(AND($D7&lt;&gt;"",$E7&lt;&gt;"",$F7&lt;&gt;""),"READY","missing a pillar"))</s:f>
        <s:v/>
      </s:c>
      <s:c r="H7" s="87" t="n"/>
      <s:c r="I7" s="65" t="n"/>
    </s:row>
    <s:row r="8" ht="26" customHeight="1">
      <s:c r="A8" s="71" t="n">
        <s:v>2</s:v>
      </s:c>
      <s:c r="B8" s="70" t="n"/>
      <s:c r="C8" s="67" t="n"/>
      <s:c r="D8" s="67" t="n"/>
      <s:c r="E8" s="67" t="n"/>
      <s:c r="F8" s="67" t="n"/>
      <s:c r="G8" s="74" t="str">
        <s:f>IF($C8="","",IF(AND($D8&lt;&gt;"",$E8&lt;&gt;"",$F8&lt;&gt;""),"READY","missing a pillar"))</s:f>
        <s:v/>
      </s:c>
      <s:c r="H8" s="91" t="n"/>
      <s:c r="I8" s="67" t="n"/>
    </s:row>
    <s:row r="9" ht="26" customHeight="1">
      <s:c r="A9" s="61" t="n">
        <s:v>3</s:v>
      </s:c>
      <s:c r="B9" s="77" t="n"/>
      <s:c r="C9" s="65" t="n"/>
      <s:c r="D9" s="65" t="n"/>
      <s:c r="E9" s="65" t="n"/>
      <s:c r="F9" s="65" t="n"/>
      <s:c r="G9" s="64" t="str">
        <s:f>IF($C9="","",IF(AND($D9&lt;&gt;"",$E9&lt;&gt;"",$F9&lt;&gt;""),"READY","missing a pillar"))</s:f>
        <s:v/>
      </s:c>
      <s:c r="H9" s="87" t="n"/>
      <s:c r="I9" s="65" t="n"/>
    </s:row>
    <s:row r="10" ht="26" customHeight="1">
      <s:c r="A10" s="71" t="n">
        <s:v>4</s:v>
      </s:c>
      <s:c r="B10" s="70" t="n"/>
      <s:c r="C10" s="67" t="n"/>
      <s:c r="D10" s="67" t="n"/>
      <s:c r="E10" s="67" t="n"/>
      <s:c r="F10" s="67" t="n"/>
      <s:c r="G10" s="74" t="str">
        <s:f>IF($C10="","",IF(AND($D10&lt;&gt;"",$E10&lt;&gt;"",$F10&lt;&gt;""),"READY","missing a pillar"))</s:f>
        <s:v/>
      </s:c>
      <s:c r="H10" s="91" t="n"/>
      <s:c r="I10" s="67" t="n"/>
    </s:row>
    <s:row r="11" ht="26" customHeight="1">
      <s:c r="A11" s="61" t="n">
        <s:v>5</s:v>
      </s:c>
      <s:c r="B11" s="77" t="n"/>
      <s:c r="C11" s="65" t="n"/>
      <s:c r="D11" s="65" t="n"/>
      <s:c r="E11" s="65" t="n"/>
      <s:c r="F11" s="65" t="n"/>
      <s:c r="G11" s="64" t="str">
        <s:f>IF($C11="","",IF(AND($D11&lt;&gt;"",$E11&lt;&gt;"",$F11&lt;&gt;""),"READY","missing a pillar"))</s:f>
        <s:v/>
      </s:c>
      <s:c r="H11" s="87" t="n"/>
      <s:c r="I11" s="65" t="n"/>
    </s:row>
    <s:row r="12" ht="26" customHeight="1">
      <s:c r="A12" s="71" t="n">
        <s:v>6</s:v>
      </s:c>
      <s:c r="B12" s="70" t="n"/>
      <s:c r="C12" s="67" t="n"/>
      <s:c r="D12" s="67" t="n"/>
      <s:c r="E12" s="67" t="n"/>
      <s:c r="F12" s="67" t="n"/>
      <s:c r="G12" s="74" t="str">
        <s:f>IF($C12="","",IF(AND($D12&lt;&gt;"",$E12&lt;&gt;"",$F12&lt;&gt;""),"READY","missing a pillar"))</s:f>
        <s:v/>
      </s:c>
      <s:c r="H12" s="91" t="n"/>
      <s:c r="I12" s="67" t="n"/>
    </s:row>
    <s:row r="13" ht="26" customHeight="1">
      <s:c r="A13" s="61" t="n">
        <s:v>7</s:v>
      </s:c>
      <s:c r="B13" s="77" t="n"/>
      <s:c r="C13" s="65" t="n"/>
      <s:c r="D13" s="65" t="n"/>
      <s:c r="E13" s="65" t="n"/>
      <s:c r="F13" s="65" t="n"/>
      <s:c r="G13" s="64" t="str">
        <s:f>IF($C13="","",IF(AND($D13&lt;&gt;"",$E13&lt;&gt;"",$F13&lt;&gt;""),"READY","missing a pillar"))</s:f>
        <s:v/>
      </s:c>
      <s:c r="H13" s="87" t="n"/>
      <s:c r="I13" s="65" t="n"/>
    </s:row>
    <s:row r="14" ht="26" customHeight="1">
      <s:c r="A14" s="71" t="n">
        <s:v>8</s:v>
      </s:c>
      <s:c r="B14" s="70" t="n"/>
      <s:c r="C14" s="67" t="n"/>
      <s:c r="D14" s="67" t="n"/>
      <s:c r="E14" s="67" t="n"/>
      <s:c r="F14" s="67" t="n"/>
      <s:c r="G14" s="74" t="str">
        <s:f>IF($C14="","",IF(AND($D14&lt;&gt;"",$E14&lt;&gt;"",$F14&lt;&gt;""),"READY","missing a pillar"))</s:f>
        <s:v/>
      </s:c>
      <s:c r="H14" s="91" t="n"/>
      <s:c r="I14" s="67" t="n"/>
    </s:row>
    <s:row r="15" ht="26" customHeight="1">
      <s:c r="A15" s="61" t="n">
        <s:v>9</s:v>
      </s:c>
      <s:c r="B15" s="77" t="n"/>
      <s:c r="C15" s="65" t="n"/>
      <s:c r="D15" s="65" t="n"/>
      <s:c r="E15" s="65" t="n"/>
      <s:c r="F15" s="65" t="n"/>
      <s:c r="G15" s="64" t="str">
        <s:f>IF($C15="","",IF(AND($D15&lt;&gt;"",$E15&lt;&gt;"",$F15&lt;&gt;""),"READY","missing a pillar"))</s:f>
        <s:v/>
      </s:c>
      <s:c r="H15" s="87" t="n"/>
      <s:c r="I15" s="65" t="n"/>
    </s:row>
    <s:row r="16" ht="26" customHeight="1">
      <s:c r="A16" s="71" t="n">
        <s:v>10</s:v>
      </s:c>
      <s:c r="B16" s="70" t="n"/>
      <s:c r="C16" s="67" t="n"/>
      <s:c r="D16" s="67" t="n"/>
      <s:c r="E16" s="67" t="n"/>
      <s:c r="F16" s="67" t="n"/>
      <s:c r="G16" s="74" t="str">
        <s:f>IF($C16="","",IF(AND($D16&lt;&gt;"",$E16&lt;&gt;"",$F16&lt;&gt;""),"READY","missing a pillar"))</s:f>
        <s:v/>
      </s:c>
      <s:c r="H16" s="91" t="n"/>
      <s:c r="I16" s="67" t="n"/>
    </s:row>
    <s:row r="17" ht="26" customHeight="1">
      <s:c r="A17" s="61" t="n">
        <s:v>11</s:v>
      </s:c>
      <s:c r="B17" s="77" t="n"/>
      <s:c r="C17" s="65" t="n"/>
      <s:c r="D17" s="65" t="n"/>
      <s:c r="E17" s="65" t="n"/>
      <s:c r="F17" s="65" t="n"/>
      <s:c r="G17" s="64" t="str">
        <s:f>IF($C17="","",IF(AND($D17&lt;&gt;"",$E17&lt;&gt;"",$F17&lt;&gt;""),"READY","missing a pillar"))</s:f>
        <s:v/>
      </s:c>
      <s:c r="H17" s="87" t="n"/>
      <s:c r="I17" s="65" t="n"/>
    </s:row>
    <s:row r="18" ht="26" customHeight="1">
      <s:c r="A18" s="71" t="n">
        <s:v>12</s:v>
      </s:c>
      <s:c r="B18" s="70" t="n"/>
      <s:c r="C18" s="67" t="n"/>
      <s:c r="D18" s="67" t="n"/>
      <s:c r="E18" s="67" t="n"/>
      <s:c r="F18" s="67" t="n"/>
      <s:c r="G18" s="74" t="str">
        <s:f>IF($C18="","",IF(AND($D18&lt;&gt;"",$E18&lt;&gt;"",$F18&lt;&gt;""),"READY","missing a pillar"))</s:f>
        <s:v/>
      </s:c>
      <s:c r="H18" s="91" t="n"/>
      <s:c r="I18" s="67" t="n"/>
    </s:row>
    <s:row r="19" ht="26" customHeight="1">
      <s:c r="A19" s="61" t="n">
        <s:v>13</s:v>
      </s:c>
      <s:c r="B19" s="77" t="n"/>
      <s:c r="C19" s="65" t="n"/>
      <s:c r="D19" s="65" t="n"/>
      <s:c r="E19" s="65" t="n"/>
      <s:c r="F19" s="65" t="n"/>
      <s:c r="G19" s="64" t="str">
        <s:f>IF($C19="","",IF(AND($D19&lt;&gt;"",$E19&lt;&gt;"",$F19&lt;&gt;""),"READY","missing a pillar"))</s:f>
        <s:v/>
      </s:c>
      <s:c r="H19" s="87" t="n"/>
      <s:c r="I19" s="65" t="n"/>
    </s:row>
    <s:row r="20" ht="26" customHeight="1">
      <s:c r="A20" s="71" t="n">
        <s:v>14</s:v>
      </s:c>
      <s:c r="B20" s="70" t="n"/>
      <s:c r="C20" s="67" t="n"/>
      <s:c r="D20" s="67" t="n"/>
      <s:c r="E20" s="67" t="n"/>
      <s:c r="F20" s="67" t="n"/>
      <s:c r="G20" s="74" t="str">
        <s:f>IF($C20="","",IF(AND($D20&lt;&gt;"",$E20&lt;&gt;"",$F20&lt;&gt;""),"READY","missing a pillar"))</s:f>
        <s:v/>
      </s:c>
      <s:c r="H20" s="91" t="n"/>
      <s:c r="I20" s="67" t="n"/>
    </s:row>
    <s:row r="21" ht="26" customHeight="1">
      <s:c r="A21" s="61" t="n">
        <s:v>15</s:v>
      </s:c>
      <s:c r="B21" s="77" t="n"/>
      <s:c r="C21" s="65" t="n"/>
      <s:c r="D21" s="65" t="n"/>
      <s:c r="E21" s="65" t="n"/>
      <s:c r="F21" s="65" t="n"/>
      <s:c r="G21" s="64" t="str">
        <s:f>IF($C21="","",IF(AND($D21&lt;&gt;"",$E21&lt;&gt;"",$F21&lt;&gt;""),"READY","missing a pillar"))</s:f>
        <s:v/>
      </s:c>
      <s:c r="H21" s="87" t="n"/>
      <s:c r="I21" s="65" t="n"/>
    </s:row>
    <s:row r="22" ht="26" customHeight="1">
      <s:c r="A22" s="71" t="n">
        <s:v>16</s:v>
      </s:c>
      <s:c r="B22" s="70" t="n"/>
      <s:c r="C22" s="67" t="n"/>
      <s:c r="D22" s="67" t="n"/>
      <s:c r="E22" s="67" t="n"/>
      <s:c r="F22" s="67" t="n"/>
      <s:c r="G22" s="74" t="str">
        <s:f>IF($C22="","",IF(AND($D22&lt;&gt;"",$E22&lt;&gt;"",$F22&lt;&gt;""),"READY","missing a pillar"))</s:f>
        <s:v/>
      </s:c>
      <s:c r="H22" s="91" t="n"/>
      <s:c r="I22" s="67" t="n"/>
    </s:row>
    <s:row r="23" ht="26" customHeight="1">
      <s:c r="A23" s="61" t="n">
        <s:v>17</s:v>
      </s:c>
      <s:c r="B23" s="77" t="n"/>
      <s:c r="C23" s="65" t="n"/>
      <s:c r="D23" s="65" t="n"/>
      <s:c r="E23" s="65" t="n"/>
      <s:c r="F23" s="65" t="n"/>
      <s:c r="G23" s="64" t="str">
        <s:f>IF($C23="","",IF(AND($D23&lt;&gt;"",$E23&lt;&gt;"",$F23&lt;&gt;""),"READY","missing a pillar"))</s:f>
        <s:v/>
      </s:c>
      <s:c r="H23" s="87" t="n"/>
      <s:c r="I23" s="65" t="n"/>
    </s:row>
    <s:row r="24" ht="26" customHeight="1">
      <s:c r="A24" s="71" t="n">
        <s:v>18</s:v>
      </s:c>
      <s:c r="B24" s="70" t="n"/>
      <s:c r="C24" s="67" t="n"/>
      <s:c r="D24" s="67" t="n"/>
      <s:c r="E24" s="67" t="n"/>
      <s:c r="F24" s="67" t="n"/>
      <s:c r="G24" s="74" t="str">
        <s:f>IF($C24="","",IF(AND($D24&lt;&gt;"",$E24&lt;&gt;"",$F24&lt;&gt;""),"READY","missing a pillar"))</s:f>
        <s:v/>
      </s:c>
      <s:c r="H24" s="91" t="n"/>
      <s:c r="I24" s="67" t="n"/>
    </s:row>
    <s:row r="25" ht="26" customHeight="1">
      <s:c r="A25" s="61" t="n">
        <s:v>19</s:v>
      </s:c>
      <s:c r="B25" s="77" t="n"/>
      <s:c r="C25" s="65" t="n"/>
      <s:c r="D25" s="65" t="n"/>
      <s:c r="E25" s="65" t="n"/>
      <s:c r="F25" s="65" t="n"/>
      <s:c r="G25" s="64" t="str">
        <s:f>IF($C25="","",IF(AND($D25&lt;&gt;"",$E25&lt;&gt;"",$F25&lt;&gt;""),"READY","missing a pillar"))</s:f>
        <s:v/>
      </s:c>
      <s:c r="H25" s="87" t="n"/>
      <s:c r="I25" s="65" t="n"/>
    </s:row>
    <s:row r="26" ht="26" customHeight="1">
      <s:c r="A26" s="71" t="n">
        <s:v>20</s:v>
      </s:c>
      <s:c r="B26" s="70" t="n"/>
      <s:c r="C26" s="67" t="n"/>
      <s:c r="D26" s="67" t="n"/>
      <s:c r="E26" s="67" t="n"/>
      <s:c r="F26" s="67" t="n"/>
      <s:c r="G26" s="74" t="str">
        <s:f>IF($C26="","",IF(AND($D26&lt;&gt;"",$E26&lt;&gt;"",$F26&lt;&gt;""),"READY","missing a pillar"))</s:f>
        <s:v/>
      </s:c>
      <s:c r="H26" s="91" t="n"/>
      <s:c r="I26" s="67" t="n"/>
    </s:row>
    <s:row r="27" ht="26" customHeight="1">
      <s:c r="A27" s="61" t="n">
        <s:v>21</s:v>
      </s:c>
      <s:c r="B27" s="77" t="n"/>
      <s:c r="C27" s="65" t="n"/>
      <s:c r="D27" s="65" t="n"/>
      <s:c r="E27" s="65" t="n"/>
      <s:c r="F27" s="65" t="n"/>
      <s:c r="G27" s="64" t="str">
        <s:f>IF($C27="","",IF(AND($D27&lt;&gt;"",$E27&lt;&gt;"",$F27&lt;&gt;""),"READY","missing a pillar"))</s:f>
        <s:v/>
      </s:c>
      <s:c r="H27" s="87" t="n"/>
      <s:c r="I27" s="65" t="n"/>
    </s:row>
    <s:row r="28" ht="26" customHeight="1">
      <s:c r="A28" s="71" t="n">
        <s:v>22</s:v>
      </s:c>
      <s:c r="B28" s="70" t="n"/>
      <s:c r="C28" s="67" t="n"/>
      <s:c r="D28" s="67" t="n"/>
      <s:c r="E28" s="67" t="n"/>
      <s:c r="F28" s="67" t="n"/>
      <s:c r="G28" s="74" t="str">
        <s:f>IF($C28="","",IF(AND($D28&lt;&gt;"",$E28&lt;&gt;"",$F28&lt;&gt;""),"READY","missing a pillar"))</s:f>
        <s:v/>
      </s:c>
      <s:c r="H28" s="91" t="n"/>
      <s:c r="I28" s="67" t="n"/>
    </s:row>
    <s:row r="29" ht="26" customHeight="1">
      <s:c r="A29" s="61" t="n">
        <s:v>23</s:v>
      </s:c>
      <s:c r="B29" s="77" t="n"/>
      <s:c r="C29" s="65" t="n"/>
      <s:c r="D29" s="65" t="n"/>
      <s:c r="E29" s="65" t="n"/>
      <s:c r="F29" s="65" t="n"/>
      <s:c r="G29" s="64" t="str">
        <s:f>IF($C29="","",IF(AND($D29&lt;&gt;"",$E29&lt;&gt;"",$F29&lt;&gt;""),"READY","missing a pillar"))</s:f>
        <s:v/>
      </s:c>
      <s:c r="H29" s="87" t="n"/>
      <s:c r="I29" s="65" t="n"/>
    </s:row>
    <s:row r="30" ht="26" customHeight="1">
      <s:c r="A30" s="71" t="n">
        <s:v>24</s:v>
      </s:c>
      <s:c r="B30" s="70" t="n"/>
      <s:c r="C30" s="67" t="n"/>
      <s:c r="D30" s="67" t="n"/>
      <s:c r="E30" s="67" t="n"/>
      <s:c r="F30" s="67" t="n"/>
      <s:c r="G30" s="74" t="str">
        <s:f>IF($C30="","",IF(AND($D30&lt;&gt;"",$E30&lt;&gt;"",$F30&lt;&gt;""),"READY","missing a pillar"))</s:f>
        <s:v/>
      </s:c>
      <s:c r="H30" s="91" t="n"/>
      <s:c r="I30" s="67" t="n"/>
    </s:row>
  </s:sheetData>
  <s:mergeCells count="3">
    <s:mergeCell ref="A1:I1"/>
    <s:mergeCell ref="A4:B4"/>
    <s:mergeCell ref="A2:I2"/>
  </s:mergeCells>
  <s:conditionalFormatting sqref="G7:G30">
    <s:cfRule type="cellIs" priority="1" operator="equal" dxfId="3">
      <s:formula>"READY"</s:formula>
    </s:cfRule>
    <s:cfRule type="cellIs" priority="2" operator="equal" dxfId="5">
      <s:formula>"missing a pillar"</s:formula>
    </s:cfRule>
  </s:conditionalFormatting>
  <s:dataValidations count="1">
    <s:dataValidation sqref="H7:H30" showDropDown="0" showInputMessage="0" showErrorMessage="0" allowBlank="1" type="list">
      <s:formula1>"Y,N"</s:formula1>
    </s:dataValidation>
  </s:dataValidations>
  <s:pageMargins left="0.75" right="0.75" top="1" bottom="1" header="0.5" footer="0.5"/>
</s:worksheet>
</file>

<file path=xl/worksheets/sheet9.xml><?xml version="1.0" encoding="utf-8"?>
<s:worksheet xmlns:s="http://schemas.openxmlformats.org/spreadsheetml/2006/main">
  <s:sheetPr>
    <s:tabColor rgb="00833C00"/>
    <s:outlinePr summaryBelow="1" summaryRight="1"/>
    <s:pageSetUpPr/>
  </s:sheetPr>
  <s:dimension ref="A1:J86"/>
  <s:sheetViews>
    <s:sheetView showGridLines="0" workbookViewId="0">
      <s:pane ySplit="6" topLeftCell="A7" activePane="bottomLeft" state="frozen"/>
      <s:selection pane="bottomLeft" activeCell="A1" sqref="A1"/>
    </s:sheetView>
  </s:sheetViews>
  <s:sheetFormatPr baseColWidth="8" defaultRowHeight="15"/>
  <s:cols>
    <s:col width="12" customWidth="1" min="1" max="1"/>
    <s:col width="14" customWidth="1" min="2" max="2"/>
    <s:col width="14" customWidth="1" min="3" max="3"/>
    <s:col width="34" customWidth="1" min="4" max="4"/>
    <s:col width="11" customWidth="1" min="5" max="5"/>
    <s:col width="11" customWidth="1" min="6" max="6"/>
    <s:col width="11" customWidth="1" min="7" max="7"/>
    <s:col width="24" customWidth="1" min="8" max="8"/>
    <s:col width="12" customWidth="1" min="9" max="9"/>
    <s:col width="26" customWidth="1" min="10" max="10"/>
  </s:cols>
  <s:sheetData>
    <s:row r="1" ht="26" customHeight="1">
      <s:c r="A1" s="1" t="inlineStr">
        <s:is>
          <s:t>CONTENT LOG  —  every post, checked against the Three Social Sins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</s:row>
    <s:row r="2" ht="16" customHeight="1">
      <s:c r="A2" s="3" t="inlineStr">
        <s:is>
          <s:t>Answer the three Y/N columns honestly. The sin check tells you what to fix before you post.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</s:row>
    <s:row r="4">
      <s:c r="A4" s="12" t="inlineStr">
        <s:is>
          <s:t>Posts logged</s:t>
        </s:is>
      </s:c>
      <s:c r="B4" s="35">
        <s:f>COUNTA(A7:A86)</s:f>
        <s:v>0.0</s:v>
      </s:c>
      <s:c r="C4" s="12" t="inlineStr">
        <s:is>
          <s:t>Clean posts</s:t>
        </s:is>
      </s:c>
      <s:c r="D4" s="36">
        <s:f>COUNTIF(H7:H86,"clean")</s:f>
        <s:v>0.0</s:v>
      </s:c>
      <s:c r="E4" s="12" t="inlineStr">
        <s:is>
          <s:t>Need a fix</s:t>
        </s:is>
      </s:c>
      <s:c r="G4" s="37">
        <s:f>B4-D4</s:f>
        <s:v>0.0</s:v>
      </s:c>
    </s:row>
    <s:row r="6" ht="30" customHeight="1">
      <s:c r="A6" s="16" t="inlineStr">
        <s:is>
          <s:t>Date</s:t>
        </s:is>
      </s:c>
      <s:c r="B6" s="16" t="inlineStr">
        <s:is>
          <s:t>Platform</s:t>
        </s:is>
      </s:c>
      <s:c r="C6" s="16" t="inlineStr">
        <s:is>
          <s:t>Format</s:t>
        </s:is>
      </s:c>
      <s:c r="D6" s="16" t="inlineStr">
        <s:is>
          <s:t>Hook / the one idea</s:t>
        </s:is>
      </s:c>
      <s:c r="E6" s="16" t="inlineStr">
        <s:is>
          <s:t>Real photo?
(not filtered)</s:t>
        </s:is>
      </s:c>
      <s:c r="F6" s="16" t="inlineStr">
        <s:is>
          <s:t>Not text-
heavy?</s:t>
        </s:is>
      </s:c>
      <s:c r="G6" s="16" t="inlineStr">
        <s:is>
          <s:t>Service,
not sales?</s:t>
        </s:is>
      </s:c>
      <s:c r="H6" s="16" t="inlineStr">
        <s:is>
          <s:t>SIN CHECK</s:t>
        </s:is>
      </s:c>
      <s:c r="I6" s="16" t="inlineStr">
        <s:is>
          <s:t>Engagement</s:t>
        </s:is>
      </s:c>
      <s:c r="J6" s="16" t="inlineStr">
        <s:is>
          <s:t>Notes</s:t>
        </s:is>
      </s:c>
    </s:row>
    <s:row r="7">
      <s:c r="A7" s="77" t="n"/>
      <s:c r="B7" s="65" t="n"/>
      <s:c r="C7" s="65" t="n"/>
      <s:c r="D7" s="65" t="n"/>
      <s:c r="E7" s="65" t="n"/>
      <s:c r="F7" s="65" t="n"/>
      <s:c r="G7" s="65" t="n"/>
      <s:c r="H7" s="64" t="str">
        <s:f>IF($A7="","",IF($E7="N","Sin 1 - too filtered",IF($F7="N","Sin 2 - text-heavy",IF($G7="N","Sin 3 - too salesy","clean"))))</s:f>
        <s:v/>
      </s:c>
      <s:c r="I7" s="94" t="n"/>
      <s:c r="J7" s="65" t="n"/>
    </s:row>
    <s:row r="8">
      <s:c r="A8" s="70" t="n"/>
      <s:c r="B8" s="67" t="n"/>
      <s:c r="C8" s="67" t="n"/>
      <s:c r="D8" s="67" t="n"/>
      <s:c r="E8" s="67" t="n"/>
      <s:c r="F8" s="67" t="n"/>
      <s:c r="G8" s="67" t="n"/>
      <s:c r="H8" s="74" t="str">
        <s:f>IF($A8="","",IF($E8="N","Sin 1 - too filtered",IF($F8="N","Sin 2 - text-heavy",IF($G8="N","Sin 3 - too salesy","clean"))))</s:f>
        <s:v/>
      </s:c>
      <s:c r="I8" s="95" t="n"/>
      <s:c r="J8" s="67" t="n"/>
    </s:row>
    <s:row r="9">
      <s:c r="A9" s="77" t="n"/>
      <s:c r="B9" s="65" t="n"/>
      <s:c r="C9" s="65" t="n"/>
      <s:c r="D9" s="65" t="n"/>
      <s:c r="E9" s="65" t="n"/>
      <s:c r="F9" s="65" t="n"/>
      <s:c r="G9" s="65" t="n"/>
      <s:c r="H9" s="64" t="str">
        <s:f>IF($A9="","",IF($E9="N","Sin 1 - too filtered",IF($F9="N","Sin 2 - text-heavy",IF($G9="N","Sin 3 - too salesy","clean"))))</s:f>
        <s:v/>
      </s:c>
      <s:c r="I9" s="94" t="n"/>
      <s:c r="J9" s="65" t="n"/>
    </s:row>
    <s:row r="10">
      <s:c r="A10" s="70" t="n"/>
      <s:c r="B10" s="67" t="n"/>
      <s:c r="C10" s="67" t="n"/>
      <s:c r="D10" s="67" t="n"/>
      <s:c r="E10" s="67" t="n"/>
      <s:c r="F10" s="67" t="n"/>
      <s:c r="G10" s="67" t="n"/>
      <s:c r="H10" s="74" t="str">
        <s:f>IF($A10="","",IF($E10="N","Sin 1 - too filtered",IF($F10="N","Sin 2 - text-heavy",IF($G10="N","Sin 3 - too salesy","clean"))))</s:f>
        <s:v/>
      </s:c>
      <s:c r="I10" s="95" t="n"/>
      <s:c r="J10" s="67" t="n"/>
    </s:row>
    <s:row r="11">
      <s:c r="A11" s="77" t="n"/>
      <s:c r="B11" s="65" t="n"/>
      <s:c r="C11" s="65" t="n"/>
      <s:c r="D11" s="65" t="n"/>
      <s:c r="E11" s="65" t="n"/>
      <s:c r="F11" s="65" t="n"/>
      <s:c r="G11" s="65" t="n"/>
      <s:c r="H11" s="64" t="str">
        <s:f>IF($A11="","",IF($E11="N","Sin 1 - too filtered",IF($F11="N","Sin 2 - text-heavy",IF($G11="N","Sin 3 - too salesy","clean"))))</s:f>
        <s:v/>
      </s:c>
      <s:c r="I11" s="94" t="n"/>
      <s:c r="J11" s="65" t="n"/>
    </s:row>
    <s:row r="12">
      <s:c r="A12" s="70" t="n"/>
      <s:c r="B12" s="67" t="n"/>
      <s:c r="C12" s="67" t="n"/>
      <s:c r="D12" s="67" t="n"/>
      <s:c r="E12" s="67" t="n"/>
      <s:c r="F12" s="67" t="n"/>
      <s:c r="G12" s="67" t="n"/>
      <s:c r="H12" s="74" t="str">
        <s:f>IF($A12="","",IF($E12="N","Sin 1 - too filtered",IF($F12="N","Sin 2 - text-heavy",IF($G12="N","Sin 3 - too salesy","clean"))))</s:f>
        <s:v/>
      </s:c>
      <s:c r="I12" s="95" t="n"/>
      <s:c r="J12" s="67" t="n"/>
    </s:row>
    <s:row r="13">
      <s:c r="A13" s="77" t="n"/>
      <s:c r="B13" s="65" t="n"/>
      <s:c r="C13" s="65" t="n"/>
      <s:c r="D13" s="65" t="n"/>
      <s:c r="E13" s="65" t="n"/>
      <s:c r="F13" s="65" t="n"/>
      <s:c r="G13" s="65" t="n"/>
      <s:c r="H13" s="64" t="str">
        <s:f>IF($A13="","",IF($E13="N","Sin 1 - too filtered",IF($F13="N","Sin 2 - text-heavy",IF($G13="N","Sin 3 - too salesy","clean"))))</s:f>
        <s:v/>
      </s:c>
      <s:c r="I13" s="94" t="n"/>
      <s:c r="J13" s="65" t="n"/>
    </s:row>
    <s:row r="14">
      <s:c r="A14" s="70" t="n"/>
      <s:c r="B14" s="67" t="n"/>
      <s:c r="C14" s="67" t="n"/>
      <s:c r="D14" s="67" t="n"/>
      <s:c r="E14" s="67" t="n"/>
      <s:c r="F14" s="67" t="n"/>
      <s:c r="G14" s="67" t="n"/>
      <s:c r="H14" s="74" t="str">
        <s:f>IF($A14="","",IF($E14="N","Sin 1 - too filtered",IF($F14="N","Sin 2 - text-heavy",IF($G14="N","Sin 3 - too salesy","clean"))))</s:f>
        <s:v/>
      </s:c>
      <s:c r="I14" s="95" t="n"/>
      <s:c r="J14" s="67" t="n"/>
    </s:row>
    <s:row r="15">
      <s:c r="A15" s="77" t="n"/>
      <s:c r="B15" s="65" t="n"/>
      <s:c r="C15" s="65" t="n"/>
      <s:c r="D15" s="65" t="n"/>
      <s:c r="E15" s="65" t="n"/>
      <s:c r="F15" s="65" t="n"/>
      <s:c r="G15" s="65" t="n"/>
      <s:c r="H15" s="64" t="str">
        <s:f>IF($A15="","",IF($E15="N","Sin 1 - too filtered",IF($F15="N","Sin 2 - text-heavy",IF($G15="N","Sin 3 - too salesy","clean"))))</s:f>
        <s:v/>
      </s:c>
      <s:c r="I15" s="94" t="n"/>
      <s:c r="J15" s="65" t="n"/>
    </s:row>
    <s:row r="16">
      <s:c r="A16" s="70" t="n"/>
      <s:c r="B16" s="67" t="n"/>
      <s:c r="C16" s="67" t="n"/>
      <s:c r="D16" s="67" t="n"/>
      <s:c r="E16" s="67" t="n"/>
      <s:c r="F16" s="67" t="n"/>
      <s:c r="G16" s="67" t="n"/>
      <s:c r="H16" s="74" t="str">
        <s:f>IF($A16="","",IF($E16="N","Sin 1 - too filtered",IF($F16="N","Sin 2 - text-heavy",IF($G16="N","Sin 3 - too salesy","clean"))))</s:f>
        <s:v/>
      </s:c>
      <s:c r="I16" s="95" t="n"/>
      <s:c r="J16" s="67" t="n"/>
    </s:row>
    <s:row r="17">
      <s:c r="A17" s="77" t="n"/>
      <s:c r="B17" s="65" t="n"/>
      <s:c r="C17" s="65" t="n"/>
      <s:c r="D17" s="65" t="n"/>
      <s:c r="E17" s="65" t="n"/>
      <s:c r="F17" s="65" t="n"/>
      <s:c r="G17" s="65" t="n"/>
      <s:c r="H17" s="64" t="str">
        <s:f>IF($A17="","",IF($E17="N","Sin 1 - too filtered",IF($F17="N","Sin 2 - text-heavy",IF($G17="N","Sin 3 - too salesy","clean"))))</s:f>
        <s:v/>
      </s:c>
      <s:c r="I17" s="94" t="n"/>
      <s:c r="J17" s="65" t="n"/>
    </s:row>
    <s:row r="18">
      <s:c r="A18" s="70" t="n"/>
      <s:c r="B18" s="67" t="n"/>
      <s:c r="C18" s="67" t="n"/>
      <s:c r="D18" s="67" t="n"/>
      <s:c r="E18" s="67" t="n"/>
      <s:c r="F18" s="67" t="n"/>
      <s:c r="G18" s="67" t="n"/>
      <s:c r="H18" s="74" t="str">
        <s:f>IF($A18="","",IF($E18="N","Sin 1 - too filtered",IF($F18="N","Sin 2 - text-heavy",IF($G18="N","Sin 3 - too salesy","clean"))))</s:f>
        <s:v/>
      </s:c>
      <s:c r="I18" s="95" t="n"/>
      <s:c r="J18" s="67" t="n"/>
    </s:row>
    <s:row r="19">
      <s:c r="A19" s="77" t="n"/>
      <s:c r="B19" s="65" t="n"/>
      <s:c r="C19" s="65" t="n"/>
      <s:c r="D19" s="65" t="n"/>
      <s:c r="E19" s="65" t="n"/>
      <s:c r="F19" s="65" t="n"/>
      <s:c r="G19" s="65" t="n"/>
      <s:c r="H19" s="64" t="str">
        <s:f>IF($A19="","",IF($E19="N","Sin 1 - too filtered",IF($F19="N","Sin 2 - text-heavy",IF($G19="N","Sin 3 - too salesy","clean"))))</s:f>
        <s:v/>
      </s:c>
      <s:c r="I19" s="94" t="n"/>
      <s:c r="J19" s="65" t="n"/>
    </s:row>
    <s:row r="20">
      <s:c r="A20" s="70" t="n"/>
      <s:c r="B20" s="67" t="n"/>
      <s:c r="C20" s="67" t="n"/>
      <s:c r="D20" s="67" t="n"/>
      <s:c r="E20" s="67" t="n"/>
      <s:c r="F20" s="67" t="n"/>
      <s:c r="G20" s="67" t="n"/>
      <s:c r="H20" s="74" t="str">
        <s:f>IF($A20="","",IF($E20="N","Sin 1 - too filtered",IF($F20="N","Sin 2 - text-heavy",IF($G20="N","Sin 3 - too salesy","clean"))))</s:f>
        <s:v/>
      </s:c>
      <s:c r="I20" s="95" t="n"/>
      <s:c r="J20" s="67" t="n"/>
    </s:row>
    <s:row r="21">
      <s:c r="A21" s="77" t="n"/>
      <s:c r="B21" s="65" t="n"/>
      <s:c r="C21" s="65" t="n"/>
      <s:c r="D21" s="65" t="n"/>
      <s:c r="E21" s="65" t="n"/>
      <s:c r="F21" s="65" t="n"/>
      <s:c r="G21" s="65" t="n"/>
      <s:c r="H21" s="64" t="str">
        <s:f>IF($A21="","",IF($E21="N","Sin 1 - too filtered",IF($F21="N","Sin 2 - text-heavy",IF($G21="N","Sin 3 - too salesy","clean"))))</s:f>
        <s:v/>
      </s:c>
      <s:c r="I21" s="94" t="n"/>
      <s:c r="J21" s="65" t="n"/>
    </s:row>
    <s:row r="22">
      <s:c r="A22" s="70" t="n"/>
      <s:c r="B22" s="67" t="n"/>
      <s:c r="C22" s="67" t="n"/>
      <s:c r="D22" s="67" t="n"/>
      <s:c r="E22" s="67" t="n"/>
      <s:c r="F22" s="67" t="n"/>
      <s:c r="G22" s="67" t="n"/>
      <s:c r="H22" s="74" t="str">
        <s:f>IF($A22="","",IF($E22="N","Sin 1 - too filtered",IF($F22="N","Sin 2 - text-heavy",IF($G22="N","Sin 3 - too salesy","clean"))))</s:f>
        <s:v/>
      </s:c>
      <s:c r="I22" s="95" t="n"/>
      <s:c r="J22" s="67" t="n"/>
    </s:row>
    <s:row r="23">
      <s:c r="A23" s="77" t="n"/>
      <s:c r="B23" s="65" t="n"/>
      <s:c r="C23" s="65" t="n"/>
      <s:c r="D23" s="65" t="n"/>
      <s:c r="E23" s="65" t="n"/>
      <s:c r="F23" s="65" t="n"/>
      <s:c r="G23" s="65" t="n"/>
      <s:c r="H23" s="64" t="str">
        <s:f>IF($A23="","",IF($E23="N","Sin 1 - too filtered",IF($F23="N","Sin 2 - text-heavy",IF($G23="N","Sin 3 - too salesy","clean"))))</s:f>
        <s:v/>
      </s:c>
      <s:c r="I23" s="94" t="n"/>
      <s:c r="J23" s="65" t="n"/>
    </s:row>
    <s:row r="24">
      <s:c r="A24" s="70" t="n"/>
      <s:c r="B24" s="67" t="n"/>
      <s:c r="C24" s="67" t="n"/>
      <s:c r="D24" s="67" t="n"/>
      <s:c r="E24" s="67" t="n"/>
      <s:c r="F24" s="67" t="n"/>
      <s:c r="G24" s="67" t="n"/>
      <s:c r="H24" s="74" t="str">
        <s:f>IF($A24="","",IF($E24="N","Sin 1 - too filtered",IF($F24="N","Sin 2 - text-heavy",IF($G24="N","Sin 3 - too salesy","clean"))))</s:f>
        <s:v/>
      </s:c>
      <s:c r="I24" s="95" t="n"/>
      <s:c r="J24" s="67" t="n"/>
    </s:row>
    <s:row r="25">
      <s:c r="A25" s="77" t="n"/>
      <s:c r="B25" s="65" t="n"/>
      <s:c r="C25" s="65" t="n"/>
      <s:c r="D25" s="65" t="n"/>
      <s:c r="E25" s="65" t="n"/>
      <s:c r="F25" s="65" t="n"/>
      <s:c r="G25" s="65" t="n"/>
      <s:c r="H25" s="64" t="str">
        <s:f>IF($A25="","",IF($E25="N","Sin 1 - too filtered",IF($F25="N","Sin 2 - text-heavy",IF($G25="N","Sin 3 - too salesy","clean"))))</s:f>
        <s:v/>
      </s:c>
      <s:c r="I25" s="94" t="n"/>
      <s:c r="J25" s="65" t="n"/>
    </s:row>
    <s:row r="26">
      <s:c r="A26" s="70" t="n"/>
      <s:c r="B26" s="67" t="n"/>
      <s:c r="C26" s="67" t="n"/>
      <s:c r="D26" s="67" t="n"/>
      <s:c r="E26" s="67" t="n"/>
      <s:c r="F26" s="67" t="n"/>
      <s:c r="G26" s="67" t="n"/>
      <s:c r="H26" s="74" t="str">
        <s:f>IF($A26="","",IF($E26="N","Sin 1 - too filtered",IF($F26="N","Sin 2 - text-heavy",IF($G26="N","Sin 3 - too salesy","clean"))))</s:f>
        <s:v/>
      </s:c>
      <s:c r="I26" s="95" t="n"/>
      <s:c r="J26" s="67" t="n"/>
    </s:row>
    <s:row r="27">
      <s:c r="A27" s="77" t="n"/>
      <s:c r="B27" s="65" t="n"/>
      <s:c r="C27" s="65" t="n"/>
      <s:c r="D27" s="65" t="n"/>
      <s:c r="E27" s="65" t="n"/>
      <s:c r="F27" s="65" t="n"/>
      <s:c r="G27" s="65" t="n"/>
      <s:c r="H27" s="64" t="str">
        <s:f>IF($A27="","",IF($E27="N","Sin 1 - too filtered",IF($F27="N","Sin 2 - text-heavy",IF($G27="N","Sin 3 - too salesy","clean"))))</s:f>
        <s:v/>
      </s:c>
      <s:c r="I27" s="94" t="n"/>
      <s:c r="J27" s="65" t="n"/>
    </s:row>
    <s:row r="28">
      <s:c r="A28" s="70" t="n"/>
      <s:c r="B28" s="67" t="n"/>
      <s:c r="C28" s="67" t="n"/>
      <s:c r="D28" s="67" t="n"/>
      <s:c r="E28" s="67" t="n"/>
      <s:c r="F28" s="67" t="n"/>
      <s:c r="G28" s="67" t="n"/>
      <s:c r="H28" s="74" t="str">
        <s:f>IF($A28="","",IF($E28="N","Sin 1 - too filtered",IF($F28="N","Sin 2 - text-heavy",IF($G28="N","Sin 3 - too salesy","clean"))))</s:f>
        <s:v/>
      </s:c>
      <s:c r="I28" s="95" t="n"/>
      <s:c r="J28" s="67" t="n"/>
    </s:row>
    <s:row r="29">
      <s:c r="A29" s="77" t="n"/>
      <s:c r="B29" s="65" t="n"/>
      <s:c r="C29" s="65" t="n"/>
      <s:c r="D29" s="65" t="n"/>
      <s:c r="E29" s="65" t="n"/>
      <s:c r="F29" s="65" t="n"/>
      <s:c r="G29" s="65" t="n"/>
      <s:c r="H29" s="64" t="str">
        <s:f>IF($A29="","",IF($E29="N","Sin 1 - too filtered",IF($F29="N","Sin 2 - text-heavy",IF($G29="N","Sin 3 - too salesy","clean"))))</s:f>
        <s:v/>
      </s:c>
      <s:c r="I29" s="94" t="n"/>
      <s:c r="J29" s="65" t="n"/>
    </s:row>
    <s:row r="30">
      <s:c r="A30" s="70" t="n"/>
      <s:c r="B30" s="67" t="n"/>
      <s:c r="C30" s="67" t="n"/>
      <s:c r="D30" s="67" t="n"/>
      <s:c r="E30" s="67" t="n"/>
      <s:c r="F30" s="67" t="n"/>
      <s:c r="G30" s="67" t="n"/>
      <s:c r="H30" s="74" t="str">
        <s:f>IF($A30="","",IF($E30="N","Sin 1 - too filtered",IF($F30="N","Sin 2 - text-heavy",IF($G30="N","Sin 3 - too salesy","clean"))))</s:f>
        <s:v/>
      </s:c>
      <s:c r="I30" s="95" t="n"/>
      <s:c r="J30" s="67" t="n"/>
    </s:row>
    <s:row r="31">
      <s:c r="A31" s="77" t="n"/>
      <s:c r="B31" s="65" t="n"/>
      <s:c r="C31" s="65" t="n"/>
      <s:c r="D31" s="65" t="n"/>
      <s:c r="E31" s="65" t="n"/>
      <s:c r="F31" s="65" t="n"/>
      <s:c r="G31" s="65" t="n"/>
      <s:c r="H31" s="64" t="str">
        <s:f>IF($A31="","",IF($E31="N","Sin 1 - too filtered",IF($F31="N","Sin 2 - text-heavy",IF($G31="N","Sin 3 - too salesy","clean"))))</s:f>
        <s:v/>
      </s:c>
      <s:c r="I31" s="94" t="n"/>
      <s:c r="J31" s="65" t="n"/>
    </s:row>
    <s:row r="32">
      <s:c r="A32" s="70" t="n"/>
      <s:c r="B32" s="67" t="n"/>
      <s:c r="C32" s="67" t="n"/>
      <s:c r="D32" s="67" t="n"/>
      <s:c r="E32" s="67" t="n"/>
      <s:c r="F32" s="67" t="n"/>
      <s:c r="G32" s="67" t="n"/>
      <s:c r="H32" s="74" t="str">
        <s:f>IF($A32="","",IF($E32="N","Sin 1 - too filtered",IF($F32="N","Sin 2 - text-heavy",IF($G32="N","Sin 3 - too salesy","clean"))))</s:f>
        <s:v/>
      </s:c>
      <s:c r="I32" s="95" t="n"/>
      <s:c r="J32" s="67" t="n"/>
    </s:row>
    <s:row r="33">
      <s:c r="A33" s="77" t="n"/>
      <s:c r="B33" s="65" t="n"/>
      <s:c r="C33" s="65" t="n"/>
      <s:c r="D33" s="65" t="n"/>
      <s:c r="E33" s="65" t="n"/>
      <s:c r="F33" s="65" t="n"/>
      <s:c r="G33" s="65" t="n"/>
      <s:c r="H33" s="64" t="str">
        <s:f>IF($A33="","",IF($E33="N","Sin 1 - too filtered",IF($F33="N","Sin 2 - text-heavy",IF($G33="N","Sin 3 - too salesy","clean"))))</s:f>
        <s:v/>
      </s:c>
      <s:c r="I33" s="94" t="n"/>
      <s:c r="J33" s="65" t="n"/>
    </s:row>
    <s:row r="34">
      <s:c r="A34" s="70" t="n"/>
      <s:c r="B34" s="67" t="n"/>
      <s:c r="C34" s="67" t="n"/>
      <s:c r="D34" s="67" t="n"/>
      <s:c r="E34" s="67" t="n"/>
      <s:c r="F34" s="67" t="n"/>
      <s:c r="G34" s="67" t="n"/>
      <s:c r="H34" s="74" t="str">
        <s:f>IF($A34="","",IF($E34="N","Sin 1 - too filtered",IF($F34="N","Sin 2 - text-heavy",IF($G34="N","Sin 3 - too salesy","clean"))))</s:f>
        <s:v/>
      </s:c>
      <s:c r="I34" s="95" t="n"/>
      <s:c r="J34" s="67" t="n"/>
    </s:row>
    <s:row r="35">
      <s:c r="A35" s="77" t="n"/>
      <s:c r="B35" s="65" t="n"/>
      <s:c r="C35" s="65" t="n"/>
      <s:c r="D35" s="65" t="n"/>
      <s:c r="E35" s="65" t="n"/>
      <s:c r="F35" s="65" t="n"/>
      <s:c r="G35" s="65" t="n"/>
      <s:c r="H35" s="64" t="str">
        <s:f>IF($A35="","",IF($E35="N","Sin 1 - too filtered",IF($F35="N","Sin 2 - text-heavy",IF($G35="N","Sin 3 - too salesy","clean"))))</s:f>
        <s:v/>
      </s:c>
      <s:c r="I35" s="94" t="n"/>
      <s:c r="J35" s="65" t="n"/>
    </s:row>
    <s:row r="36">
      <s:c r="A36" s="70" t="n"/>
      <s:c r="B36" s="67" t="n"/>
      <s:c r="C36" s="67" t="n"/>
      <s:c r="D36" s="67" t="n"/>
      <s:c r="E36" s="67" t="n"/>
      <s:c r="F36" s="67" t="n"/>
      <s:c r="G36" s="67" t="n"/>
      <s:c r="H36" s="74" t="str">
        <s:f>IF($A36="","",IF($E36="N","Sin 1 - too filtered",IF($F36="N","Sin 2 - text-heavy",IF($G36="N","Sin 3 - too salesy","clean"))))</s:f>
        <s:v/>
      </s:c>
      <s:c r="I36" s="95" t="n"/>
      <s:c r="J36" s="67" t="n"/>
    </s:row>
    <s:row r="37">
      <s:c r="A37" s="77" t="n"/>
      <s:c r="B37" s="65" t="n"/>
      <s:c r="C37" s="65" t="n"/>
      <s:c r="D37" s="65" t="n"/>
      <s:c r="E37" s="65" t="n"/>
      <s:c r="F37" s="65" t="n"/>
      <s:c r="G37" s="65" t="n"/>
      <s:c r="H37" s="64" t="str">
        <s:f>IF($A37="","",IF($E37="N","Sin 1 - too filtered",IF($F37="N","Sin 2 - text-heavy",IF($G37="N","Sin 3 - too salesy","clean"))))</s:f>
        <s:v/>
      </s:c>
      <s:c r="I37" s="94" t="n"/>
      <s:c r="J37" s="65" t="n"/>
    </s:row>
    <s:row r="38">
      <s:c r="A38" s="70" t="n"/>
      <s:c r="B38" s="67" t="n"/>
      <s:c r="C38" s="67" t="n"/>
      <s:c r="D38" s="67" t="n"/>
      <s:c r="E38" s="67" t="n"/>
      <s:c r="F38" s="67" t="n"/>
      <s:c r="G38" s="67" t="n"/>
      <s:c r="H38" s="74" t="str">
        <s:f>IF($A38="","",IF($E38="N","Sin 1 - too filtered",IF($F38="N","Sin 2 - text-heavy",IF($G38="N","Sin 3 - too salesy","clean"))))</s:f>
        <s:v/>
      </s:c>
      <s:c r="I38" s="95" t="n"/>
      <s:c r="J38" s="67" t="n"/>
    </s:row>
    <s:row r="39">
      <s:c r="A39" s="77" t="n"/>
      <s:c r="B39" s="65" t="n"/>
      <s:c r="C39" s="65" t="n"/>
      <s:c r="D39" s="65" t="n"/>
      <s:c r="E39" s="65" t="n"/>
      <s:c r="F39" s="65" t="n"/>
      <s:c r="G39" s="65" t="n"/>
      <s:c r="H39" s="64" t="str">
        <s:f>IF($A39="","",IF($E39="N","Sin 1 - too filtered",IF($F39="N","Sin 2 - text-heavy",IF($G39="N","Sin 3 - too salesy","clean"))))</s:f>
        <s:v/>
      </s:c>
      <s:c r="I39" s="94" t="n"/>
      <s:c r="J39" s="65" t="n"/>
    </s:row>
    <s:row r="40">
      <s:c r="A40" s="70" t="n"/>
      <s:c r="B40" s="67" t="n"/>
      <s:c r="C40" s="67" t="n"/>
      <s:c r="D40" s="67" t="n"/>
      <s:c r="E40" s="67" t="n"/>
      <s:c r="F40" s="67" t="n"/>
      <s:c r="G40" s="67" t="n"/>
      <s:c r="H40" s="74" t="str">
        <s:f>IF($A40="","",IF($E40="N","Sin 1 - too filtered",IF($F40="N","Sin 2 - text-heavy",IF($G40="N","Sin 3 - too salesy","clean"))))</s:f>
        <s:v/>
      </s:c>
      <s:c r="I40" s="95" t="n"/>
      <s:c r="J40" s="67" t="n"/>
    </s:row>
    <s:row r="41">
      <s:c r="A41" s="77" t="n"/>
      <s:c r="B41" s="65" t="n"/>
      <s:c r="C41" s="65" t="n"/>
      <s:c r="D41" s="65" t="n"/>
      <s:c r="E41" s="65" t="n"/>
      <s:c r="F41" s="65" t="n"/>
      <s:c r="G41" s="65" t="n"/>
      <s:c r="H41" s="64" t="str">
        <s:f>IF($A41="","",IF($E41="N","Sin 1 - too filtered",IF($F41="N","Sin 2 - text-heavy",IF($G41="N","Sin 3 - too salesy","clean"))))</s:f>
        <s:v/>
      </s:c>
      <s:c r="I41" s="94" t="n"/>
      <s:c r="J41" s="65" t="n"/>
    </s:row>
    <s:row r="42">
      <s:c r="A42" s="70" t="n"/>
      <s:c r="B42" s="67" t="n"/>
      <s:c r="C42" s="67" t="n"/>
      <s:c r="D42" s="67" t="n"/>
      <s:c r="E42" s="67" t="n"/>
      <s:c r="F42" s="67" t="n"/>
      <s:c r="G42" s="67" t="n"/>
      <s:c r="H42" s="74" t="str">
        <s:f>IF($A42="","",IF($E42="N","Sin 1 - too filtered",IF($F42="N","Sin 2 - text-heavy",IF($G42="N","Sin 3 - too salesy","clean"))))</s:f>
        <s:v/>
      </s:c>
      <s:c r="I42" s="95" t="n"/>
      <s:c r="J42" s="67" t="n"/>
    </s:row>
    <s:row r="43">
      <s:c r="A43" s="77" t="n"/>
      <s:c r="B43" s="65" t="n"/>
      <s:c r="C43" s="65" t="n"/>
      <s:c r="D43" s="65" t="n"/>
      <s:c r="E43" s="65" t="n"/>
      <s:c r="F43" s="65" t="n"/>
      <s:c r="G43" s="65" t="n"/>
      <s:c r="H43" s="64" t="str">
        <s:f>IF($A43="","",IF($E43="N","Sin 1 - too filtered",IF($F43="N","Sin 2 - text-heavy",IF($G43="N","Sin 3 - too salesy","clean"))))</s:f>
        <s:v/>
      </s:c>
      <s:c r="I43" s="94" t="n"/>
      <s:c r="J43" s="65" t="n"/>
    </s:row>
    <s:row r="44">
      <s:c r="A44" s="70" t="n"/>
      <s:c r="B44" s="67" t="n"/>
      <s:c r="C44" s="67" t="n"/>
      <s:c r="D44" s="67" t="n"/>
      <s:c r="E44" s="67" t="n"/>
      <s:c r="F44" s="67" t="n"/>
      <s:c r="G44" s="67" t="n"/>
      <s:c r="H44" s="74" t="str">
        <s:f>IF($A44="","",IF($E44="N","Sin 1 - too filtered",IF($F44="N","Sin 2 - text-heavy",IF($G44="N","Sin 3 - too salesy","clean"))))</s:f>
        <s:v/>
      </s:c>
      <s:c r="I44" s="95" t="n"/>
      <s:c r="J44" s="67" t="n"/>
    </s:row>
    <s:row r="45">
      <s:c r="A45" s="77" t="n"/>
      <s:c r="B45" s="65" t="n"/>
      <s:c r="C45" s="65" t="n"/>
      <s:c r="D45" s="65" t="n"/>
      <s:c r="E45" s="65" t="n"/>
      <s:c r="F45" s="65" t="n"/>
      <s:c r="G45" s="65" t="n"/>
      <s:c r="H45" s="64" t="str">
        <s:f>IF($A45="","",IF($E45="N","Sin 1 - too filtered",IF($F45="N","Sin 2 - text-heavy",IF($G45="N","Sin 3 - too salesy","clean"))))</s:f>
        <s:v/>
      </s:c>
      <s:c r="I45" s="94" t="n"/>
      <s:c r="J45" s="65" t="n"/>
    </s:row>
    <s:row r="46">
      <s:c r="A46" s="70" t="n"/>
      <s:c r="B46" s="67" t="n"/>
      <s:c r="C46" s="67" t="n"/>
      <s:c r="D46" s="67" t="n"/>
      <s:c r="E46" s="67" t="n"/>
      <s:c r="F46" s="67" t="n"/>
      <s:c r="G46" s="67" t="n"/>
      <s:c r="H46" s="74" t="str">
        <s:f>IF($A46="","",IF($E46="N","Sin 1 - too filtered",IF($F46="N","Sin 2 - text-heavy",IF($G46="N","Sin 3 - too salesy","clean"))))</s:f>
        <s:v/>
      </s:c>
      <s:c r="I46" s="95" t="n"/>
      <s:c r="J46" s="67" t="n"/>
    </s:row>
    <s:row r="47">
      <s:c r="A47" s="77" t="n"/>
      <s:c r="B47" s="65" t="n"/>
      <s:c r="C47" s="65" t="n"/>
      <s:c r="D47" s="65" t="n"/>
      <s:c r="E47" s="65" t="n"/>
      <s:c r="F47" s="65" t="n"/>
      <s:c r="G47" s="65" t="n"/>
      <s:c r="H47" s="64" t="str">
        <s:f>IF($A47="","",IF($E47="N","Sin 1 - too filtered",IF($F47="N","Sin 2 - text-heavy",IF($G47="N","Sin 3 - too salesy","clean"))))</s:f>
        <s:v/>
      </s:c>
      <s:c r="I47" s="94" t="n"/>
      <s:c r="J47" s="65" t="n"/>
    </s:row>
    <s:row r="48">
      <s:c r="A48" s="70" t="n"/>
      <s:c r="B48" s="67" t="n"/>
      <s:c r="C48" s="67" t="n"/>
      <s:c r="D48" s="67" t="n"/>
      <s:c r="E48" s="67" t="n"/>
      <s:c r="F48" s="67" t="n"/>
      <s:c r="G48" s="67" t="n"/>
      <s:c r="H48" s="74" t="str">
        <s:f>IF($A48="","",IF($E48="N","Sin 1 - too filtered",IF($F48="N","Sin 2 - text-heavy",IF($G48="N","Sin 3 - too salesy","clean"))))</s:f>
        <s:v/>
      </s:c>
      <s:c r="I48" s="95" t="n"/>
      <s:c r="J48" s="67" t="n"/>
    </s:row>
    <s:row r="49">
      <s:c r="A49" s="77" t="n"/>
      <s:c r="B49" s="65" t="n"/>
      <s:c r="C49" s="65" t="n"/>
      <s:c r="D49" s="65" t="n"/>
      <s:c r="E49" s="65" t="n"/>
      <s:c r="F49" s="65" t="n"/>
      <s:c r="G49" s="65" t="n"/>
      <s:c r="H49" s="64" t="str">
        <s:f>IF($A49="","",IF($E49="N","Sin 1 - too filtered",IF($F49="N","Sin 2 - text-heavy",IF($G49="N","Sin 3 - too salesy","clean"))))</s:f>
        <s:v/>
      </s:c>
      <s:c r="I49" s="94" t="n"/>
      <s:c r="J49" s="65" t="n"/>
    </s:row>
    <s:row r="50">
      <s:c r="A50" s="70" t="n"/>
      <s:c r="B50" s="67" t="n"/>
      <s:c r="C50" s="67" t="n"/>
      <s:c r="D50" s="67" t="n"/>
      <s:c r="E50" s="67" t="n"/>
      <s:c r="F50" s="67" t="n"/>
      <s:c r="G50" s="67" t="n"/>
      <s:c r="H50" s="74" t="str">
        <s:f>IF($A50="","",IF($E50="N","Sin 1 - too filtered",IF($F50="N","Sin 2 - text-heavy",IF($G50="N","Sin 3 - too salesy","clean"))))</s:f>
        <s:v/>
      </s:c>
      <s:c r="I50" s="95" t="n"/>
      <s:c r="J50" s="67" t="n"/>
    </s:row>
    <s:row r="51">
      <s:c r="A51" s="77" t="n"/>
      <s:c r="B51" s="65" t="n"/>
      <s:c r="C51" s="65" t="n"/>
      <s:c r="D51" s="65" t="n"/>
      <s:c r="E51" s="65" t="n"/>
      <s:c r="F51" s="65" t="n"/>
      <s:c r="G51" s="65" t="n"/>
      <s:c r="H51" s="64" t="str">
        <s:f>IF($A51="","",IF($E51="N","Sin 1 - too filtered",IF($F51="N","Sin 2 - text-heavy",IF($G51="N","Sin 3 - too salesy","clean"))))</s:f>
        <s:v/>
      </s:c>
      <s:c r="I51" s="94" t="n"/>
      <s:c r="J51" s="65" t="n"/>
    </s:row>
    <s:row r="52">
      <s:c r="A52" s="70" t="n"/>
      <s:c r="B52" s="67" t="n"/>
      <s:c r="C52" s="67" t="n"/>
      <s:c r="D52" s="67" t="n"/>
      <s:c r="E52" s="67" t="n"/>
      <s:c r="F52" s="67" t="n"/>
      <s:c r="G52" s="67" t="n"/>
      <s:c r="H52" s="74" t="str">
        <s:f>IF($A52="","",IF($E52="N","Sin 1 - too filtered",IF($F52="N","Sin 2 - text-heavy",IF($G52="N","Sin 3 - too salesy","clean"))))</s:f>
        <s:v/>
      </s:c>
      <s:c r="I52" s="95" t="n"/>
      <s:c r="J52" s="67" t="n"/>
    </s:row>
    <s:row r="53">
      <s:c r="A53" s="77" t="n"/>
      <s:c r="B53" s="65" t="n"/>
      <s:c r="C53" s="65" t="n"/>
      <s:c r="D53" s="65" t="n"/>
      <s:c r="E53" s="65" t="n"/>
      <s:c r="F53" s="65" t="n"/>
      <s:c r="G53" s="65" t="n"/>
      <s:c r="H53" s="64" t="str">
        <s:f>IF($A53="","",IF($E53="N","Sin 1 - too filtered",IF($F53="N","Sin 2 - text-heavy",IF($G53="N","Sin 3 - too salesy","clean"))))</s:f>
        <s:v/>
      </s:c>
      <s:c r="I53" s="94" t="n"/>
      <s:c r="J53" s="65" t="n"/>
    </s:row>
    <s:row r="54">
      <s:c r="A54" s="70" t="n"/>
      <s:c r="B54" s="67" t="n"/>
      <s:c r="C54" s="67" t="n"/>
      <s:c r="D54" s="67" t="n"/>
      <s:c r="E54" s="67" t="n"/>
      <s:c r="F54" s="67" t="n"/>
      <s:c r="G54" s="67" t="n"/>
      <s:c r="H54" s="74" t="str">
        <s:f>IF($A54="","",IF($E54="N","Sin 1 - too filtered",IF($F54="N","Sin 2 - text-heavy",IF($G54="N","Sin 3 - too salesy","clean"))))</s:f>
        <s:v/>
      </s:c>
      <s:c r="I54" s="95" t="n"/>
      <s:c r="J54" s="67" t="n"/>
    </s:row>
    <s:row r="55">
      <s:c r="A55" s="77" t="n"/>
      <s:c r="B55" s="65" t="n"/>
      <s:c r="C55" s="65" t="n"/>
      <s:c r="D55" s="65" t="n"/>
      <s:c r="E55" s="65" t="n"/>
      <s:c r="F55" s="65" t="n"/>
      <s:c r="G55" s="65" t="n"/>
      <s:c r="H55" s="64" t="str">
        <s:f>IF($A55="","",IF($E55="N","Sin 1 - too filtered",IF($F55="N","Sin 2 - text-heavy",IF($G55="N","Sin 3 - too salesy","clean"))))</s:f>
        <s:v/>
      </s:c>
      <s:c r="I55" s="94" t="n"/>
      <s:c r="J55" s="65" t="n"/>
    </s:row>
    <s:row r="56">
      <s:c r="A56" s="70" t="n"/>
      <s:c r="B56" s="67" t="n"/>
      <s:c r="C56" s="67" t="n"/>
      <s:c r="D56" s="67" t="n"/>
      <s:c r="E56" s="67" t="n"/>
      <s:c r="F56" s="67" t="n"/>
      <s:c r="G56" s="67" t="n"/>
      <s:c r="H56" s="74" t="str">
        <s:f>IF($A56="","",IF($E56="N","Sin 1 - too filtered",IF($F56="N","Sin 2 - text-heavy",IF($G56="N","Sin 3 - too salesy","clean"))))</s:f>
        <s:v/>
      </s:c>
      <s:c r="I56" s="95" t="n"/>
      <s:c r="J56" s="67" t="n"/>
    </s:row>
    <s:row r="57">
      <s:c r="A57" s="77" t="n"/>
      <s:c r="B57" s="65" t="n"/>
      <s:c r="C57" s="65" t="n"/>
      <s:c r="D57" s="65" t="n"/>
      <s:c r="E57" s="65" t="n"/>
      <s:c r="F57" s="65" t="n"/>
      <s:c r="G57" s="65" t="n"/>
      <s:c r="H57" s="64" t="str">
        <s:f>IF($A57="","",IF($E57="N","Sin 1 - too filtered",IF($F57="N","Sin 2 - text-heavy",IF($G57="N","Sin 3 - too salesy","clean"))))</s:f>
        <s:v/>
      </s:c>
      <s:c r="I57" s="94" t="n"/>
      <s:c r="J57" s="65" t="n"/>
    </s:row>
    <s:row r="58">
      <s:c r="A58" s="70" t="n"/>
      <s:c r="B58" s="67" t="n"/>
      <s:c r="C58" s="67" t="n"/>
      <s:c r="D58" s="67" t="n"/>
      <s:c r="E58" s="67" t="n"/>
      <s:c r="F58" s="67" t="n"/>
      <s:c r="G58" s="67" t="n"/>
      <s:c r="H58" s="74" t="str">
        <s:f>IF($A58="","",IF($E58="N","Sin 1 - too filtered",IF($F58="N","Sin 2 - text-heavy",IF($G58="N","Sin 3 - too salesy","clean"))))</s:f>
        <s:v/>
      </s:c>
      <s:c r="I58" s="95" t="n"/>
      <s:c r="J58" s="67" t="n"/>
    </s:row>
    <s:row r="59">
      <s:c r="A59" s="77" t="n"/>
      <s:c r="B59" s="65" t="n"/>
      <s:c r="C59" s="65" t="n"/>
      <s:c r="D59" s="65" t="n"/>
      <s:c r="E59" s="65" t="n"/>
      <s:c r="F59" s="65" t="n"/>
      <s:c r="G59" s="65" t="n"/>
      <s:c r="H59" s="64" t="str">
        <s:f>IF($A59="","",IF($E59="N","Sin 1 - too filtered",IF($F59="N","Sin 2 - text-heavy",IF($G59="N","Sin 3 - too salesy","clean"))))</s:f>
        <s:v/>
      </s:c>
      <s:c r="I59" s="94" t="n"/>
      <s:c r="J59" s="65" t="n"/>
    </s:row>
    <s:row r="60">
      <s:c r="A60" s="70" t="n"/>
      <s:c r="B60" s="67" t="n"/>
      <s:c r="C60" s="67" t="n"/>
      <s:c r="D60" s="67" t="n"/>
      <s:c r="E60" s="67" t="n"/>
      <s:c r="F60" s="67" t="n"/>
      <s:c r="G60" s="67" t="n"/>
      <s:c r="H60" s="74" t="str">
        <s:f>IF($A60="","",IF($E60="N","Sin 1 - too filtered",IF($F60="N","Sin 2 - text-heavy",IF($G60="N","Sin 3 - too salesy","clean"))))</s:f>
        <s:v/>
      </s:c>
      <s:c r="I60" s="95" t="n"/>
      <s:c r="J60" s="67" t="n"/>
    </s:row>
    <s:row r="61">
      <s:c r="A61" s="77" t="n"/>
      <s:c r="B61" s="65" t="n"/>
      <s:c r="C61" s="65" t="n"/>
      <s:c r="D61" s="65" t="n"/>
      <s:c r="E61" s="65" t="n"/>
      <s:c r="F61" s="65" t="n"/>
      <s:c r="G61" s="65" t="n"/>
      <s:c r="H61" s="64" t="str">
        <s:f>IF($A61="","",IF($E61="N","Sin 1 - too filtered",IF($F61="N","Sin 2 - text-heavy",IF($G61="N","Sin 3 - too salesy","clean"))))</s:f>
        <s:v/>
      </s:c>
      <s:c r="I61" s="94" t="n"/>
      <s:c r="J61" s="65" t="n"/>
    </s:row>
    <s:row r="62">
      <s:c r="A62" s="70" t="n"/>
      <s:c r="B62" s="67" t="n"/>
      <s:c r="C62" s="67" t="n"/>
      <s:c r="D62" s="67" t="n"/>
      <s:c r="E62" s="67" t="n"/>
      <s:c r="F62" s="67" t="n"/>
      <s:c r="G62" s="67" t="n"/>
      <s:c r="H62" s="74" t="str">
        <s:f>IF($A62="","",IF($E62="N","Sin 1 - too filtered",IF($F62="N","Sin 2 - text-heavy",IF($G62="N","Sin 3 - too salesy","clean"))))</s:f>
        <s:v/>
      </s:c>
      <s:c r="I62" s="95" t="n"/>
      <s:c r="J62" s="67" t="n"/>
    </s:row>
    <s:row r="63">
      <s:c r="A63" s="77" t="n"/>
      <s:c r="B63" s="65" t="n"/>
      <s:c r="C63" s="65" t="n"/>
      <s:c r="D63" s="65" t="n"/>
      <s:c r="E63" s="65" t="n"/>
      <s:c r="F63" s="65" t="n"/>
      <s:c r="G63" s="65" t="n"/>
      <s:c r="H63" s="64" t="str">
        <s:f>IF($A63="","",IF($E63="N","Sin 1 - too filtered",IF($F63="N","Sin 2 - text-heavy",IF($G63="N","Sin 3 - too salesy","clean"))))</s:f>
        <s:v/>
      </s:c>
      <s:c r="I63" s="94" t="n"/>
      <s:c r="J63" s="65" t="n"/>
    </s:row>
    <s:row r="64">
      <s:c r="A64" s="70" t="n"/>
      <s:c r="B64" s="67" t="n"/>
      <s:c r="C64" s="67" t="n"/>
      <s:c r="D64" s="67" t="n"/>
      <s:c r="E64" s="67" t="n"/>
      <s:c r="F64" s="67" t="n"/>
      <s:c r="G64" s="67" t="n"/>
      <s:c r="H64" s="74" t="str">
        <s:f>IF($A64="","",IF($E64="N","Sin 1 - too filtered",IF($F64="N","Sin 2 - text-heavy",IF($G64="N","Sin 3 - too salesy","clean"))))</s:f>
        <s:v/>
      </s:c>
      <s:c r="I64" s="95" t="n"/>
      <s:c r="J64" s="67" t="n"/>
    </s:row>
    <s:row r="65">
      <s:c r="A65" s="77" t="n"/>
      <s:c r="B65" s="65" t="n"/>
      <s:c r="C65" s="65" t="n"/>
      <s:c r="D65" s="65" t="n"/>
      <s:c r="E65" s="65" t="n"/>
      <s:c r="F65" s="65" t="n"/>
      <s:c r="G65" s="65" t="n"/>
      <s:c r="H65" s="64" t="str">
        <s:f>IF($A65="","",IF($E65="N","Sin 1 - too filtered",IF($F65="N","Sin 2 - text-heavy",IF($G65="N","Sin 3 - too salesy","clean"))))</s:f>
        <s:v/>
      </s:c>
      <s:c r="I65" s="94" t="n"/>
      <s:c r="J65" s="65" t="n"/>
    </s:row>
    <s:row r="66">
      <s:c r="A66" s="70" t="n"/>
      <s:c r="B66" s="67" t="n"/>
      <s:c r="C66" s="67" t="n"/>
      <s:c r="D66" s="67" t="n"/>
      <s:c r="E66" s="67" t="n"/>
      <s:c r="F66" s="67" t="n"/>
      <s:c r="G66" s="67" t="n"/>
      <s:c r="H66" s="74" t="str">
        <s:f>IF($A66="","",IF($E66="N","Sin 1 - too filtered",IF($F66="N","Sin 2 - text-heavy",IF($G66="N","Sin 3 - too salesy","clean"))))</s:f>
        <s:v/>
      </s:c>
      <s:c r="I66" s="95" t="n"/>
      <s:c r="J66" s="67" t="n"/>
    </s:row>
    <s:row r="67">
      <s:c r="A67" s="77" t="n"/>
      <s:c r="B67" s="65" t="n"/>
      <s:c r="C67" s="65" t="n"/>
      <s:c r="D67" s="65" t="n"/>
      <s:c r="E67" s="65" t="n"/>
      <s:c r="F67" s="65" t="n"/>
      <s:c r="G67" s="65" t="n"/>
      <s:c r="H67" s="64" t="str">
        <s:f>IF($A67="","",IF($E67="N","Sin 1 - too filtered",IF($F67="N","Sin 2 - text-heavy",IF($G67="N","Sin 3 - too salesy","clean"))))</s:f>
        <s:v/>
      </s:c>
      <s:c r="I67" s="94" t="n"/>
      <s:c r="J67" s="65" t="n"/>
    </s:row>
    <s:row r="68">
      <s:c r="A68" s="70" t="n"/>
      <s:c r="B68" s="67" t="n"/>
      <s:c r="C68" s="67" t="n"/>
      <s:c r="D68" s="67" t="n"/>
      <s:c r="E68" s="67" t="n"/>
      <s:c r="F68" s="67" t="n"/>
      <s:c r="G68" s="67" t="n"/>
      <s:c r="H68" s="74" t="str">
        <s:f>IF($A68="","",IF($E68="N","Sin 1 - too filtered",IF($F68="N","Sin 2 - text-heavy",IF($G68="N","Sin 3 - too salesy","clean"))))</s:f>
        <s:v/>
      </s:c>
      <s:c r="I68" s="95" t="n"/>
      <s:c r="J68" s="67" t="n"/>
    </s:row>
    <s:row r="69">
      <s:c r="A69" s="77" t="n"/>
      <s:c r="B69" s="65" t="n"/>
      <s:c r="C69" s="65" t="n"/>
      <s:c r="D69" s="65" t="n"/>
      <s:c r="E69" s="65" t="n"/>
      <s:c r="F69" s="65" t="n"/>
      <s:c r="G69" s="65" t="n"/>
      <s:c r="H69" s="64" t="str">
        <s:f>IF($A69="","",IF($E69="N","Sin 1 - too filtered",IF($F69="N","Sin 2 - text-heavy",IF($G69="N","Sin 3 - too salesy","clean"))))</s:f>
        <s:v/>
      </s:c>
      <s:c r="I69" s="94" t="n"/>
      <s:c r="J69" s="65" t="n"/>
    </s:row>
    <s:row r="70">
      <s:c r="A70" s="70" t="n"/>
      <s:c r="B70" s="67" t="n"/>
      <s:c r="C70" s="67" t="n"/>
      <s:c r="D70" s="67" t="n"/>
      <s:c r="E70" s="67" t="n"/>
      <s:c r="F70" s="67" t="n"/>
      <s:c r="G70" s="67" t="n"/>
      <s:c r="H70" s="74" t="str">
        <s:f>IF($A70="","",IF($E70="N","Sin 1 - too filtered",IF($F70="N","Sin 2 - text-heavy",IF($G70="N","Sin 3 - too salesy","clean"))))</s:f>
        <s:v/>
      </s:c>
      <s:c r="I70" s="95" t="n"/>
      <s:c r="J70" s="67" t="n"/>
    </s:row>
    <s:row r="71">
      <s:c r="A71" s="77" t="n"/>
      <s:c r="B71" s="65" t="n"/>
      <s:c r="C71" s="65" t="n"/>
      <s:c r="D71" s="65" t="n"/>
      <s:c r="E71" s="65" t="n"/>
      <s:c r="F71" s="65" t="n"/>
      <s:c r="G71" s="65" t="n"/>
      <s:c r="H71" s="64" t="str">
        <s:f>IF($A71="","",IF($E71="N","Sin 1 - too filtered",IF($F71="N","Sin 2 - text-heavy",IF($G71="N","Sin 3 - too salesy","clean"))))</s:f>
        <s:v/>
      </s:c>
      <s:c r="I71" s="94" t="n"/>
      <s:c r="J71" s="65" t="n"/>
    </s:row>
    <s:row r="72">
      <s:c r="A72" s="70" t="n"/>
      <s:c r="B72" s="67" t="n"/>
      <s:c r="C72" s="67" t="n"/>
      <s:c r="D72" s="67" t="n"/>
      <s:c r="E72" s="67" t="n"/>
      <s:c r="F72" s="67" t="n"/>
      <s:c r="G72" s="67" t="n"/>
      <s:c r="H72" s="74" t="str">
        <s:f>IF($A72="","",IF($E72="N","Sin 1 - too filtered",IF($F72="N","Sin 2 - text-heavy",IF($G72="N","Sin 3 - too salesy","clean"))))</s:f>
        <s:v/>
      </s:c>
      <s:c r="I72" s="95" t="n"/>
      <s:c r="J72" s="67" t="n"/>
    </s:row>
    <s:row r="73">
      <s:c r="A73" s="77" t="n"/>
      <s:c r="B73" s="65" t="n"/>
      <s:c r="C73" s="65" t="n"/>
      <s:c r="D73" s="65" t="n"/>
      <s:c r="E73" s="65" t="n"/>
      <s:c r="F73" s="65" t="n"/>
      <s:c r="G73" s="65" t="n"/>
      <s:c r="H73" s="64" t="str">
        <s:f>IF($A73="","",IF($E73="N","Sin 1 - too filtered",IF($F73="N","Sin 2 - text-heavy",IF($G73="N","Sin 3 - too salesy","clean"))))</s:f>
        <s:v/>
      </s:c>
      <s:c r="I73" s="94" t="n"/>
      <s:c r="J73" s="65" t="n"/>
    </s:row>
    <s:row r="74">
      <s:c r="A74" s="70" t="n"/>
      <s:c r="B74" s="67" t="n"/>
      <s:c r="C74" s="67" t="n"/>
      <s:c r="D74" s="67" t="n"/>
      <s:c r="E74" s="67" t="n"/>
      <s:c r="F74" s="67" t="n"/>
      <s:c r="G74" s="67" t="n"/>
      <s:c r="H74" s="74" t="str">
        <s:f>IF($A74="","",IF($E74="N","Sin 1 - too filtered",IF($F74="N","Sin 2 - text-heavy",IF($G74="N","Sin 3 - too salesy","clean"))))</s:f>
        <s:v/>
      </s:c>
      <s:c r="I74" s="95" t="n"/>
      <s:c r="J74" s="67" t="n"/>
    </s:row>
    <s:row r="75">
      <s:c r="A75" s="77" t="n"/>
      <s:c r="B75" s="65" t="n"/>
      <s:c r="C75" s="65" t="n"/>
      <s:c r="D75" s="65" t="n"/>
      <s:c r="E75" s="65" t="n"/>
      <s:c r="F75" s="65" t="n"/>
      <s:c r="G75" s="65" t="n"/>
      <s:c r="H75" s="64" t="str">
        <s:f>IF($A75="","",IF($E75="N","Sin 1 - too filtered",IF($F75="N","Sin 2 - text-heavy",IF($G75="N","Sin 3 - too salesy","clean"))))</s:f>
        <s:v/>
      </s:c>
      <s:c r="I75" s="94" t="n"/>
      <s:c r="J75" s="65" t="n"/>
    </s:row>
    <s:row r="76">
      <s:c r="A76" s="70" t="n"/>
      <s:c r="B76" s="67" t="n"/>
      <s:c r="C76" s="67" t="n"/>
      <s:c r="D76" s="67" t="n"/>
      <s:c r="E76" s="67" t="n"/>
      <s:c r="F76" s="67" t="n"/>
      <s:c r="G76" s="67" t="n"/>
      <s:c r="H76" s="74" t="str">
        <s:f>IF($A76="","",IF($E76="N","Sin 1 - too filtered",IF($F76="N","Sin 2 - text-heavy",IF($G76="N","Sin 3 - too salesy","clean"))))</s:f>
        <s:v/>
      </s:c>
      <s:c r="I76" s="95" t="n"/>
      <s:c r="J76" s="67" t="n"/>
    </s:row>
    <s:row r="77">
      <s:c r="A77" s="77" t="n"/>
      <s:c r="B77" s="65" t="n"/>
      <s:c r="C77" s="65" t="n"/>
      <s:c r="D77" s="65" t="n"/>
      <s:c r="E77" s="65" t="n"/>
      <s:c r="F77" s="65" t="n"/>
      <s:c r="G77" s="65" t="n"/>
      <s:c r="H77" s="64" t="str">
        <s:f>IF($A77="","",IF($E77="N","Sin 1 - too filtered",IF($F77="N","Sin 2 - text-heavy",IF($G77="N","Sin 3 - too salesy","clean"))))</s:f>
        <s:v/>
      </s:c>
      <s:c r="I77" s="94" t="n"/>
      <s:c r="J77" s="65" t="n"/>
    </s:row>
    <s:row r="78">
      <s:c r="A78" s="70" t="n"/>
      <s:c r="B78" s="67" t="n"/>
      <s:c r="C78" s="67" t="n"/>
      <s:c r="D78" s="67" t="n"/>
      <s:c r="E78" s="67" t="n"/>
      <s:c r="F78" s="67" t="n"/>
      <s:c r="G78" s="67" t="n"/>
      <s:c r="H78" s="74" t="str">
        <s:f>IF($A78="","",IF($E78="N","Sin 1 - too filtered",IF($F78="N","Sin 2 - text-heavy",IF($G78="N","Sin 3 - too salesy","clean"))))</s:f>
        <s:v/>
      </s:c>
      <s:c r="I78" s="95" t="n"/>
      <s:c r="J78" s="67" t="n"/>
    </s:row>
    <s:row r="79">
      <s:c r="A79" s="77" t="n"/>
      <s:c r="B79" s="65" t="n"/>
      <s:c r="C79" s="65" t="n"/>
      <s:c r="D79" s="65" t="n"/>
      <s:c r="E79" s="65" t="n"/>
      <s:c r="F79" s="65" t="n"/>
      <s:c r="G79" s="65" t="n"/>
      <s:c r="H79" s="64" t="str">
        <s:f>IF($A79="","",IF($E79="N","Sin 1 - too filtered",IF($F79="N","Sin 2 - text-heavy",IF($G79="N","Sin 3 - too salesy","clean"))))</s:f>
        <s:v/>
      </s:c>
      <s:c r="I79" s="94" t="n"/>
      <s:c r="J79" s="65" t="n"/>
    </s:row>
    <s:row r="80">
      <s:c r="A80" s="70" t="n"/>
      <s:c r="B80" s="67" t="n"/>
      <s:c r="C80" s="67" t="n"/>
      <s:c r="D80" s="67" t="n"/>
      <s:c r="E80" s="67" t="n"/>
      <s:c r="F80" s="67" t="n"/>
      <s:c r="G80" s="67" t="n"/>
      <s:c r="H80" s="74" t="str">
        <s:f>IF($A80="","",IF($E80="N","Sin 1 - too filtered",IF($F80="N","Sin 2 - text-heavy",IF($G80="N","Sin 3 - too salesy","clean"))))</s:f>
        <s:v/>
      </s:c>
      <s:c r="I80" s="95" t="n"/>
      <s:c r="J80" s="67" t="n"/>
    </s:row>
    <s:row r="81">
      <s:c r="A81" s="77" t="n"/>
      <s:c r="B81" s="65" t="n"/>
      <s:c r="C81" s="65" t="n"/>
      <s:c r="D81" s="65" t="n"/>
      <s:c r="E81" s="65" t="n"/>
      <s:c r="F81" s="65" t="n"/>
      <s:c r="G81" s="65" t="n"/>
      <s:c r="H81" s="64" t="str">
        <s:f>IF($A81="","",IF($E81="N","Sin 1 - too filtered",IF($F81="N","Sin 2 - text-heavy",IF($G81="N","Sin 3 - too salesy","clean"))))</s:f>
        <s:v/>
      </s:c>
      <s:c r="I81" s="94" t="n"/>
      <s:c r="J81" s="65" t="n"/>
    </s:row>
    <s:row r="82">
      <s:c r="A82" s="70" t="n"/>
      <s:c r="B82" s="67" t="n"/>
      <s:c r="C82" s="67" t="n"/>
      <s:c r="D82" s="67" t="n"/>
      <s:c r="E82" s="67" t="n"/>
      <s:c r="F82" s="67" t="n"/>
      <s:c r="G82" s="67" t="n"/>
      <s:c r="H82" s="74" t="str">
        <s:f>IF($A82="","",IF($E82="N","Sin 1 - too filtered",IF($F82="N","Sin 2 - text-heavy",IF($G82="N","Sin 3 - too salesy","clean"))))</s:f>
        <s:v/>
      </s:c>
      <s:c r="I82" s="95" t="n"/>
      <s:c r="J82" s="67" t="n"/>
    </s:row>
    <s:row r="83">
      <s:c r="A83" s="77" t="n"/>
      <s:c r="B83" s="65" t="n"/>
      <s:c r="C83" s="65" t="n"/>
      <s:c r="D83" s="65" t="n"/>
      <s:c r="E83" s="65" t="n"/>
      <s:c r="F83" s="65" t="n"/>
      <s:c r="G83" s="65" t="n"/>
      <s:c r="H83" s="64" t="str">
        <s:f>IF($A83="","",IF($E83="N","Sin 1 - too filtered",IF($F83="N","Sin 2 - text-heavy",IF($G83="N","Sin 3 - too salesy","clean"))))</s:f>
        <s:v/>
      </s:c>
      <s:c r="I83" s="94" t="n"/>
      <s:c r="J83" s="65" t="n"/>
    </s:row>
    <s:row r="84">
      <s:c r="A84" s="70" t="n"/>
      <s:c r="B84" s="67" t="n"/>
      <s:c r="C84" s="67" t="n"/>
      <s:c r="D84" s="67" t="n"/>
      <s:c r="E84" s="67" t="n"/>
      <s:c r="F84" s="67" t="n"/>
      <s:c r="G84" s="67" t="n"/>
      <s:c r="H84" s="74" t="str">
        <s:f>IF($A84="","",IF($E84="N","Sin 1 - too filtered",IF($F84="N","Sin 2 - text-heavy",IF($G84="N","Sin 3 - too salesy","clean"))))</s:f>
        <s:v/>
      </s:c>
      <s:c r="I84" s="95" t="n"/>
      <s:c r="J84" s="67" t="n"/>
    </s:row>
    <s:row r="85">
      <s:c r="A85" s="77" t="n"/>
      <s:c r="B85" s="65" t="n"/>
      <s:c r="C85" s="65" t="n"/>
      <s:c r="D85" s="65" t="n"/>
      <s:c r="E85" s="65" t="n"/>
      <s:c r="F85" s="65" t="n"/>
      <s:c r="G85" s="65" t="n"/>
      <s:c r="H85" s="64" t="str">
        <s:f>IF($A85="","",IF($E85="N","Sin 1 - too filtered",IF($F85="N","Sin 2 - text-heavy",IF($G85="N","Sin 3 - too salesy","clean"))))</s:f>
        <s:v/>
      </s:c>
      <s:c r="I85" s="94" t="n"/>
      <s:c r="J85" s="65" t="n"/>
    </s:row>
    <s:row r="86">
      <s:c r="A86" s="70" t="n"/>
      <s:c r="B86" s="67" t="n"/>
      <s:c r="C86" s="67" t="n"/>
      <s:c r="D86" s="67" t="n"/>
      <s:c r="E86" s="67" t="n"/>
      <s:c r="F86" s="67" t="n"/>
      <s:c r="G86" s="67" t="n"/>
      <s:c r="H86" s="74" t="str">
        <s:f>IF($A86="","",IF($E86="N","Sin 1 - too filtered",IF($F86="N","Sin 2 - text-heavy",IF($G86="N","Sin 3 - too salesy","clean"))))</s:f>
        <s:v/>
      </s:c>
      <s:c r="I86" s="95" t="n"/>
      <s:c r="J86" s="67" t="n"/>
    </s:row>
  </s:sheetData>
  <s:mergeCells count="3">
    <s:mergeCell ref="E4:F4"/>
    <s:mergeCell ref="A1:J1"/>
    <s:mergeCell ref="A2:J2"/>
  </s:mergeCells>
  <s:conditionalFormatting sqref="H7:H86">
    <s:cfRule type="cellIs" priority="1" operator="equal" dxfId="3">
      <s:formula>"clean"</s:formula>
    </s:cfRule>
    <s:cfRule type="cellIs" priority="2" operator="notEqual" dxfId="6">
      <s:formula>"clean"</s:formula>
    </s:cfRule>
  </s:conditionalFormatting>
  <s:dataValidations count="2">
    <s:dataValidation sqref="E7:E86 F7:F86 G7:G86" showDropDown="0" showInputMessage="0" showErrorMessage="0" allowBlank="1" type="list">
      <s:formula1>"Y,N"</s:formula1>
    </s:dataValidation>
    <s:dataValidation sqref="B7:B86" showDropDown="0" showInputMessage="0" showErrorMessage="0" allowBlank="1" type="list">
      <s:formula1>"LinkedIn,Instagram,Facebook,Newsletter,Other"</s:formula1>
    </s:dataValidation>
  </s:dataValidations>
  <s:pageMargins left="0.75" right="0.75" top="1" bottom="1" header="0.5" footer="0.5"/>
</s:worksheet>
</file>

<file path=xl/worksheets/sheet10.xml><?xml version="1.0" encoding="utf-8"?>
<s:worksheet xmlns:s="http://schemas.openxmlformats.org/spreadsheetml/2006/main">
  <s:sheetPr>
    <s:tabColor rgb="00833C00"/>
    <s:outlinePr summaryBelow="1" summaryRight="1"/>
    <s:pageSetUpPr/>
  </s:sheetPr>
  <s:dimension ref="A1:E39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26" customWidth="1" min="2" max="2"/>
    <s:col width="13" customWidth="1" min="3" max="3"/>
    <s:col width="34" customWidth="1" min="4" max="4"/>
    <s:col width="52" customWidth="1" min="5" max="5"/>
  </s:cols>
  <s:sheetData>
    <s:row r="1" ht="26" customHeight="1">
      <s:c r="A1" s="1" t="inlineStr">
        <s:is>
          <s:t>CRM PLAYBOOK  —  the system this CRM runs on</s:t>
        </s:is>
      </s:c>
      <s:c r="B1" s="2" t="n"/>
      <s:c r="C1" s="2" t="n"/>
      <s:c r="D1" s="2" t="n"/>
      <s:c r="E1" s="2" t="n"/>
    </s:row>
    <s:row r="2" ht="16" customHeight="1">
      <s:c r="A2" s="3" t="inlineStr">
        <s:is>
          <s:t>Tyler Mount's Sphere of Influence framework. The cadence table below is live - it drives the follow-up timing on every contact.</s:t>
        </s:is>
      </s:c>
      <s:c r="B2" s="2" t="n"/>
      <s:c r="C2" s="2" t="n"/>
      <s:c r="D2" s="2" t="n"/>
      <s:c r="E2" s="2" t="n"/>
    </s:row>
    <s:row r="4" ht="19" customHeight="1">
      <s:c r="A4" s="4" t="inlineStr">
        <s:is>
          <s:t xml:space="preserve">  A.  YOUR SPHERE OF INFLUENCE  —  five categories, five rhythms</s:t>
        </s:is>
      </s:c>
      <s:c r="B4" s="5" t="n"/>
      <s:c r="C4" s="5" t="n"/>
      <s:c r="D4" s="5" t="n"/>
      <s:c r="E4" s="5" t="n"/>
    </s:row>
    <s:row r="5" ht="30" customHeight="1">
      <s:c r="A5" s="16" t="inlineStr"/>
      <s:c r="B5" s="16" t="inlineStr">
        <s:is>
          <s:t>Category</s:t>
        </s:is>
      </s:c>
      <s:c r="C5" s="16" t="inlineStr">
        <s:is>
          <s:t>Touch every
(days)</s:t>
        </s:is>
      </s:c>
      <s:c r="D5" s="16" t="inlineStr">
        <s:is>
          <s:t>What it means</s:t>
        </s:is>
      </s:c>
      <s:c r="E5" s="16" t="inlineStr">
        <s:is>
          <s:t>What a touch looks like</s:t>
        </s:is>
      </s:c>
    </s:row>
    <s:row r="6" ht="32" customHeight="1">
      <s:c r="B6" s="8" t="inlineStr">
        <s:is>
          <s:t>Prospect</s:t>
        </s:is>
      </s:c>
      <s:c r="C6" s="44" t="n">
        <s:v>30</s:v>
      </s:c>
      <s:c r="D6" s="9" t="inlineStr">
        <s:is>
          <s:t>Someone who could use you but hasn't raised a hand.</s:t>
        </s:is>
      </s:c>
      <s:c r="E6" s="20" t="inlineStr">
        <s:is>
          <s:t>Comment on their post, send something useful, no ask.</s:t>
        </s:is>
      </s:c>
    </s:row>
    <s:row r="7" ht="32" customHeight="1">
      <s:c r="B7" s="21" t="inlineStr">
        <s:is>
          <s:t>Lead</s:t>
        </s:is>
      </s:c>
      <s:c r="C7" s="44" t="n">
        <s:v>7</s:v>
      </s:c>
      <s:c r="D7" s="96" t="inlineStr">
        <s:is>
          <s:t>Has raised a hand. Inquiry, referral, pre-qual request.</s:t>
        </s:is>
      </s:c>
      <s:c r="E7" s="24" t="inlineStr">
        <s:is>
          <s:t>Call. Then text. Then email. Speed is the whole game - respond within the hour.</s:t>
        </s:is>
      </s:c>
    </s:row>
    <s:row r="8" ht="32" customHeight="1">
      <s:c r="B8" s="8" t="inlineStr">
        <s:is>
          <s:t>Active Client</s:t>
        </s:is>
      </s:c>
      <s:c r="C8" s="44" t="n">
        <s:v>3</s:v>
      </s:c>
      <s:c r="D8" s="9" t="inlineStr">
        <s:is>
          <s:t>Under contract or in processing right now.</s:t>
        </s:is>
      </s:c>
      <s:c r="E8" s="20" t="inlineStr">
        <s:is>
          <s:t>Proactive status update, even when there's no news. Silence is what they complain about.</s:t>
        </s:is>
      </s:c>
    </s:row>
    <s:row r="9" ht="32" customHeight="1">
      <s:c r="B9" s="21" t="inlineStr">
        <s:is>
          <s:t>Closed Client</s:t>
        </s:is>
      </s:c>
      <s:c r="C9" s="44" t="n">
        <s:v>90</s:v>
      </s:c>
      <s:c r="D9" s="96" t="inlineStr">
        <s:is>
          <s:t>Funded and closed. Your single best source of referrals.</s:t>
        </s:is>
      </s:c>
      <s:c r="E9" s="24" t="inlineStr">
        <s:is>
          <s:t>Quarterly check-in, closing anniversary, rate-drop alert. Ask for the referral.</s:t>
        </s:is>
      </s:c>
    </s:row>
    <s:row r="10" ht="32" customHeight="1">
      <s:c r="B10" s="8" t="inlineStr">
        <s:is>
          <s:t>Dead Lead</s:t>
        </s:is>
      </s:c>
      <s:c r="C10" s="44" t="n">
        <s:v>180</s:v>
      </s:c>
      <s:c r="D10" s="9" t="inlineStr">
        <s:is>
          <s:t>Didn't proceed. Circumstances change - most come back.</s:t>
        </s:is>
      </s:c>
      <s:c r="E10" s="20" t="inlineStr">
        <s:is>
          <s:t>Low-pressure value drop twice a year. Never write them off permanently.</s:t>
        </s:is>
      </s:c>
    </s:row>
    <s:row r="11">
      <s:c r="B11" s="97" t="inlineStr">
        <s:is>
          <s:t>TOTAL SPHERE OF INFLUENCE</s:t>
        </s:is>
      </s:c>
      <s:c r="E11" s="98" t="inlineStr">
        <s:is>
          <s:t>All five together are your SOI. The mistake is only counting the middle three.</s:t>
        </s:is>
      </s:c>
    </s:row>
    <s:row r="13" ht="19" customHeight="1">
      <s:c r="A13" s="4" t="inlineStr">
        <s:is>
          <s:t xml:space="preserve">  B.  THE WEEKLY RHYTHM  —  'we become what we repeatedly do'</s:t>
        </s:is>
      </s:c>
      <s:c r="B13" s="5" t="n"/>
      <s:c r="C13" s="5" t="n"/>
      <s:c r="D13" s="5" t="n"/>
      <s:c r="E13" s="5" t="n"/>
    </s:row>
    <s:row r="14">
      <s:c r="B14" s="8" t="inlineStr">
        <s:is>
          <s:t>01  Add 100 consumers weekly</s:t>
        </s:is>
      </s:c>
      <s:c r="D14" s="9" t="inlineStr">
        <s:is>
          <s:t>On LinkedIn. Connections compound - 100/week is 5,200 a year.</s:t>
        </s:is>
      </s:c>
      <s:c r="E14" s="15" t="n"/>
    </s:row>
    <s:row r="15">
      <s:c r="B15" s="21" t="inlineStr">
        <s:is>
          <s:t>02  Post dynamic content weekly</s:t>
        </s:is>
      </s:c>
      <s:c r="D15" s="96" t="inlineStr">
        <s:is>
          <s:t>One post minimum. Consistency beats brilliance.</s:t>
        </s:is>
      </s:c>
      <s:c r="E15" s="15" t="n"/>
    </s:row>
    <s:row r="16">
      <s:c r="B16" s="8" t="inlineStr">
        <s:is>
          <s:t>03  Engage with your engagers</s:t>
        </s:is>
      </s:c>
      <s:c r="D16" s="9" t="inlineStr">
        <s:is>
          <s:t>Anyone who likes or comments gets a reply. This is where relationships actually start.</s:t>
        </s:is>
      </s:c>
      <s:c r="E16" s="15" t="n"/>
    </s:row>
    <s:row r="17">
      <s:c r="B17" s="56" t="inlineStr">
        <s:is>
          <s:t>Track it on the 'Weekly Rhythm' tab.</s:t>
        </s:is>
      </s:c>
    </s:row>
    <s:row r="19" ht="19" customHeight="1">
      <s:c r="A19" s="4" t="inlineStr">
        <s:is>
          <s:t xml:space="preserve">  C.  THE GOLDEN RULE OF NEWSLETTERS  —  every issue, three parts</s:t>
        </s:is>
      </s:c>
      <s:c r="B19" s="5" t="n"/>
      <s:c r="C19" s="5" t="n"/>
      <s:c r="D19" s="5" t="n"/>
      <s:c r="E19" s="5" t="n"/>
    </s:row>
    <s:row r="20" ht="28" customHeight="1">
      <s:c r="B20" s="8" t="inlineStr">
        <s:is>
          <s:t>01  Personal Narrative</s:t>
        </s:is>
      </s:c>
      <s:c r="D20" s="9" t="inlineStr">
        <s:is>
          <s:t>Lead with a human story that makes the reader feel like they know you.</s:t>
        </s:is>
      </s:c>
      <s:c r="E20" s="15" t="n"/>
    </s:row>
    <s:row r="21" ht="28" customHeight="1">
      <s:c r="B21" s="21" t="inlineStr">
        <s:is>
          <s:t>02  Community Oriented</s:t>
        </s:is>
      </s:c>
      <s:c r="D21" s="96" t="inlineStr">
        <s:is>
          <s:t>Feature the people, places and moments your audience already cares about. For you that is Maine - the towns, the events, the local businesses.</s:t>
        </s:is>
      </s:c>
      <s:c r="E21" s="15" t="n"/>
    </s:row>
    <s:row r="22" ht="28" customHeight="1">
      <s:c r="B22" s="8" t="inlineStr">
        <s:is>
          <s:t>03  Real Estate Grab Bag</s:t>
        </s:is>
      </s:c>
      <s:c r="D22" s="9" t="inlineStr">
        <s:is>
          <s:t>Close with a useful mix: listings, market insight, rate movement, quick-hit value.</s:t>
        </s:is>
      </s:c>
      <s:c r="E22" s="15" t="n"/>
    </s:row>
    <s:row r="24" ht="19" customHeight="1">
      <s:c r="A24" s="4" t="inlineStr">
        <s:is>
          <s:t xml:space="preserve">  D.  THE THREE SOCIAL SINS  —  cut these every time you post</s:t>
        </s:is>
      </s:c>
      <s:c r="B24" s="5" t="n"/>
      <s:c r="C24" s="5" t="n"/>
      <s:c r="D24" s="5" t="n"/>
      <s:c r="E24" s="5" t="n"/>
    </s:row>
    <s:row r="25" ht="28" customHeight="1">
      <s:c r="B25" s="8" t="inlineStr">
        <s:is>
          <s:t>01  Filtered content</s:t>
        </s:is>
      </s:c>
      <s:c r="D25" s="9" t="inlineStr">
        <s:is>
          <s:t>Polished past recognition - the audience loses the person behind the brand.</s:t>
        </s:is>
      </s:c>
      <s:c r="E25" s="20" t="inlineStr">
        <s:is>
          <s:t>Replace with: Use recognizable, real moments.</s:t>
        </s:is>
      </s:c>
    </s:row>
    <s:row r="26" ht="28" customHeight="1">
      <s:c r="B26" s="6" t="inlineStr">
        <s:is>
          <s:t>02  Text-heavy graphics</s:t>
        </s:is>
      </s:c>
      <s:c r="D26" s="7" t="inlineStr">
        <s:is>
          <s:t>If the message lives inside the artwork, people scroll before they find the point.</s:t>
        </s:is>
      </s:c>
      <s:c r="E26" s="99" t="inlineStr">
        <s:is>
          <s:t>Replace with: One idea, one visual hook.</s:t>
        </s:is>
      </s:c>
    </s:row>
    <s:row r="27" ht="28" customHeight="1">
      <s:c r="B27" s="8" t="inlineStr">
        <s:is>
          <s:t>03  Sales-focused content</s:t>
        </s:is>
      </s:c>
      <s:c r="D27" s="9" t="inlineStr">
        <s:is>
          <s:t>A feed that only asks for the transaction gives nobody a reason to stay.</s:t>
        </s:is>
      </s:c>
      <s:c r="E27" s="20" t="inlineStr">
        <s:is>
          <s:t>Replace with: Service before the sale.</s:t>
        </s:is>
      </s:c>
    </s:row>
    <s:row r="29">
      <s:c r="B29" s="56" t="inlineStr">
        <s:is>
          <s:t>If it looks perfect, reads like an ad, or asks for the sale, it stops feeling human. Checked automatically on the 'Content Log' tab.</s:t>
        </s:is>
      </s:c>
    </s:row>
    <s:row r="31" ht="19" customHeight="1">
      <s:c r="A31" s="4" t="inlineStr">
        <s:is>
          <s:t xml:space="preserve">  E.  WHY AUTHENTICITY IS A HARD METRIC, NOT A SOFT ONE</s:t>
        </s:is>
      </s:c>
      <s:c r="B31" s="5" t="n"/>
      <s:c r="C31" s="5" t="n"/>
      <s:c r="D31" s="5" t="n"/>
      <s:c r="E31" s="5" t="n"/>
    </s:row>
    <s:row r="32">
      <s:c r="B32" s="100" t="inlineStr">
        <s:is>
          <s:t>86%</s:t>
        </s:is>
      </s:c>
      <s:c r="D32" s="9" t="inlineStr">
        <s:is>
          <s:t>say authenticity is the key factor in choosing a brand to support</s:t>
        </s:is>
      </s:c>
      <s:c r="E32" s="15" t="n"/>
    </s:row>
    <s:row r="33">
      <s:c r="B33" s="101" t="inlineStr">
        <s:is>
          <s:t>57%</s:t>
        </s:is>
      </s:c>
      <s:c r="D33" s="96" t="inlineStr">
        <s:is>
          <s:t>buy from brands they deem authentic over inauthentic ones</s:t>
        </s:is>
      </s:c>
      <s:c r="E33" s="15" t="n"/>
    </s:row>
    <s:row r="34">
      <s:c r="B34" s="100" t="inlineStr">
        <s:is>
          <s:t>90%</s:t>
        </s:is>
      </s:c>
      <s:c r="D34" s="9" t="inlineStr">
        <s:is>
          <s:t>of Millennials cite authenticity as the #1 factor in who they follow</s:t>
        </s:is>
      </s:c>
      <s:c r="E34" s="15" t="n"/>
    </s:row>
    <s:row r="35">
      <s:c r="B35" s="101" t="inlineStr">
        <s:is>
          <s:t>68%</s:t>
        </s:is>
      </s:c>
      <s:c r="D35" s="96" t="inlineStr">
        <s:is>
          <s:t>are more likely to stay loyal to a brand they deem authentic</s:t>
        </s:is>
      </s:c>
      <s:c r="E35" s="15" t="n"/>
    </s:row>
    <s:row r="36">
      <s:c r="B36" s="100" t="inlineStr">
        <s:is>
          <s:t>81%</s:t>
        </s:is>
      </s:c>
      <s:c r="D36" s="9" t="inlineStr">
        <s:is>
          <s:t>need to trust a brand before purchasing</s:t>
        </s:is>
      </s:c>
      <s:c r="E36" s="15" t="n"/>
    </s:row>
    <s:row r="37">
      <s:c r="B37" s="101" t="inlineStr">
        <s:is>
          <s:t>92%</s:t>
        </s:is>
      </s:c>
      <s:c r="D37" s="96" t="inlineStr">
        <s:is>
          <s:t>trust recommendations from friends over advertisers</s:t>
        </s:is>
      </s:c>
      <s:c r="E37" s="15" t="n"/>
    </s:row>
    <s:row r="39">
      <s:c r="B39" s="56" t="inlineStr">
        <s:is>
          <s:t>Source: Tyler Mount keynote, 'The Power of F#!king Up'. Figures as presented there.</s:t>
        </s:is>
      </s:c>
    </s:row>
  </s:sheetData>
  <s:mergeCells count="20">
    <s:mergeCell ref="D20:E20"/>
    <s:mergeCell ref="A24:E24"/>
    <s:mergeCell ref="D34:E34"/>
    <s:mergeCell ref="A1:E1"/>
    <s:mergeCell ref="D22:E22"/>
    <s:mergeCell ref="D36:E36"/>
    <s:mergeCell ref="D21:E21"/>
    <s:mergeCell ref="D32:E32"/>
    <s:mergeCell ref="D16:E16"/>
    <s:mergeCell ref="A2:E2"/>
    <s:mergeCell ref="D37:E37"/>
    <s:mergeCell ref="A4:E4"/>
    <s:mergeCell ref="D15:E15"/>
    <s:mergeCell ref="D33:E33"/>
    <s:mergeCell ref="A19:E19"/>
    <s:mergeCell ref="B29:E29"/>
    <s:mergeCell ref="D14:E14"/>
    <s:mergeCell ref="A13:E13"/>
    <s:mergeCell ref="A31:E31"/>
    <s:mergeCell ref="D35:E35"/>
  </s:mergeCells>
  <s:pageMargins left="0.75" right="0.75" top="1" bottom="1" header="0.5" footer="0.5"/>
</s:worksheet>
</file>

<file path=xl/worksheets/sheet11.xml><?xml version="1.0" encoding="utf-8"?>
<s:worksheet xmlns:r="http://schemas.openxmlformats.org/officeDocument/2006/relationships" xmlns:s="http://schemas.openxmlformats.org/spreadsheetml/2006/main">
  <s:sheetPr>
    <s:tabColor rgb="001E7B4F"/>
    <s:outlinePr summaryBelow="1" summaryRight="1"/>
    <s:pageSetUpPr/>
  </s:sheetPr>
  <s:dimension ref="A1:K208"/>
  <s:sheetViews>
    <s:sheetView showGridLines="0" workbookViewId="0">
      <s:pane ySplit="7" topLeftCell="A8" activePane="bottomLeft" state="frozen"/>
      <s:selection pane="bottomLeft" activeCell="A1" sqref="A1"/>
    </s:sheetView>
  </s:sheetViews>
  <s:sheetFormatPr baseColWidth="8" defaultRowHeight="15"/>
  <s:cols>
    <s:col width="12" customWidth="1" min="1" max="1"/>
    <s:col width="24" customWidth="1" min="2" max="2"/>
    <s:col width="15" customWidth="1" min="3" max="3"/>
    <s:col width="15" customWidth="1" min="4" max="4"/>
    <s:col width="10" customWidth="1" min="5" max="5"/>
    <s:col width="16" customWidth="1" min="6" max="6"/>
    <s:col width="15" customWidth="1" min="7" max="7"/>
    <s:col width="13" customWidth="1" min="8" max="8"/>
    <s:col width="12" customWidth="1" min="9" max="9"/>
    <s:col width="22" customWidth="1" min="10" max="10"/>
    <s:col width="26" customWidth="1" min="11" max="11"/>
  </s:cols>
  <s:sheetData>
    <s:row r="1" ht="26" customHeight="1">
      <s:c r="A1" s="1" t="inlineStr">
        <s:is>
          <s:t>DEAL LOG  —  the only sheet you have to keep up with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  <s:c r="K1" s="2" t="n"/>
    </s:row>
    <s:row r="2" ht="16" customHeight="1">
      <s:c r="A2" s="3" t="inlineStr">
        <s:is>
          <s:t>One row per deal. Fill in A-E and H. Your commission and everything downstream updates on its own.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  <s:c r="K2" s="2" t="n"/>
    </s:row>
    <s:row r="4">
      <s:c r="A4" s="12" t="inlineStr">
        <s:is>
          <s:t>Funded volume</s:t>
        </s:is>
      </s:c>
      <s:c r="C4" s="102">
        <s:f>SUMIFS(C9:C208,$H$9:$H$208,"Funded")</s:f>
        <s:v>0.0</s:v>
      </s:c>
      <s:c r="D4" s="12" t="inlineStr">
        <s:is>
          <s:t>YOUR COMMISSION (credited to the draw)</s:t>
        </s:is>
      </s:c>
      <s:c r="F4" s="31">
        <s:f>SUMIFS(F9:F208,$H$9:$H$208,"Funded")</s:f>
        <s:v>0.0</s:v>
      </s:c>
      <s:c r="G4" s="41" t="str">
        <s:f>COUNTIFS($H$9:$H$208,"Funded")&amp;" funded"</s:f>
        <s:v>0 funded</s:v>
      </s:c>
    </s:row>
    <s:row r="5">
      <s:c r="A5" s="12" t="inlineStr">
        <s:is>
          <s:t>Draw balance to work through</s:t>
        </s:is>
      </s:c>
      <s:c r="C5" s="29">
        <s:f>Inputs!$C$17</s:f>
        <s:v>16500.0</s:v>
      </s:c>
      <s:c r="D5" s="56" t="str">
        <s:f>"Every dollar in the green box goes straight here until it reaches zero."</s:f>
        <s:v>Every dollar in the green box goes straight here until it reaches zero.</s:v>
      </s:c>
    </s:row>
    <s:row r="6">
      <s:c r="A6" s="103" t="inlineStr">
        <s:is>
          <s:t>Row 8 below is a greyed-out EXAMPLE showing the format. It is OUTSIDE every total, so it never affects your numbers - leave it or delete it, either is fine. Start typing on row 9.</s:t>
        </s:is>
      </s:c>
    </s:row>
    <s:row r="7" ht="30" customHeight="1">
      <s:c r="A7" s="16" t="inlineStr">
        <s:is>
          <s:t>Date funded</s:t>
        </s:is>
      </s:c>
      <s:c r="B7" s="16" t="inlineStr">
        <s:is>
          <s:t>Client / deal</s:t>
        </s:is>
      </s:c>
      <s:c r="C7" s="16" t="inlineStr">
        <s:is>
          <s:t>Loan amount</s:t>
        </s:is>
      </s:c>
      <s:c r="D7" s="16" t="inlineStr">
        <s:is>
          <s:t>Broker check
(company)</s:t>
        </s:is>
      </s:c>
      <s:c r="E7" s="16" t="inlineStr">
        <s:is>
          <s:t>Co. bps</s:t>
        </s:is>
      </s:c>
      <s:c r="F7" s="16" t="inlineStr">
        <s:is>
          <s:t>YOUR COMMISSION</s:t>
        </s:is>
      </s:c>
      <s:c r="G7" s="16" t="inlineStr">
        <s:is>
          <s:t>Applied to draw</s:t>
        </s:is>
      </s:c>
      <s:c r="H7" s="16" t="inlineStr">
        <s:is>
          <s:t>Status</s:t>
        </s:is>
      </s:c>
      <s:c r="I7" s="16" t="inlineStr">
        <s:is>
          <s:t>Month</s:t>
        </s:is>
      </s:c>
      <s:c r="J7" s="16" t="inlineStr">
        <s:is>
          <s:t>Referral source</s:t>
        </s:is>
      </s:c>
      <s:c r="K7" s="16" t="inlineStr">
        <s:is>
          <s:t>Notes</s:t>
        </s:is>
      </s:c>
    </s:row>
    <s:row r="8">
      <s:c r="A8" s="60" t="n">
        <s:v>46287</s:v>
      </s:c>
      <s:c r="B8" s="57" t="inlineStr">
        <s:is>
          <s:t>&lt;- EXAMPLE (not counted)</s:t>
        </s:is>
      </s:c>
      <s:c r="C8" s="58" t="n">
        <s:v>300000</s:v>
      </s:c>
      <s:c r="D8" s="58" t="n">
        <s:v>8250</s:v>
      </s:c>
      <s:c r="E8" s="104" t="n">
        <s:v>0.0275</s:v>
      </s:c>
      <s:c r="F8" s="105" t="n">
        <s:v>2250</s:v>
      </s:c>
      <s:c r="G8" s="105" t="n">
        <s:v>2250</s:v>
      </s:c>
      <s:c r="H8" s="106" t="inlineStr">
        <s:is>
          <s:t>Funded</s:t>
        </s:is>
      </s:c>
      <s:c r="I8" s="107" t="n">
        <s:v>46295</s:v>
      </s:c>
      <s:c r="J8" s="57" t="inlineStr">
        <s:is>
          <s:t>Realtor - J. Poulin</s:t>
        </s:is>
      </s:c>
      <s:c r="K8" s="57" t="inlineStr">
        <s:is>
          <s:t>$300k x 0.75% = $2,250 to you</s:t>
        </s:is>
      </s:c>
    </s:row>
    <s:row r="9">
      <s:c r="A9" s="77" t="n"/>
      <s:c r="B9" s="65" t="n"/>
      <s:c r="C9" s="76" t="n"/>
      <s:c r="D9" s="76" t="n"/>
      <s:c r="E9" s="108" t="n"/>
      <s:c r="F9" s="109" t="str">
        <s:f>IF($A9="","",$C9*Inputs!$C$12)</s:f>
        <s:v/>
      </s:c>
      <s:c r="G9" s="59" t="str">
        <s:f>IF($A9="","",IF($H9="Funded",$F9,0))</s:f>
        <s:v/>
      </s:c>
      <s:c r="H9" s="65" t="n"/>
      <s:c r="I9" s="110" t="str">
        <s:f>IF($A9="","",EOMONTH($A9,0))</s:f>
        <s:v/>
      </s:c>
      <s:c r="J9" s="65" t="n"/>
      <s:c r="K9" s="65" t="n"/>
    </s:row>
    <s:row r="10">
      <s:c r="A10" s="70" t="n"/>
      <s:c r="B10" s="67" t="n"/>
      <s:c r="C10" s="68" t="n"/>
      <s:c r="D10" s="68" t="n"/>
      <s:c r="E10" s="111" t="n"/>
      <s:c r="F10" s="109" t="str">
        <s:f>IF($A10="","",$C10*Inputs!$C$12)</s:f>
        <s:v/>
      </s:c>
      <s:c r="G10" s="69" t="str">
        <s:f>IF($A10="","",IF($H10="Funded",$F10,0))</s:f>
        <s:v/>
      </s:c>
      <s:c r="H10" s="67" t="n"/>
      <s:c r="I10" s="112" t="str">
        <s:f>IF($A10="","",EOMONTH($A10,0))</s:f>
        <s:v/>
      </s:c>
      <s:c r="J10" s="67" t="n"/>
      <s:c r="K10" s="67" t="n"/>
    </s:row>
    <s:row r="11">
      <s:c r="A11" s="77" t="n"/>
      <s:c r="B11" s="65" t="n"/>
      <s:c r="C11" s="76" t="n"/>
      <s:c r="D11" s="76" t="n"/>
      <s:c r="E11" s="108" t="n"/>
      <s:c r="F11" s="109" t="str">
        <s:f>IF($A11="","",$C11*Inputs!$C$12)</s:f>
        <s:v/>
      </s:c>
      <s:c r="G11" s="59" t="str">
        <s:f>IF($A11="","",IF($H11="Funded",$F11,0))</s:f>
        <s:v/>
      </s:c>
      <s:c r="H11" s="65" t="n"/>
      <s:c r="I11" s="110" t="str">
        <s:f>IF($A11="","",EOMONTH($A11,0))</s:f>
        <s:v/>
      </s:c>
      <s:c r="J11" s="65" t="n"/>
      <s:c r="K11" s="65" t="n"/>
    </s:row>
    <s:row r="12">
      <s:c r="A12" s="70" t="n"/>
      <s:c r="B12" s="67" t="n"/>
      <s:c r="C12" s="68" t="n"/>
      <s:c r="D12" s="68" t="n"/>
      <s:c r="E12" s="111" t="n"/>
      <s:c r="F12" s="109" t="str">
        <s:f>IF($A12="","",$C12*Inputs!$C$12)</s:f>
        <s:v/>
      </s:c>
      <s:c r="G12" s="69" t="str">
        <s:f>IF($A12="","",IF($H12="Funded",$F12,0))</s:f>
        <s:v/>
      </s:c>
      <s:c r="H12" s="67" t="n"/>
      <s:c r="I12" s="112" t="str">
        <s:f>IF($A12="","",EOMONTH($A12,0))</s:f>
        <s:v/>
      </s:c>
      <s:c r="J12" s="67" t="n"/>
      <s:c r="K12" s="67" t="n"/>
    </s:row>
    <s:row r="13">
      <s:c r="A13" s="77" t="n"/>
      <s:c r="B13" s="65" t="n"/>
      <s:c r="C13" s="76" t="n"/>
      <s:c r="D13" s="76" t="n"/>
      <s:c r="E13" s="108" t="n"/>
      <s:c r="F13" s="109" t="str">
        <s:f>IF($A13="","",$C13*Inputs!$C$12)</s:f>
        <s:v/>
      </s:c>
      <s:c r="G13" s="59" t="str">
        <s:f>IF($A13="","",IF($H13="Funded",$F13,0))</s:f>
        <s:v/>
      </s:c>
      <s:c r="H13" s="65" t="n"/>
      <s:c r="I13" s="110" t="str">
        <s:f>IF($A13="","",EOMONTH($A13,0))</s:f>
        <s:v/>
      </s:c>
      <s:c r="J13" s="65" t="n"/>
      <s:c r="K13" s="65" t="n"/>
    </s:row>
    <s:row r="14">
      <s:c r="A14" s="70" t="n"/>
      <s:c r="B14" s="67" t="n"/>
      <s:c r="C14" s="68" t="n"/>
      <s:c r="D14" s="68" t="n"/>
      <s:c r="E14" s="111" t="n"/>
      <s:c r="F14" s="109" t="str">
        <s:f>IF($A14="","",$C14*Inputs!$C$12)</s:f>
        <s:v/>
      </s:c>
      <s:c r="G14" s="69" t="str">
        <s:f>IF($A14="","",IF($H14="Funded",$F14,0))</s:f>
        <s:v/>
      </s:c>
      <s:c r="H14" s="67" t="n"/>
      <s:c r="I14" s="112" t="str">
        <s:f>IF($A14="","",EOMONTH($A14,0))</s:f>
        <s:v/>
      </s:c>
      <s:c r="J14" s="67" t="n"/>
      <s:c r="K14" s="67" t="n"/>
    </s:row>
    <s:row r="15">
      <s:c r="A15" s="77" t="n"/>
      <s:c r="B15" s="65" t="n"/>
      <s:c r="C15" s="76" t="n"/>
      <s:c r="D15" s="76" t="n"/>
      <s:c r="E15" s="108" t="n"/>
      <s:c r="F15" s="109" t="str">
        <s:f>IF($A15="","",$C15*Inputs!$C$12)</s:f>
        <s:v/>
      </s:c>
      <s:c r="G15" s="59" t="str">
        <s:f>IF($A15="","",IF($H15="Funded",$F15,0))</s:f>
        <s:v/>
      </s:c>
      <s:c r="H15" s="65" t="n"/>
      <s:c r="I15" s="110" t="str">
        <s:f>IF($A15="","",EOMONTH($A15,0))</s:f>
        <s:v/>
      </s:c>
      <s:c r="J15" s="65" t="n"/>
      <s:c r="K15" s="65" t="n"/>
    </s:row>
    <s:row r="16">
      <s:c r="A16" s="70" t="n"/>
      <s:c r="B16" s="67" t="n"/>
      <s:c r="C16" s="68" t="n"/>
      <s:c r="D16" s="68" t="n"/>
      <s:c r="E16" s="111" t="n"/>
      <s:c r="F16" s="109" t="str">
        <s:f>IF($A16="","",$C16*Inputs!$C$12)</s:f>
        <s:v/>
      </s:c>
      <s:c r="G16" s="69" t="str">
        <s:f>IF($A16="","",IF($H16="Funded",$F16,0))</s:f>
        <s:v/>
      </s:c>
      <s:c r="H16" s="67" t="n"/>
      <s:c r="I16" s="112" t="str">
        <s:f>IF($A16="","",EOMONTH($A16,0))</s:f>
        <s:v/>
      </s:c>
      <s:c r="J16" s="67" t="n"/>
      <s:c r="K16" s="67" t="n"/>
    </s:row>
    <s:row r="17">
      <s:c r="A17" s="77" t="n"/>
      <s:c r="B17" s="65" t="n"/>
      <s:c r="C17" s="76" t="n"/>
      <s:c r="D17" s="76" t="n"/>
      <s:c r="E17" s="108" t="n"/>
      <s:c r="F17" s="109" t="str">
        <s:f>IF($A17="","",$C17*Inputs!$C$12)</s:f>
        <s:v/>
      </s:c>
      <s:c r="G17" s="59" t="str">
        <s:f>IF($A17="","",IF($H17="Funded",$F17,0))</s:f>
        <s:v/>
      </s:c>
      <s:c r="H17" s="65" t="n"/>
      <s:c r="I17" s="110" t="str">
        <s:f>IF($A17="","",EOMONTH($A17,0))</s:f>
        <s:v/>
      </s:c>
      <s:c r="J17" s="65" t="n"/>
      <s:c r="K17" s="65" t="n"/>
    </s:row>
    <s:row r="18">
      <s:c r="A18" s="70" t="n"/>
      <s:c r="B18" s="67" t="n"/>
      <s:c r="C18" s="68" t="n"/>
      <s:c r="D18" s="68" t="n"/>
      <s:c r="E18" s="111" t="n"/>
      <s:c r="F18" s="109" t="str">
        <s:f>IF($A18="","",$C18*Inputs!$C$12)</s:f>
        <s:v/>
      </s:c>
      <s:c r="G18" s="69" t="str">
        <s:f>IF($A18="","",IF($H18="Funded",$F18,0))</s:f>
        <s:v/>
      </s:c>
      <s:c r="H18" s="67" t="n"/>
      <s:c r="I18" s="112" t="str">
        <s:f>IF($A18="","",EOMONTH($A18,0))</s:f>
        <s:v/>
      </s:c>
      <s:c r="J18" s="67" t="n"/>
      <s:c r="K18" s="67" t="n"/>
    </s:row>
    <s:row r="19">
      <s:c r="A19" s="77" t="n"/>
      <s:c r="B19" s="65" t="n"/>
      <s:c r="C19" s="76" t="n"/>
      <s:c r="D19" s="76" t="n"/>
      <s:c r="E19" s="108" t="n"/>
      <s:c r="F19" s="109" t="str">
        <s:f>IF($A19="","",$C19*Inputs!$C$12)</s:f>
        <s:v/>
      </s:c>
      <s:c r="G19" s="59" t="str">
        <s:f>IF($A19="","",IF($H19="Funded",$F19,0))</s:f>
        <s:v/>
      </s:c>
      <s:c r="H19" s="65" t="n"/>
      <s:c r="I19" s="110" t="str">
        <s:f>IF($A19="","",EOMONTH($A19,0))</s:f>
        <s:v/>
      </s:c>
      <s:c r="J19" s="65" t="n"/>
      <s:c r="K19" s="65" t="n"/>
    </s:row>
    <s:row r="20">
      <s:c r="A20" s="70" t="n"/>
      <s:c r="B20" s="67" t="n"/>
      <s:c r="C20" s="68" t="n"/>
      <s:c r="D20" s="68" t="n"/>
      <s:c r="E20" s="111" t="n"/>
      <s:c r="F20" s="109" t="str">
        <s:f>IF($A20="","",$C20*Inputs!$C$12)</s:f>
        <s:v/>
      </s:c>
      <s:c r="G20" s="69" t="str">
        <s:f>IF($A20="","",IF($H20="Funded",$F20,0))</s:f>
        <s:v/>
      </s:c>
      <s:c r="H20" s="67" t="n"/>
      <s:c r="I20" s="112" t="str">
        <s:f>IF($A20="","",EOMONTH($A20,0))</s:f>
        <s:v/>
      </s:c>
      <s:c r="J20" s="67" t="n"/>
      <s:c r="K20" s="67" t="n"/>
    </s:row>
    <s:row r="21">
      <s:c r="A21" s="77" t="n"/>
      <s:c r="B21" s="65" t="n"/>
      <s:c r="C21" s="76" t="n"/>
      <s:c r="D21" s="76" t="n"/>
      <s:c r="E21" s="108" t="n"/>
      <s:c r="F21" s="109" t="str">
        <s:f>IF($A21="","",$C21*Inputs!$C$12)</s:f>
        <s:v/>
      </s:c>
      <s:c r="G21" s="59" t="str">
        <s:f>IF($A21="","",IF($H21="Funded",$F21,0))</s:f>
        <s:v/>
      </s:c>
      <s:c r="H21" s="65" t="n"/>
      <s:c r="I21" s="110" t="str">
        <s:f>IF($A21="","",EOMONTH($A21,0))</s:f>
        <s:v/>
      </s:c>
      <s:c r="J21" s="65" t="n"/>
      <s:c r="K21" s="65" t="n"/>
    </s:row>
    <s:row r="22">
      <s:c r="A22" s="70" t="n"/>
      <s:c r="B22" s="67" t="n"/>
      <s:c r="C22" s="68" t="n"/>
      <s:c r="D22" s="68" t="n"/>
      <s:c r="E22" s="111" t="n"/>
      <s:c r="F22" s="109" t="str">
        <s:f>IF($A22="","",$C22*Inputs!$C$12)</s:f>
        <s:v/>
      </s:c>
      <s:c r="G22" s="69" t="str">
        <s:f>IF($A22="","",IF($H22="Funded",$F22,0))</s:f>
        <s:v/>
      </s:c>
      <s:c r="H22" s="67" t="n"/>
      <s:c r="I22" s="112" t="str">
        <s:f>IF($A22="","",EOMONTH($A22,0))</s:f>
        <s:v/>
      </s:c>
      <s:c r="J22" s="67" t="n"/>
      <s:c r="K22" s="67" t="n"/>
    </s:row>
    <s:row r="23">
      <s:c r="A23" s="77" t="n"/>
      <s:c r="B23" s="65" t="n"/>
      <s:c r="C23" s="76" t="n"/>
      <s:c r="D23" s="76" t="n"/>
      <s:c r="E23" s="108" t="n"/>
      <s:c r="F23" s="109" t="str">
        <s:f>IF($A23="","",$C23*Inputs!$C$12)</s:f>
        <s:v/>
      </s:c>
      <s:c r="G23" s="59" t="str">
        <s:f>IF($A23="","",IF($H23="Funded",$F23,0))</s:f>
        <s:v/>
      </s:c>
      <s:c r="H23" s="65" t="n"/>
      <s:c r="I23" s="110" t="str">
        <s:f>IF($A23="","",EOMONTH($A23,0))</s:f>
        <s:v/>
      </s:c>
      <s:c r="J23" s="65" t="n"/>
      <s:c r="K23" s="65" t="n"/>
    </s:row>
    <s:row r="24">
      <s:c r="A24" s="70" t="n"/>
      <s:c r="B24" s="67" t="n"/>
      <s:c r="C24" s="68" t="n"/>
      <s:c r="D24" s="68" t="n"/>
      <s:c r="E24" s="111" t="n"/>
      <s:c r="F24" s="109" t="str">
        <s:f>IF($A24="","",$C24*Inputs!$C$12)</s:f>
        <s:v/>
      </s:c>
      <s:c r="G24" s="69" t="str">
        <s:f>IF($A24="","",IF($H24="Funded",$F24,0))</s:f>
        <s:v/>
      </s:c>
      <s:c r="H24" s="67" t="n"/>
      <s:c r="I24" s="112" t="str">
        <s:f>IF($A24="","",EOMONTH($A24,0))</s:f>
        <s:v/>
      </s:c>
      <s:c r="J24" s="67" t="n"/>
      <s:c r="K24" s="67" t="n"/>
    </s:row>
    <s:row r="25">
      <s:c r="A25" s="77" t="n"/>
      <s:c r="B25" s="65" t="n"/>
      <s:c r="C25" s="76" t="n"/>
      <s:c r="D25" s="76" t="n"/>
      <s:c r="E25" s="108" t="n"/>
      <s:c r="F25" s="109" t="str">
        <s:f>IF($A25="","",$C25*Inputs!$C$12)</s:f>
        <s:v/>
      </s:c>
      <s:c r="G25" s="59" t="str">
        <s:f>IF($A25="","",IF($H25="Funded",$F25,0))</s:f>
        <s:v/>
      </s:c>
      <s:c r="H25" s="65" t="n"/>
      <s:c r="I25" s="110" t="str">
        <s:f>IF($A25="","",EOMONTH($A25,0))</s:f>
        <s:v/>
      </s:c>
      <s:c r="J25" s="65" t="n"/>
      <s:c r="K25" s="65" t="n"/>
    </s:row>
    <s:row r="26">
      <s:c r="A26" s="70" t="n"/>
      <s:c r="B26" s="67" t="n"/>
      <s:c r="C26" s="68" t="n"/>
      <s:c r="D26" s="68" t="n"/>
      <s:c r="E26" s="111" t="n"/>
      <s:c r="F26" s="109" t="str">
        <s:f>IF($A26="","",$C26*Inputs!$C$12)</s:f>
        <s:v/>
      </s:c>
      <s:c r="G26" s="69" t="str">
        <s:f>IF($A26="","",IF($H26="Funded",$F26,0))</s:f>
        <s:v/>
      </s:c>
      <s:c r="H26" s="67" t="n"/>
      <s:c r="I26" s="112" t="str">
        <s:f>IF($A26="","",EOMONTH($A26,0))</s:f>
        <s:v/>
      </s:c>
      <s:c r="J26" s="67" t="n"/>
      <s:c r="K26" s="67" t="n"/>
    </s:row>
    <s:row r="27">
      <s:c r="A27" s="77" t="n"/>
      <s:c r="B27" s="65" t="n"/>
      <s:c r="C27" s="76" t="n"/>
      <s:c r="D27" s="76" t="n"/>
      <s:c r="E27" s="108" t="n"/>
      <s:c r="F27" s="109" t="str">
        <s:f>IF($A27="","",$C27*Inputs!$C$12)</s:f>
        <s:v/>
      </s:c>
      <s:c r="G27" s="59" t="str">
        <s:f>IF($A27="","",IF($H27="Funded",$F27,0))</s:f>
        <s:v/>
      </s:c>
      <s:c r="H27" s="65" t="n"/>
      <s:c r="I27" s="110" t="str">
        <s:f>IF($A27="","",EOMONTH($A27,0))</s:f>
        <s:v/>
      </s:c>
      <s:c r="J27" s="65" t="n"/>
      <s:c r="K27" s="65" t="n"/>
    </s:row>
    <s:row r="28">
      <s:c r="A28" s="70" t="n"/>
      <s:c r="B28" s="67" t="n"/>
      <s:c r="C28" s="68" t="n"/>
      <s:c r="D28" s="68" t="n"/>
      <s:c r="E28" s="111" t="n"/>
      <s:c r="F28" s="109" t="str">
        <s:f>IF($A28="","",$C28*Inputs!$C$12)</s:f>
        <s:v/>
      </s:c>
      <s:c r="G28" s="69" t="str">
        <s:f>IF($A28="","",IF($H28="Funded",$F28,0))</s:f>
        <s:v/>
      </s:c>
      <s:c r="H28" s="67" t="n"/>
      <s:c r="I28" s="112" t="str">
        <s:f>IF($A28="","",EOMONTH($A28,0))</s:f>
        <s:v/>
      </s:c>
      <s:c r="J28" s="67" t="n"/>
      <s:c r="K28" s="67" t="n"/>
    </s:row>
    <s:row r="29">
      <s:c r="A29" s="77" t="n"/>
      <s:c r="B29" s="65" t="n"/>
      <s:c r="C29" s="76" t="n"/>
      <s:c r="D29" s="76" t="n"/>
      <s:c r="E29" s="108" t="n"/>
      <s:c r="F29" s="109" t="str">
        <s:f>IF($A29="","",$C29*Inputs!$C$12)</s:f>
        <s:v/>
      </s:c>
      <s:c r="G29" s="59" t="str">
        <s:f>IF($A29="","",IF($H29="Funded",$F29,0))</s:f>
        <s:v/>
      </s:c>
      <s:c r="H29" s="65" t="n"/>
      <s:c r="I29" s="110" t="str">
        <s:f>IF($A29="","",EOMONTH($A29,0))</s:f>
        <s:v/>
      </s:c>
      <s:c r="J29" s="65" t="n"/>
      <s:c r="K29" s="65" t="n"/>
    </s:row>
    <s:row r="30">
      <s:c r="A30" s="70" t="n"/>
      <s:c r="B30" s="67" t="n"/>
      <s:c r="C30" s="68" t="n"/>
      <s:c r="D30" s="68" t="n"/>
      <s:c r="E30" s="111" t="n"/>
      <s:c r="F30" s="109" t="str">
        <s:f>IF($A30="","",$C30*Inputs!$C$12)</s:f>
        <s:v/>
      </s:c>
      <s:c r="G30" s="69" t="str">
        <s:f>IF($A30="","",IF($H30="Funded",$F30,0))</s:f>
        <s:v/>
      </s:c>
      <s:c r="H30" s="67" t="n"/>
      <s:c r="I30" s="112" t="str">
        <s:f>IF($A30="","",EOMONTH($A30,0))</s:f>
        <s:v/>
      </s:c>
      <s:c r="J30" s="67" t="n"/>
      <s:c r="K30" s="67" t="n"/>
    </s:row>
    <s:row r="31">
      <s:c r="A31" s="77" t="n"/>
      <s:c r="B31" s="65" t="n"/>
      <s:c r="C31" s="76" t="n"/>
      <s:c r="D31" s="76" t="n"/>
      <s:c r="E31" s="108" t="n"/>
      <s:c r="F31" s="109" t="str">
        <s:f>IF($A31="","",$C31*Inputs!$C$12)</s:f>
        <s:v/>
      </s:c>
      <s:c r="G31" s="59" t="str">
        <s:f>IF($A31="","",IF($H31="Funded",$F31,0))</s:f>
        <s:v/>
      </s:c>
      <s:c r="H31" s="65" t="n"/>
      <s:c r="I31" s="110" t="str">
        <s:f>IF($A31="","",EOMONTH($A31,0))</s:f>
        <s:v/>
      </s:c>
      <s:c r="J31" s="65" t="n"/>
      <s:c r="K31" s="65" t="n"/>
    </s:row>
    <s:row r="32">
      <s:c r="A32" s="70" t="n"/>
      <s:c r="B32" s="67" t="n"/>
      <s:c r="C32" s="68" t="n"/>
      <s:c r="D32" s="68" t="n"/>
      <s:c r="E32" s="111" t="n"/>
      <s:c r="F32" s="109" t="str">
        <s:f>IF($A32="","",$C32*Inputs!$C$12)</s:f>
        <s:v/>
      </s:c>
      <s:c r="G32" s="69" t="str">
        <s:f>IF($A32="","",IF($H32="Funded",$F32,0))</s:f>
        <s:v/>
      </s:c>
      <s:c r="H32" s="67" t="n"/>
      <s:c r="I32" s="112" t="str">
        <s:f>IF($A32="","",EOMONTH($A32,0))</s:f>
        <s:v/>
      </s:c>
      <s:c r="J32" s="67" t="n"/>
      <s:c r="K32" s="67" t="n"/>
    </s:row>
    <s:row r="33">
      <s:c r="A33" s="77" t="n"/>
      <s:c r="B33" s="65" t="n"/>
      <s:c r="C33" s="76" t="n"/>
      <s:c r="D33" s="76" t="n"/>
      <s:c r="E33" s="108" t="n"/>
      <s:c r="F33" s="109" t="str">
        <s:f>IF($A33="","",$C33*Inputs!$C$12)</s:f>
        <s:v/>
      </s:c>
      <s:c r="G33" s="59" t="str">
        <s:f>IF($A33="","",IF($H33="Funded",$F33,0))</s:f>
        <s:v/>
      </s:c>
      <s:c r="H33" s="65" t="n"/>
      <s:c r="I33" s="110" t="str">
        <s:f>IF($A33="","",EOMONTH($A33,0))</s:f>
        <s:v/>
      </s:c>
      <s:c r="J33" s="65" t="n"/>
      <s:c r="K33" s="65" t="n"/>
    </s:row>
    <s:row r="34">
      <s:c r="A34" s="70" t="n"/>
      <s:c r="B34" s="67" t="n"/>
      <s:c r="C34" s="68" t="n"/>
      <s:c r="D34" s="68" t="n"/>
      <s:c r="E34" s="111" t="n"/>
      <s:c r="F34" s="109" t="str">
        <s:f>IF($A34="","",$C34*Inputs!$C$12)</s:f>
        <s:v/>
      </s:c>
      <s:c r="G34" s="69" t="str">
        <s:f>IF($A34="","",IF($H34="Funded",$F34,0))</s:f>
        <s:v/>
      </s:c>
      <s:c r="H34" s="67" t="n"/>
      <s:c r="I34" s="112" t="str">
        <s:f>IF($A34="","",EOMONTH($A34,0))</s:f>
        <s:v/>
      </s:c>
      <s:c r="J34" s="67" t="n"/>
      <s:c r="K34" s="67" t="n"/>
    </s:row>
    <s:row r="35">
      <s:c r="A35" s="77" t="n"/>
      <s:c r="B35" s="65" t="n"/>
      <s:c r="C35" s="76" t="n"/>
      <s:c r="D35" s="76" t="n"/>
      <s:c r="E35" s="108" t="n"/>
      <s:c r="F35" s="109" t="str">
        <s:f>IF($A35="","",$C35*Inputs!$C$12)</s:f>
        <s:v/>
      </s:c>
      <s:c r="G35" s="59" t="str">
        <s:f>IF($A35="","",IF($H35="Funded",$F35,0))</s:f>
        <s:v/>
      </s:c>
      <s:c r="H35" s="65" t="n"/>
      <s:c r="I35" s="110" t="str">
        <s:f>IF($A35="","",EOMONTH($A35,0))</s:f>
        <s:v/>
      </s:c>
      <s:c r="J35" s="65" t="n"/>
      <s:c r="K35" s="65" t="n"/>
    </s:row>
    <s:row r="36">
      <s:c r="A36" s="70" t="n"/>
      <s:c r="B36" s="67" t="n"/>
      <s:c r="C36" s="68" t="n"/>
      <s:c r="D36" s="68" t="n"/>
      <s:c r="E36" s="111" t="n"/>
      <s:c r="F36" s="109" t="str">
        <s:f>IF($A36="","",$C36*Inputs!$C$12)</s:f>
        <s:v/>
      </s:c>
      <s:c r="G36" s="69" t="str">
        <s:f>IF($A36="","",IF($H36="Funded",$F36,0))</s:f>
        <s:v/>
      </s:c>
      <s:c r="H36" s="67" t="n"/>
      <s:c r="I36" s="112" t="str">
        <s:f>IF($A36="","",EOMONTH($A36,0))</s:f>
        <s:v/>
      </s:c>
      <s:c r="J36" s="67" t="n"/>
      <s:c r="K36" s="67" t="n"/>
    </s:row>
    <s:row r="37">
      <s:c r="A37" s="77" t="n"/>
      <s:c r="B37" s="65" t="n"/>
      <s:c r="C37" s="76" t="n"/>
      <s:c r="D37" s="76" t="n"/>
      <s:c r="E37" s="108" t="n"/>
      <s:c r="F37" s="109" t="str">
        <s:f>IF($A37="","",$C37*Inputs!$C$12)</s:f>
        <s:v/>
      </s:c>
      <s:c r="G37" s="59" t="str">
        <s:f>IF($A37="","",IF($H37="Funded",$F37,0))</s:f>
        <s:v/>
      </s:c>
      <s:c r="H37" s="65" t="n"/>
      <s:c r="I37" s="110" t="str">
        <s:f>IF($A37="","",EOMONTH($A37,0))</s:f>
        <s:v/>
      </s:c>
      <s:c r="J37" s="65" t="n"/>
      <s:c r="K37" s="65" t="n"/>
    </s:row>
    <s:row r="38">
      <s:c r="A38" s="70" t="n"/>
      <s:c r="B38" s="67" t="n"/>
      <s:c r="C38" s="68" t="n"/>
      <s:c r="D38" s="68" t="n"/>
      <s:c r="E38" s="111" t="n"/>
      <s:c r="F38" s="109" t="str">
        <s:f>IF($A38="","",$C38*Inputs!$C$12)</s:f>
        <s:v/>
      </s:c>
      <s:c r="G38" s="69" t="str">
        <s:f>IF($A38="","",IF($H38="Funded",$F38,0))</s:f>
        <s:v/>
      </s:c>
      <s:c r="H38" s="67" t="n"/>
      <s:c r="I38" s="112" t="str">
        <s:f>IF($A38="","",EOMONTH($A38,0))</s:f>
        <s:v/>
      </s:c>
      <s:c r="J38" s="67" t="n"/>
      <s:c r="K38" s="67" t="n"/>
    </s:row>
    <s:row r="39">
      <s:c r="A39" s="77" t="n"/>
      <s:c r="B39" s="65" t="n"/>
      <s:c r="C39" s="76" t="n"/>
      <s:c r="D39" s="76" t="n"/>
      <s:c r="E39" s="108" t="n"/>
      <s:c r="F39" s="109" t="str">
        <s:f>IF($A39="","",$C39*Inputs!$C$12)</s:f>
        <s:v/>
      </s:c>
      <s:c r="G39" s="59" t="str">
        <s:f>IF($A39="","",IF($H39="Funded",$F39,0))</s:f>
        <s:v/>
      </s:c>
      <s:c r="H39" s="65" t="n"/>
      <s:c r="I39" s="110" t="str">
        <s:f>IF($A39="","",EOMONTH($A39,0))</s:f>
        <s:v/>
      </s:c>
      <s:c r="J39" s="65" t="n"/>
      <s:c r="K39" s="65" t="n"/>
    </s:row>
    <s:row r="40">
      <s:c r="A40" s="70" t="n"/>
      <s:c r="B40" s="67" t="n"/>
      <s:c r="C40" s="68" t="n"/>
      <s:c r="D40" s="68" t="n"/>
      <s:c r="E40" s="111" t="n"/>
      <s:c r="F40" s="109" t="str">
        <s:f>IF($A40="","",$C40*Inputs!$C$12)</s:f>
        <s:v/>
      </s:c>
      <s:c r="G40" s="69" t="str">
        <s:f>IF($A40="","",IF($H40="Funded",$F40,0))</s:f>
        <s:v/>
      </s:c>
      <s:c r="H40" s="67" t="n"/>
      <s:c r="I40" s="112" t="str">
        <s:f>IF($A40="","",EOMONTH($A40,0))</s:f>
        <s:v/>
      </s:c>
      <s:c r="J40" s="67" t="n"/>
      <s:c r="K40" s="67" t="n"/>
    </s:row>
    <s:row r="41">
      <s:c r="A41" s="77" t="n"/>
      <s:c r="B41" s="65" t="n"/>
      <s:c r="C41" s="76" t="n"/>
      <s:c r="D41" s="76" t="n"/>
      <s:c r="E41" s="108" t="n"/>
      <s:c r="F41" s="109" t="str">
        <s:f>IF($A41="","",$C41*Inputs!$C$12)</s:f>
        <s:v/>
      </s:c>
      <s:c r="G41" s="59" t="str">
        <s:f>IF($A41="","",IF($H41="Funded",$F41,0))</s:f>
        <s:v/>
      </s:c>
      <s:c r="H41" s="65" t="n"/>
      <s:c r="I41" s="110" t="str">
        <s:f>IF($A41="","",EOMONTH($A41,0))</s:f>
        <s:v/>
      </s:c>
      <s:c r="J41" s="65" t="n"/>
      <s:c r="K41" s="65" t="n"/>
    </s:row>
    <s:row r="42">
      <s:c r="A42" s="70" t="n"/>
      <s:c r="B42" s="67" t="n"/>
      <s:c r="C42" s="68" t="n"/>
      <s:c r="D42" s="68" t="n"/>
      <s:c r="E42" s="111" t="n"/>
      <s:c r="F42" s="109" t="str">
        <s:f>IF($A42="","",$C42*Inputs!$C$12)</s:f>
        <s:v/>
      </s:c>
      <s:c r="G42" s="69" t="str">
        <s:f>IF($A42="","",IF($H42="Funded",$F42,0))</s:f>
        <s:v/>
      </s:c>
      <s:c r="H42" s="67" t="n"/>
      <s:c r="I42" s="112" t="str">
        <s:f>IF($A42="","",EOMONTH($A42,0))</s:f>
        <s:v/>
      </s:c>
      <s:c r="J42" s="67" t="n"/>
      <s:c r="K42" s="67" t="n"/>
    </s:row>
    <s:row r="43">
      <s:c r="A43" s="77" t="n"/>
      <s:c r="B43" s="65" t="n"/>
      <s:c r="C43" s="76" t="n"/>
      <s:c r="D43" s="76" t="n"/>
      <s:c r="E43" s="108" t="n"/>
      <s:c r="F43" s="109" t="str">
        <s:f>IF($A43="","",$C43*Inputs!$C$12)</s:f>
        <s:v/>
      </s:c>
      <s:c r="G43" s="59" t="str">
        <s:f>IF($A43="","",IF($H43="Funded",$F43,0))</s:f>
        <s:v/>
      </s:c>
      <s:c r="H43" s="65" t="n"/>
      <s:c r="I43" s="110" t="str">
        <s:f>IF($A43="","",EOMONTH($A43,0))</s:f>
        <s:v/>
      </s:c>
      <s:c r="J43" s="65" t="n"/>
      <s:c r="K43" s="65" t="n"/>
    </s:row>
    <s:row r="44">
      <s:c r="A44" s="70" t="n"/>
      <s:c r="B44" s="67" t="n"/>
      <s:c r="C44" s="68" t="n"/>
      <s:c r="D44" s="68" t="n"/>
      <s:c r="E44" s="111" t="n"/>
      <s:c r="F44" s="109" t="str">
        <s:f>IF($A44="","",$C44*Inputs!$C$12)</s:f>
        <s:v/>
      </s:c>
      <s:c r="G44" s="69" t="str">
        <s:f>IF($A44="","",IF($H44="Funded",$F44,0))</s:f>
        <s:v/>
      </s:c>
      <s:c r="H44" s="67" t="n"/>
      <s:c r="I44" s="112" t="str">
        <s:f>IF($A44="","",EOMONTH($A44,0))</s:f>
        <s:v/>
      </s:c>
      <s:c r="J44" s="67" t="n"/>
      <s:c r="K44" s="67" t="n"/>
    </s:row>
    <s:row r="45">
      <s:c r="A45" s="77" t="n"/>
      <s:c r="B45" s="65" t="n"/>
      <s:c r="C45" s="76" t="n"/>
      <s:c r="D45" s="76" t="n"/>
      <s:c r="E45" s="108" t="n"/>
      <s:c r="F45" s="109" t="str">
        <s:f>IF($A45="","",$C45*Inputs!$C$12)</s:f>
        <s:v/>
      </s:c>
      <s:c r="G45" s="59" t="str">
        <s:f>IF($A45="","",IF($H45="Funded",$F45,0))</s:f>
        <s:v/>
      </s:c>
      <s:c r="H45" s="65" t="n"/>
      <s:c r="I45" s="110" t="str">
        <s:f>IF($A45="","",EOMONTH($A45,0))</s:f>
        <s:v/>
      </s:c>
      <s:c r="J45" s="65" t="n"/>
      <s:c r="K45" s="65" t="n"/>
    </s:row>
    <s:row r="46">
      <s:c r="A46" s="70" t="n"/>
      <s:c r="B46" s="67" t="n"/>
      <s:c r="C46" s="68" t="n"/>
      <s:c r="D46" s="68" t="n"/>
      <s:c r="E46" s="111" t="n"/>
      <s:c r="F46" s="109" t="str">
        <s:f>IF($A46="","",$C46*Inputs!$C$12)</s:f>
        <s:v/>
      </s:c>
      <s:c r="G46" s="69" t="str">
        <s:f>IF($A46="","",IF($H46="Funded",$F46,0))</s:f>
        <s:v/>
      </s:c>
      <s:c r="H46" s="67" t="n"/>
      <s:c r="I46" s="112" t="str">
        <s:f>IF($A46="","",EOMONTH($A46,0))</s:f>
        <s:v/>
      </s:c>
      <s:c r="J46" s="67" t="n"/>
      <s:c r="K46" s="67" t="n"/>
    </s:row>
    <s:row r="47">
      <s:c r="A47" s="77" t="n"/>
      <s:c r="B47" s="65" t="n"/>
      <s:c r="C47" s="76" t="n"/>
      <s:c r="D47" s="76" t="n"/>
      <s:c r="E47" s="108" t="n"/>
      <s:c r="F47" s="109" t="str">
        <s:f>IF($A47="","",$C47*Inputs!$C$12)</s:f>
        <s:v/>
      </s:c>
      <s:c r="G47" s="59" t="str">
        <s:f>IF($A47="","",IF($H47="Funded",$F47,0))</s:f>
        <s:v/>
      </s:c>
      <s:c r="H47" s="65" t="n"/>
      <s:c r="I47" s="110" t="str">
        <s:f>IF($A47="","",EOMONTH($A47,0))</s:f>
        <s:v/>
      </s:c>
      <s:c r="J47" s="65" t="n"/>
      <s:c r="K47" s="65" t="n"/>
    </s:row>
    <s:row r="48">
      <s:c r="A48" s="70" t="n"/>
      <s:c r="B48" s="67" t="n"/>
      <s:c r="C48" s="68" t="n"/>
      <s:c r="D48" s="68" t="n"/>
      <s:c r="E48" s="111" t="n"/>
      <s:c r="F48" s="109" t="str">
        <s:f>IF($A48="","",$C48*Inputs!$C$12)</s:f>
        <s:v/>
      </s:c>
      <s:c r="G48" s="69" t="str">
        <s:f>IF($A48="","",IF($H48="Funded",$F48,0))</s:f>
        <s:v/>
      </s:c>
      <s:c r="H48" s="67" t="n"/>
      <s:c r="I48" s="112" t="str">
        <s:f>IF($A48="","",EOMONTH($A48,0))</s:f>
        <s:v/>
      </s:c>
      <s:c r="J48" s="67" t="n"/>
      <s:c r="K48" s="67" t="n"/>
    </s:row>
    <s:row r="49">
      <s:c r="A49" s="77" t="n"/>
      <s:c r="B49" s="65" t="n"/>
      <s:c r="C49" s="76" t="n"/>
      <s:c r="D49" s="76" t="n"/>
      <s:c r="E49" s="108" t="n"/>
      <s:c r="F49" s="109" t="str">
        <s:f>IF($A49="","",$C49*Inputs!$C$12)</s:f>
        <s:v/>
      </s:c>
      <s:c r="G49" s="59" t="str">
        <s:f>IF($A49="","",IF($H49="Funded",$F49,0))</s:f>
        <s:v/>
      </s:c>
      <s:c r="H49" s="65" t="n"/>
      <s:c r="I49" s="110" t="str">
        <s:f>IF($A49="","",EOMONTH($A49,0))</s:f>
        <s:v/>
      </s:c>
      <s:c r="J49" s="65" t="n"/>
      <s:c r="K49" s="65" t="n"/>
    </s:row>
    <s:row r="50">
      <s:c r="A50" s="70" t="n"/>
      <s:c r="B50" s="67" t="n"/>
      <s:c r="C50" s="68" t="n"/>
      <s:c r="D50" s="68" t="n"/>
      <s:c r="E50" s="111" t="n"/>
      <s:c r="F50" s="109" t="str">
        <s:f>IF($A50="","",$C50*Inputs!$C$12)</s:f>
        <s:v/>
      </s:c>
      <s:c r="G50" s="69" t="str">
        <s:f>IF($A50="","",IF($H50="Funded",$F50,0))</s:f>
        <s:v/>
      </s:c>
      <s:c r="H50" s="67" t="n"/>
      <s:c r="I50" s="112" t="str">
        <s:f>IF($A50="","",EOMONTH($A50,0))</s:f>
        <s:v/>
      </s:c>
      <s:c r="J50" s="67" t="n"/>
      <s:c r="K50" s="67" t="n"/>
    </s:row>
    <s:row r="51">
      <s:c r="A51" s="77" t="n"/>
      <s:c r="B51" s="65" t="n"/>
      <s:c r="C51" s="76" t="n"/>
      <s:c r="D51" s="76" t="n"/>
      <s:c r="E51" s="108" t="n"/>
      <s:c r="F51" s="109" t="str">
        <s:f>IF($A51="","",$C51*Inputs!$C$12)</s:f>
        <s:v/>
      </s:c>
      <s:c r="G51" s="59" t="str">
        <s:f>IF($A51="","",IF($H51="Funded",$F51,0))</s:f>
        <s:v/>
      </s:c>
      <s:c r="H51" s="65" t="n"/>
      <s:c r="I51" s="110" t="str">
        <s:f>IF($A51="","",EOMONTH($A51,0))</s:f>
        <s:v/>
      </s:c>
      <s:c r="J51" s="65" t="n"/>
      <s:c r="K51" s="65" t="n"/>
    </s:row>
    <s:row r="52">
      <s:c r="A52" s="70" t="n"/>
      <s:c r="B52" s="67" t="n"/>
      <s:c r="C52" s="68" t="n"/>
      <s:c r="D52" s="68" t="n"/>
      <s:c r="E52" s="111" t="n"/>
      <s:c r="F52" s="109" t="str">
        <s:f>IF($A52="","",$C52*Inputs!$C$12)</s:f>
        <s:v/>
      </s:c>
      <s:c r="G52" s="69" t="str">
        <s:f>IF($A52="","",IF($H52="Funded",$F52,0))</s:f>
        <s:v/>
      </s:c>
      <s:c r="H52" s="67" t="n"/>
      <s:c r="I52" s="112" t="str">
        <s:f>IF($A52="","",EOMONTH($A52,0))</s:f>
        <s:v/>
      </s:c>
      <s:c r="J52" s="67" t="n"/>
      <s:c r="K52" s="67" t="n"/>
    </s:row>
    <s:row r="53">
      <s:c r="A53" s="77" t="n"/>
      <s:c r="B53" s="65" t="n"/>
      <s:c r="C53" s="76" t="n"/>
      <s:c r="D53" s="76" t="n"/>
      <s:c r="E53" s="108" t="n"/>
      <s:c r="F53" s="109" t="str">
        <s:f>IF($A53="","",$C53*Inputs!$C$12)</s:f>
        <s:v/>
      </s:c>
      <s:c r="G53" s="59" t="str">
        <s:f>IF($A53="","",IF($H53="Funded",$F53,0))</s:f>
        <s:v/>
      </s:c>
      <s:c r="H53" s="65" t="n"/>
      <s:c r="I53" s="110" t="str">
        <s:f>IF($A53="","",EOMONTH($A53,0))</s:f>
        <s:v/>
      </s:c>
      <s:c r="J53" s="65" t="n"/>
      <s:c r="K53" s="65" t="n"/>
    </s:row>
    <s:row r="54">
      <s:c r="A54" s="70" t="n"/>
      <s:c r="B54" s="67" t="n"/>
      <s:c r="C54" s="68" t="n"/>
      <s:c r="D54" s="68" t="n"/>
      <s:c r="E54" s="111" t="n"/>
      <s:c r="F54" s="109" t="str">
        <s:f>IF($A54="","",$C54*Inputs!$C$12)</s:f>
        <s:v/>
      </s:c>
      <s:c r="G54" s="69" t="str">
        <s:f>IF($A54="","",IF($H54="Funded",$F54,0))</s:f>
        <s:v/>
      </s:c>
      <s:c r="H54" s="67" t="n"/>
      <s:c r="I54" s="112" t="str">
        <s:f>IF($A54="","",EOMONTH($A54,0))</s:f>
        <s:v/>
      </s:c>
      <s:c r="J54" s="67" t="n"/>
      <s:c r="K54" s="67" t="n"/>
    </s:row>
    <s:row r="55">
      <s:c r="A55" s="77" t="n"/>
      <s:c r="B55" s="65" t="n"/>
      <s:c r="C55" s="76" t="n"/>
      <s:c r="D55" s="76" t="n"/>
      <s:c r="E55" s="108" t="n"/>
      <s:c r="F55" s="109" t="str">
        <s:f>IF($A55="","",$C55*Inputs!$C$12)</s:f>
        <s:v/>
      </s:c>
      <s:c r="G55" s="59" t="str">
        <s:f>IF($A55="","",IF($H55="Funded",$F55,0))</s:f>
        <s:v/>
      </s:c>
      <s:c r="H55" s="65" t="n"/>
      <s:c r="I55" s="110" t="str">
        <s:f>IF($A55="","",EOMONTH($A55,0))</s:f>
        <s:v/>
      </s:c>
      <s:c r="J55" s="65" t="n"/>
      <s:c r="K55" s="65" t="n"/>
    </s:row>
    <s:row r="56">
      <s:c r="A56" s="70" t="n"/>
      <s:c r="B56" s="67" t="n"/>
      <s:c r="C56" s="68" t="n"/>
      <s:c r="D56" s="68" t="n"/>
      <s:c r="E56" s="111" t="n"/>
      <s:c r="F56" s="109" t="str">
        <s:f>IF($A56="","",$C56*Inputs!$C$12)</s:f>
        <s:v/>
      </s:c>
      <s:c r="G56" s="69" t="str">
        <s:f>IF($A56="","",IF($H56="Funded",$F56,0))</s:f>
        <s:v/>
      </s:c>
      <s:c r="H56" s="67" t="n"/>
      <s:c r="I56" s="112" t="str">
        <s:f>IF($A56="","",EOMONTH($A56,0))</s:f>
        <s:v/>
      </s:c>
      <s:c r="J56" s="67" t="n"/>
      <s:c r="K56" s="67" t="n"/>
    </s:row>
    <s:row r="57">
      <s:c r="A57" s="77" t="n"/>
      <s:c r="B57" s="65" t="n"/>
      <s:c r="C57" s="76" t="n"/>
      <s:c r="D57" s="76" t="n"/>
      <s:c r="E57" s="108" t="n"/>
      <s:c r="F57" s="109" t="str">
        <s:f>IF($A57="","",$C57*Inputs!$C$12)</s:f>
        <s:v/>
      </s:c>
      <s:c r="G57" s="59" t="str">
        <s:f>IF($A57="","",IF($H57="Funded",$F57,0))</s:f>
        <s:v/>
      </s:c>
      <s:c r="H57" s="65" t="n"/>
      <s:c r="I57" s="110" t="str">
        <s:f>IF($A57="","",EOMONTH($A57,0))</s:f>
        <s:v/>
      </s:c>
      <s:c r="J57" s="65" t="n"/>
      <s:c r="K57" s="65" t="n"/>
    </s:row>
    <s:row r="58">
      <s:c r="A58" s="70" t="n"/>
      <s:c r="B58" s="67" t="n"/>
      <s:c r="C58" s="68" t="n"/>
      <s:c r="D58" s="68" t="n"/>
      <s:c r="E58" s="111" t="n"/>
      <s:c r="F58" s="109" t="str">
        <s:f>IF($A58="","",$C58*Inputs!$C$12)</s:f>
        <s:v/>
      </s:c>
      <s:c r="G58" s="69" t="str">
        <s:f>IF($A58="","",IF($H58="Funded",$F58,0))</s:f>
        <s:v/>
      </s:c>
      <s:c r="H58" s="67" t="n"/>
      <s:c r="I58" s="112" t="str">
        <s:f>IF($A58="","",EOMONTH($A58,0))</s:f>
        <s:v/>
      </s:c>
      <s:c r="J58" s="67" t="n"/>
      <s:c r="K58" s="67" t="n"/>
    </s:row>
    <s:row r="59">
      <s:c r="A59" s="77" t="n"/>
      <s:c r="B59" s="65" t="n"/>
      <s:c r="C59" s="76" t="n"/>
      <s:c r="D59" s="76" t="n"/>
      <s:c r="E59" s="108" t="n"/>
      <s:c r="F59" s="109" t="str">
        <s:f>IF($A59="","",$C59*Inputs!$C$12)</s:f>
        <s:v/>
      </s:c>
      <s:c r="G59" s="59" t="str">
        <s:f>IF($A59="","",IF($H59="Funded",$F59,0))</s:f>
        <s:v/>
      </s:c>
      <s:c r="H59" s="65" t="n"/>
      <s:c r="I59" s="110" t="str">
        <s:f>IF($A59="","",EOMONTH($A59,0))</s:f>
        <s:v/>
      </s:c>
      <s:c r="J59" s="65" t="n"/>
      <s:c r="K59" s="65" t="n"/>
    </s:row>
    <s:row r="60">
      <s:c r="A60" s="70" t="n"/>
      <s:c r="B60" s="67" t="n"/>
      <s:c r="C60" s="68" t="n"/>
      <s:c r="D60" s="68" t="n"/>
      <s:c r="E60" s="111" t="n"/>
      <s:c r="F60" s="109" t="str">
        <s:f>IF($A60="","",$C60*Inputs!$C$12)</s:f>
        <s:v/>
      </s:c>
      <s:c r="G60" s="69" t="str">
        <s:f>IF($A60="","",IF($H60="Funded",$F60,0))</s:f>
        <s:v/>
      </s:c>
      <s:c r="H60" s="67" t="n"/>
      <s:c r="I60" s="112" t="str">
        <s:f>IF($A60="","",EOMONTH($A60,0))</s:f>
        <s:v/>
      </s:c>
      <s:c r="J60" s="67" t="n"/>
      <s:c r="K60" s="67" t="n"/>
    </s:row>
    <s:row r="61">
      <s:c r="A61" s="77" t="n"/>
      <s:c r="B61" s="65" t="n"/>
      <s:c r="C61" s="76" t="n"/>
      <s:c r="D61" s="76" t="n"/>
      <s:c r="E61" s="108" t="n"/>
      <s:c r="F61" s="109" t="str">
        <s:f>IF($A61="","",$C61*Inputs!$C$12)</s:f>
        <s:v/>
      </s:c>
      <s:c r="G61" s="59" t="str">
        <s:f>IF($A61="","",IF($H61="Funded",$F61,0))</s:f>
        <s:v/>
      </s:c>
      <s:c r="H61" s="65" t="n"/>
      <s:c r="I61" s="110" t="str">
        <s:f>IF($A61="","",EOMONTH($A61,0))</s:f>
        <s:v/>
      </s:c>
      <s:c r="J61" s="65" t="n"/>
      <s:c r="K61" s="65" t="n"/>
    </s:row>
    <s:row r="62">
      <s:c r="A62" s="70" t="n"/>
      <s:c r="B62" s="67" t="n"/>
      <s:c r="C62" s="68" t="n"/>
      <s:c r="D62" s="68" t="n"/>
      <s:c r="E62" s="111" t="n"/>
      <s:c r="F62" s="109" t="str">
        <s:f>IF($A62="","",$C62*Inputs!$C$12)</s:f>
        <s:v/>
      </s:c>
      <s:c r="G62" s="69" t="str">
        <s:f>IF($A62="","",IF($H62="Funded",$F62,0))</s:f>
        <s:v/>
      </s:c>
      <s:c r="H62" s="67" t="n"/>
      <s:c r="I62" s="112" t="str">
        <s:f>IF($A62="","",EOMONTH($A62,0))</s:f>
        <s:v/>
      </s:c>
      <s:c r="J62" s="67" t="n"/>
      <s:c r="K62" s="67" t="n"/>
    </s:row>
    <s:row r="63">
      <s:c r="A63" s="77" t="n"/>
      <s:c r="B63" s="65" t="n"/>
      <s:c r="C63" s="76" t="n"/>
      <s:c r="D63" s="76" t="n"/>
      <s:c r="E63" s="108" t="n"/>
      <s:c r="F63" s="109" t="str">
        <s:f>IF($A63="","",$C63*Inputs!$C$12)</s:f>
        <s:v/>
      </s:c>
      <s:c r="G63" s="59" t="str">
        <s:f>IF($A63="","",IF($H63="Funded",$F63,0))</s:f>
        <s:v/>
      </s:c>
      <s:c r="H63" s="65" t="n"/>
      <s:c r="I63" s="110" t="str">
        <s:f>IF($A63="","",EOMONTH($A63,0))</s:f>
        <s:v/>
      </s:c>
      <s:c r="J63" s="65" t="n"/>
      <s:c r="K63" s="65" t="n"/>
    </s:row>
    <s:row r="64">
      <s:c r="A64" s="70" t="n"/>
      <s:c r="B64" s="67" t="n"/>
      <s:c r="C64" s="68" t="n"/>
      <s:c r="D64" s="68" t="n"/>
      <s:c r="E64" s="111" t="n"/>
      <s:c r="F64" s="109" t="str">
        <s:f>IF($A64="","",$C64*Inputs!$C$12)</s:f>
        <s:v/>
      </s:c>
      <s:c r="G64" s="69" t="str">
        <s:f>IF($A64="","",IF($H64="Funded",$F64,0))</s:f>
        <s:v/>
      </s:c>
      <s:c r="H64" s="67" t="n"/>
      <s:c r="I64" s="112" t="str">
        <s:f>IF($A64="","",EOMONTH($A64,0))</s:f>
        <s:v/>
      </s:c>
      <s:c r="J64" s="67" t="n"/>
      <s:c r="K64" s="67" t="n"/>
    </s:row>
    <s:row r="65">
      <s:c r="A65" s="77" t="n"/>
      <s:c r="B65" s="65" t="n"/>
      <s:c r="C65" s="76" t="n"/>
      <s:c r="D65" s="76" t="n"/>
      <s:c r="E65" s="108" t="n"/>
      <s:c r="F65" s="109" t="str">
        <s:f>IF($A65="","",$C65*Inputs!$C$12)</s:f>
        <s:v/>
      </s:c>
      <s:c r="G65" s="59" t="str">
        <s:f>IF($A65="","",IF($H65="Funded",$F65,0))</s:f>
        <s:v/>
      </s:c>
      <s:c r="H65" s="65" t="n"/>
      <s:c r="I65" s="110" t="str">
        <s:f>IF($A65="","",EOMONTH($A65,0))</s:f>
        <s:v/>
      </s:c>
      <s:c r="J65" s="65" t="n"/>
      <s:c r="K65" s="65" t="n"/>
    </s:row>
    <s:row r="66">
      <s:c r="A66" s="70" t="n"/>
      <s:c r="B66" s="67" t="n"/>
      <s:c r="C66" s="68" t="n"/>
      <s:c r="D66" s="68" t="n"/>
      <s:c r="E66" s="111" t="n"/>
      <s:c r="F66" s="109" t="str">
        <s:f>IF($A66="","",$C66*Inputs!$C$12)</s:f>
        <s:v/>
      </s:c>
      <s:c r="G66" s="69" t="str">
        <s:f>IF($A66="","",IF($H66="Funded",$F66,0))</s:f>
        <s:v/>
      </s:c>
      <s:c r="H66" s="67" t="n"/>
      <s:c r="I66" s="112" t="str">
        <s:f>IF($A66="","",EOMONTH($A66,0))</s:f>
        <s:v/>
      </s:c>
      <s:c r="J66" s="67" t="n"/>
      <s:c r="K66" s="67" t="n"/>
    </s:row>
    <s:row r="67">
      <s:c r="A67" s="77" t="n"/>
      <s:c r="B67" s="65" t="n"/>
      <s:c r="C67" s="76" t="n"/>
      <s:c r="D67" s="76" t="n"/>
      <s:c r="E67" s="108" t="n"/>
      <s:c r="F67" s="109" t="str">
        <s:f>IF($A67="","",$C67*Inputs!$C$12)</s:f>
        <s:v/>
      </s:c>
      <s:c r="G67" s="59" t="str">
        <s:f>IF($A67="","",IF($H67="Funded",$F67,0))</s:f>
        <s:v/>
      </s:c>
      <s:c r="H67" s="65" t="n"/>
      <s:c r="I67" s="110" t="str">
        <s:f>IF($A67="","",EOMONTH($A67,0))</s:f>
        <s:v/>
      </s:c>
      <s:c r="J67" s="65" t="n"/>
      <s:c r="K67" s="65" t="n"/>
    </s:row>
    <s:row r="68">
      <s:c r="A68" s="70" t="n"/>
      <s:c r="B68" s="67" t="n"/>
      <s:c r="C68" s="68" t="n"/>
      <s:c r="D68" s="68" t="n"/>
      <s:c r="E68" s="111" t="n"/>
      <s:c r="F68" s="109" t="str">
        <s:f>IF($A68="","",$C68*Inputs!$C$12)</s:f>
        <s:v/>
      </s:c>
      <s:c r="G68" s="69" t="str">
        <s:f>IF($A68="","",IF($H68="Funded",$F68,0))</s:f>
        <s:v/>
      </s:c>
      <s:c r="H68" s="67" t="n"/>
      <s:c r="I68" s="112" t="str">
        <s:f>IF($A68="","",EOMONTH($A68,0))</s:f>
        <s:v/>
      </s:c>
      <s:c r="J68" s="67" t="n"/>
      <s:c r="K68" s="67" t="n"/>
    </s:row>
    <s:row r="69">
      <s:c r="A69" s="77" t="n"/>
      <s:c r="B69" s="65" t="n"/>
      <s:c r="C69" s="76" t="n"/>
      <s:c r="D69" s="76" t="n"/>
      <s:c r="E69" s="108" t="n"/>
      <s:c r="F69" s="109" t="str">
        <s:f>IF($A69="","",$C69*Inputs!$C$12)</s:f>
        <s:v/>
      </s:c>
      <s:c r="G69" s="59" t="str">
        <s:f>IF($A69="","",IF($H69="Funded",$F69,0))</s:f>
        <s:v/>
      </s:c>
      <s:c r="H69" s="65" t="n"/>
      <s:c r="I69" s="110" t="str">
        <s:f>IF($A69="","",EOMONTH($A69,0))</s:f>
        <s:v/>
      </s:c>
      <s:c r="J69" s="65" t="n"/>
      <s:c r="K69" s="65" t="n"/>
    </s:row>
    <s:row r="70">
      <s:c r="A70" s="70" t="n"/>
      <s:c r="B70" s="67" t="n"/>
      <s:c r="C70" s="68" t="n"/>
      <s:c r="D70" s="68" t="n"/>
      <s:c r="E70" s="111" t="n"/>
      <s:c r="F70" s="109" t="str">
        <s:f>IF($A70="","",$C70*Inputs!$C$12)</s:f>
        <s:v/>
      </s:c>
      <s:c r="G70" s="69" t="str">
        <s:f>IF($A70="","",IF($H70="Funded",$F70,0))</s:f>
        <s:v/>
      </s:c>
      <s:c r="H70" s="67" t="n"/>
      <s:c r="I70" s="112" t="str">
        <s:f>IF($A70="","",EOMONTH($A70,0))</s:f>
        <s:v/>
      </s:c>
      <s:c r="J70" s="67" t="n"/>
      <s:c r="K70" s="67" t="n"/>
    </s:row>
    <s:row r="71">
      <s:c r="A71" s="77" t="n"/>
      <s:c r="B71" s="65" t="n"/>
      <s:c r="C71" s="76" t="n"/>
      <s:c r="D71" s="76" t="n"/>
      <s:c r="E71" s="108" t="n"/>
      <s:c r="F71" s="109" t="str">
        <s:f>IF($A71="","",$C71*Inputs!$C$12)</s:f>
        <s:v/>
      </s:c>
      <s:c r="G71" s="59" t="str">
        <s:f>IF($A71="","",IF($H71="Funded",$F71,0))</s:f>
        <s:v/>
      </s:c>
      <s:c r="H71" s="65" t="n"/>
      <s:c r="I71" s="110" t="str">
        <s:f>IF($A71="","",EOMONTH($A71,0))</s:f>
        <s:v/>
      </s:c>
      <s:c r="J71" s="65" t="n"/>
      <s:c r="K71" s="65" t="n"/>
    </s:row>
    <s:row r="72">
      <s:c r="A72" s="70" t="n"/>
      <s:c r="B72" s="67" t="n"/>
      <s:c r="C72" s="68" t="n"/>
      <s:c r="D72" s="68" t="n"/>
      <s:c r="E72" s="111" t="n"/>
      <s:c r="F72" s="109" t="str">
        <s:f>IF($A72="","",$C72*Inputs!$C$12)</s:f>
        <s:v/>
      </s:c>
      <s:c r="G72" s="69" t="str">
        <s:f>IF($A72="","",IF($H72="Funded",$F72,0))</s:f>
        <s:v/>
      </s:c>
      <s:c r="H72" s="67" t="n"/>
      <s:c r="I72" s="112" t="str">
        <s:f>IF($A72="","",EOMONTH($A72,0))</s:f>
        <s:v/>
      </s:c>
      <s:c r="J72" s="67" t="n"/>
      <s:c r="K72" s="67" t="n"/>
    </s:row>
    <s:row r="73">
      <s:c r="A73" s="77" t="n"/>
      <s:c r="B73" s="65" t="n"/>
      <s:c r="C73" s="76" t="n"/>
      <s:c r="D73" s="76" t="n"/>
      <s:c r="E73" s="108" t="n"/>
      <s:c r="F73" s="109" t="str">
        <s:f>IF($A73="","",$C73*Inputs!$C$12)</s:f>
        <s:v/>
      </s:c>
      <s:c r="G73" s="59" t="str">
        <s:f>IF($A73="","",IF($H73="Funded",$F73,0))</s:f>
        <s:v/>
      </s:c>
      <s:c r="H73" s="65" t="n"/>
      <s:c r="I73" s="110" t="str">
        <s:f>IF($A73="","",EOMONTH($A73,0))</s:f>
        <s:v/>
      </s:c>
      <s:c r="J73" s="65" t="n"/>
      <s:c r="K73" s="65" t="n"/>
    </s:row>
    <s:row r="74">
      <s:c r="A74" s="70" t="n"/>
      <s:c r="B74" s="67" t="n"/>
      <s:c r="C74" s="68" t="n"/>
      <s:c r="D74" s="68" t="n"/>
      <s:c r="E74" s="111" t="n"/>
      <s:c r="F74" s="109" t="str">
        <s:f>IF($A74="","",$C74*Inputs!$C$12)</s:f>
        <s:v/>
      </s:c>
      <s:c r="G74" s="69" t="str">
        <s:f>IF($A74="","",IF($H74="Funded",$F74,0))</s:f>
        <s:v/>
      </s:c>
      <s:c r="H74" s="67" t="n"/>
      <s:c r="I74" s="112" t="str">
        <s:f>IF($A74="","",EOMONTH($A74,0))</s:f>
        <s:v/>
      </s:c>
      <s:c r="J74" s="67" t="n"/>
      <s:c r="K74" s="67" t="n"/>
    </s:row>
    <s:row r="75">
      <s:c r="A75" s="77" t="n"/>
      <s:c r="B75" s="65" t="n"/>
      <s:c r="C75" s="76" t="n"/>
      <s:c r="D75" s="76" t="n"/>
      <s:c r="E75" s="108" t="n"/>
      <s:c r="F75" s="109" t="str">
        <s:f>IF($A75="","",$C75*Inputs!$C$12)</s:f>
        <s:v/>
      </s:c>
      <s:c r="G75" s="59" t="str">
        <s:f>IF($A75="","",IF($H75="Funded",$F75,0))</s:f>
        <s:v/>
      </s:c>
      <s:c r="H75" s="65" t="n"/>
      <s:c r="I75" s="110" t="str">
        <s:f>IF($A75="","",EOMONTH($A75,0))</s:f>
        <s:v/>
      </s:c>
      <s:c r="J75" s="65" t="n"/>
      <s:c r="K75" s="65" t="n"/>
    </s:row>
    <s:row r="76">
      <s:c r="A76" s="70" t="n"/>
      <s:c r="B76" s="67" t="n"/>
      <s:c r="C76" s="68" t="n"/>
      <s:c r="D76" s="68" t="n"/>
      <s:c r="E76" s="111" t="n"/>
      <s:c r="F76" s="109" t="str">
        <s:f>IF($A76="","",$C76*Inputs!$C$12)</s:f>
        <s:v/>
      </s:c>
      <s:c r="G76" s="69" t="str">
        <s:f>IF($A76="","",IF($H76="Funded",$F76,0))</s:f>
        <s:v/>
      </s:c>
      <s:c r="H76" s="67" t="n"/>
      <s:c r="I76" s="112" t="str">
        <s:f>IF($A76="","",EOMONTH($A76,0))</s:f>
        <s:v/>
      </s:c>
      <s:c r="J76" s="67" t="n"/>
      <s:c r="K76" s="67" t="n"/>
    </s:row>
    <s:row r="77">
      <s:c r="A77" s="77" t="n"/>
      <s:c r="B77" s="65" t="n"/>
      <s:c r="C77" s="76" t="n"/>
      <s:c r="D77" s="76" t="n"/>
      <s:c r="E77" s="108" t="n"/>
      <s:c r="F77" s="109" t="str">
        <s:f>IF($A77="","",$C77*Inputs!$C$12)</s:f>
        <s:v/>
      </s:c>
      <s:c r="G77" s="59" t="str">
        <s:f>IF($A77="","",IF($H77="Funded",$F77,0))</s:f>
        <s:v/>
      </s:c>
      <s:c r="H77" s="65" t="n"/>
      <s:c r="I77" s="110" t="str">
        <s:f>IF($A77="","",EOMONTH($A77,0))</s:f>
        <s:v/>
      </s:c>
      <s:c r="J77" s="65" t="n"/>
      <s:c r="K77" s="65" t="n"/>
    </s:row>
    <s:row r="78">
      <s:c r="A78" s="70" t="n"/>
      <s:c r="B78" s="67" t="n"/>
      <s:c r="C78" s="68" t="n"/>
      <s:c r="D78" s="68" t="n"/>
      <s:c r="E78" s="111" t="n"/>
      <s:c r="F78" s="109" t="str">
        <s:f>IF($A78="","",$C78*Inputs!$C$12)</s:f>
        <s:v/>
      </s:c>
      <s:c r="G78" s="69" t="str">
        <s:f>IF($A78="","",IF($H78="Funded",$F78,0))</s:f>
        <s:v/>
      </s:c>
      <s:c r="H78" s="67" t="n"/>
      <s:c r="I78" s="112" t="str">
        <s:f>IF($A78="","",EOMONTH($A78,0))</s:f>
        <s:v/>
      </s:c>
      <s:c r="J78" s="67" t="n"/>
      <s:c r="K78" s="67" t="n"/>
    </s:row>
    <s:row r="79">
      <s:c r="A79" s="77" t="n"/>
      <s:c r="B79" s="65" t="n"/>
      <s:c r="C79" s="76" t="n"/>
      <s:c r="D79" s="76" t="n"/>
      <s:c r="E79" s="108" t="n"/>
      <s:c r="F79" s="109" t="str">
        <s:f>IF($A79="","",$C79*Inputs!$C$12)</s:f>
        <s:v/>
      </s:c>
      <s:c r="G79" s="59" t="str">
        <s:f>IF($A79="","",IF($H79="Funded",$F79,0))</s:f>
        <s:v/>
      </s:c>
      <s:c r="H79" s="65" t="n"/>
      <s:c r="I79" s="110" t="str">
        <s:f>IF($A79="","",EOMONTH($A79,0))</s:f>
        <s:v/>
      </s:c>
      <s:c r="J79" s="65" t="n"/>
      <s:c r="K79" s="65" t="n"/>
    </s:row>
    <s:row r="80">
      <s:c r="A80" s="70" t="n"/>
      <s:c r="B80" s="67" t="n"/>
      <s:c r="C80" s="68" t="n"/>
      <s:c r="D80" s="68" t="n"/>
      <s:c r="E80" s="111" t="n"/>
      <s:c r="F80" s="109" t="str">
        <s:f>IF($A80="","",$C80*Inputs!$C$12)</s:f>
        <s:v/>
      </s:c>
      <s:c r="G80" s="69" t="str">
        <s:f>IF($A80="","",IF($H80="Funded",$F80,0))</s:f>
        <s:v/>
      </s:c>
      <s:c r="H80" s="67" t="n"/>
      <s:c r="I80" s="112" t="str">
        <s:f>IF($A80="","",EOMONTH($A80,0))</s:f>
        <s:v/>
      </s:c>
      <s:c r="J80" s="67" t="n"/>
      <s:c r="K80" s="67" t="n"/>
    </s:row>
    <s:row r="81">
      <s:c r="A81" s="77" t="n"/>
      <s:c r="B81" s="65" t="n"/>
      <s:c r="C81" s="76" t="n"/>
      <s:c r="D81" s="76" t="n"/>
      <s:c r="E81" s="108" t="n"/>
      <s:c r="F81" s="109" t="str">
        <s:f>IF($A81="","",$C81*Inputs!$C$12)</s:f>
        <s:v/>
      </s:c>
      <s:c r="G81" s="59" t="str">
        <s:f>IF($A81="","",IF($H81="Funded",$F81,0))</s:f>
        <s:v/>
      </s:c>
      <s:c r="H81" s="65" t="n"/>
      <s:c r="I81" s="110" t="str">
        <s:f>IF($A81="","",EOMONTH($A81,0))</s:f>
        <s:v/>
      </s:c>
      <s:c r="J81" s="65" t="n"/>
      <s:c r="K81" s="65" t="n"/>
    </s:row>
    <s:row r="82">
      <s:c r="A82" s="70" t="n"/>
      <s:c r="B82" s="67" t="n"/>
      <s:c r="C82" s="68" t="n"/>
      <s:c r="D82" s="68" t="n"/>
      <s:c r="E82" s="111" t="n"/>
      <s:c r="F82" s="109" t="str">
        <s:f>IF($A82="","",$C82*Inputs!$C$12)</s:f>
        <s:v/>
      </s:c>
      <s:c r="G82" s="69" t="str">
        <s:f>IF($A82="","",IF($H82="Funded",$F82,0))</s:f>
        <s:v/>
      </s:c>
      <s:c r="H82" s="67" t="n"/>
      <s:c r="I82" s="112" t="str">
        <s:f>IF($A82="","",EOMONTH($A82,0))</s:f>
        <s:v/>
      </s:c>
      <s:c r="J82" s="67" t="n"/>
      <s:c r="K82" s="67" t="n"/>
    </s:row>
    <s:row r="83">
      <s:c r="A83" s="77" t="n"/>
      <s:c r="B83" s="65" t="n"/>
      <s:c r="C83" s="76" t="n"/>
      <s:c r="D83" s="76" t="n"/>
      <s:c r="E83" s="108" t="n"/>
      <s:c r="F83" s="109" t="str">
        <s:f>IF($A83="","",$C83*Inputs!$C$12)</s:f>
        <s:v/>
      </s:c>
      <s:c r="G83" s="59" t="str">
        <s:f>IF($A83="","",IF($H83="Funded",$F83,0))</s:f>
        <s:v/>
      </s:c>
      <s:c r="H83" s="65" t="n"/>
      <s:c r="I83" s="110" t="str">
        <s:f>IF($A83="","",EOMONTH($A83,0))</s:f>
        <s:v/>
      </s:c>
      <s:c r="J83" s="65" t="n"/>
      <s:c r="K83" s="65" t="n"/>
    </s:row>
    <s:row r="84">
      <s:c r="A84" s="70" t="n"/>
      <s:c r="B84" s="67" t="n"/>
      <s:c r="C84" s="68" t="n"/>
      <s:c r="D84" s="68" t="n"/>
      <s:c r="E84" s="111" t="n"/>
      <s:c r="F84" s="109" t="str">
        <s:f>IF($A84="","",$C84*Inputs!$C$12)</s:f>
        <s:v/>
      </s:c>
      <s:c r="G84" s="69" t="str">
        <s:f>IF($A84="","",IF($H84="Funded",$F84,0))</s:f>
        <s:v/>
      </s:c>
      <s:c r="H84" s="67" t="n"/>
      <s:c r="I84" s="112" t="str">
        <s:f>IF($A84="","",EOMONTH($A84,0))</s:f>
        <s:v/>
      </s:c>
      <s:c r="J84" s="67" t="n"/>
      <s:c r="K84" s="67" t="n"/>
    </s:row>
    <s:row r="85">
      <s:c r="A85" s="77" t="n"/>
      <s:c r="B85" s="65" t="n"/>
      <s:c r="C85" s="76" t="n"/>
      <s:c r="D85" s="76" t="n"/>
      <s:c r="E85" s="108" t="n"/>
      <s:c r="F85" s="109" t="str">
        <s:f>IF($A85="","",$C85*Inputs!$C$12)</s:f>
        <s:v/>
      </s:c>
      <s:c r="G85" s="59" t="str">
        <s:f>IF($A85="","",IF($H85="Funded",$F85,0))</s:f>
        <s:v/>
      </s:c>
      <s:c r="H85" s="65" t="n"/>
      <s:c r="I85" s="110" t="str">
        <s:f>IF($A85="","",EOMONTH($A85,0))</s:f>
        <s:v/>
      </s:c>
      <s:c r="J85" s="65" t="n"/>
      <s:c r="K85" s="65" t="n"/>
    </s:row>
    <s:row r="86">
      <s:c r="A86" s="70" t="n"/>
      <s:c r="B86" s="67" t="n"/>
      <s:c r="C86" s="68" t="n"/>
      <s:c r="D86" s="68" t="n"/>
      <s:c r="E86" s="111" t="n"/>
      <s:c r="F86" s="109" t="str">
        <s:f>IF($A86="","",$C86*Inputs!$C$12)</s:f>
        <s:v/>
      </s:c>
      <s:c r="G86" s="69" t="str">
        <s:f>IF($A86="","",IF($H86="Funded",$F86,0))</s:f>
        <s:v/>
      </s:c>
      <s:c r="H86" s="67" t="n"/>
      <s:c r="I86" s="112" t="str">
        <s:f>IF($A86="","",EOMONTH($A86,0))</s:f>
        <s:v/>
      </s:c>
      <s:c r="J86" s="67" t="n"/>
      <s:c r="K86" s="67" t="n"/>
    </s:row>
    <s:row r="87">
      <s:c r="A87" s="77" t="n"/>
      <s:c r="B87" s="65" t="n"/>
      <s:c r="C87" s="76" t="n"/>
      <s:c r="D87" s="76" t="n"/>
      <s:c r="E87" s="108" t="n"/>
      <s:c r="F87" s="109" t="str">
        <s:f>IF($A87="","",$C87*Inputs!$C$12)</s:f>
        <s:v/>
      </s:c>
      <s:c r="G87" s="59" t="str">
        <s:f>IF($A87="","",IF($H87="Funded",$F87,0))</s:f>
        <s:v/>
      </s:c>
      <s:c r="H87" s="65" t="n"/>
      <s:c r="I87" s="110" t="str">
        <s:f>IF($A87="","",EOMONTH($A87,0))</s:f>
        <s:v/>
      </s:c>
      <s:c r="J87" s="65" t="n"/>
      <s:c r="K87" s="65" t="n"/>
    </s:row>
    <s:row r="88">
      <s:c r="A88" s="70" t="n"/>
      <s:c r="B88" s="67" t="n"/>
      <s:c r="C88" s="68" t="n"/>
      <s:c r="D88" s="68" t="n"/>
      <s:c r="E88" s="111" t="n"/>
      <s:c r="F88" s="109" t="str">
        <s:f>IF($A88="","",$C88*Inputs!$C$12)</s:f>
        <s:v/>
      </s:c>
      <s:c r="G88" s="69" t="str">
        <s:f>IF($A88="","",IF($H88="Funded",$F88,0))</s:f>
        <s:v/>
      </s:c>
      <s:c r="H88" s="67" t="n"/>
      <s:c r="I88" s="112" t="str">
        <s:f>IF($A88="","",EOMONTH($A88,0))</s:f>
        <s:v/>
      </s:c>
      <s:c r="J88" s="67" t="n"/>
      <s:c r="K88" s="67" t="n"/>
    </s:row>
    <s:row r="89">
      <s:c r="A89" s="77" t="n"/>
      <s:c r="B89" s="65" t="n"/>
      <s:c r="C89" s="76" t="n"/>
      <s:c r="D89" s="76" t="n"/>
      <s:c r="E89" s="108" t="n"/>
      <s:c r="F89" s="109" t="str">
        <s:f>IF($A89="","",$C89*Inputs!$C$12)</s:f>
        <s:v/>
      </s:c>
      <s:c r="G89" s="59" t="str">
        <s:f>IF($A89="","",IF($H89="Funded",$F89,0))</s:f>
        <s:v/>
      </s:c>
      <s:c r="H89" s="65" t="n"/>
      <s:c r="I89" s="110" t="str">
        <s:f>IF($A89="","",EOMONTH($A89,0))</s:f>
        <s:v/>
      </s:c>
      <s:c r="J89" s="65" t="n"/>
      <s:c r="K89" s="65" t="n"/>
    </s:row>
    <s:row r="90">
      <s:c r="A90" s="70" t="n"/>
      <s:c r="B90" s="67" t="n"/>
      <s:c r="C90" s="68" t="n"/>
      <s:c r="D90" s="68" t="n"/>
      <s:c r="E90" s="111" t="n"/>
      <s:c r="F90" s="109" t="str">
        <s:f>IF($A90="","",$C90*Inputs!$C$12)</s:f>
        <s:v/>
      </s:c>
      <s:c r="G90" s="69" t="str">
        <s:f>IF($A90="","",IF($H90="Funded",$F90,0))</s:f>
        <s:v/>
      </s:c>
      <s:c r="H90" s="67" t="n"/>
      <s:c r="I90" s="112" t="str">
        <s:f>IF($A90="","",EOMONTH($A90,0))</s:f>
        <s:v/>
      </s:c>
      <s:c r="J90" s="67" t="n"/>
      <s:c r="K90" s="67" t="n"/>
    </s:row>
    <s:row r="91">
      <s:c r="A91" s="77" t="n"/>
      <s:c r="B91" s="65" t="n"/>
      <s:c r="C91" s="76" t="n"/>
      <s:c r="D91" s="76" t="n"/>
      <s:c r="E91" s="108" t="n"/>
      <s:c r="F91" s="109" t="str">
        <s:f>IF($A91="","",$C91*Inputs!$C$12)</s:f>
        <s:v/>
      </s:c>
      <s:c r="G91" s="59" t="str">
        <s:f>IF($A91="","",IF($H91="Funded",$F91,0))</s:f>
        <s:v/>
      </s:c>
      <s:c r="H91" s="65" t="n"/>
      <s:c r="I91" s="110" t="str">
        <s:f>IF($A91="","",EOMONTH($A91,0))</s:f>
        <s:v/>
      </s:c>
      <s:c r="J91" s="65" t="n"/>
      <s:c r="K91" s="65" t="n"/>
    </s:row>
    <s:row r="92">
      <s:c r="A92" s="70" t="n"/>
      <s:c r="B92" s="67" t="n"/>
      <s:c r="C92" s="68" t="n"/>
      <s:c r="D92" s="68" t="n"/>
      <s:c r="E92" s="111" t="n"/>
      <s:c r="F92" s="109" t="str">
        <s:f>IF($A92="","",$C92*Inputs!$C$12)</s:f>
        <s:v/>
      </s:c>
      <s:c r="G92" s="69" t="str">
        <s:f>IF($A92="","",IF($H92="Funded",$F92,0))</s:f>
        <s:v/>
      </s:c>
      <s:c r="H92" s="67" t="n"/>
      <s:c r="I92" s="112" t="str">
        <s:f>IF($A92="","",EOMONTH($A92,0))</s:f>
        <s:v/>
      </s:c>
      <s:c r="J92" s="67" t="n"/>
      <s:c r="K92" s="67" t="n"/>
    </s:row>
    <s:row r="93">
      <s:c r="A93" s="77" t="n"/>
      <s:c r="B93" s="65" t="n"/>
      <s:c r="C93" s="76" t="n"/>
      <s:c r="D93" s="76" t="n"/>
      <s:c r="E93" s="108" t="n"/>
      <s:c r="F93" s="109" t="str">
        <s:f>IF($A93="","",$C93*Inputs!$C$12)</s:f>
        <s:v/>
      </s:c>
      <s:c r="G93" s="59" t="str">
        <s:f>IF($A93="","",IF($H93="Funded",$F93,0))</s:f>
        <s:v/>
      </s:c>
      <s:c r="H93" s="65" t="n"/>
      <s:c r="I93" s="110" t="str">
        <s:f>IF($A93="","",EOMONTH($A93,0))</s:f>
        <s:v/>
      </s:c>
      <s:c r="J93" s="65" t="n"/>
      <s:c r="K93" s="65" t="n"/>
    </s:row>
    <s:row r="94">
      <s:c r="A94" s="70" t="n"/>
      <s:c r="B94" s="67" t="n"/>
      <s:c r="C94" s="68" t="n"/>
      <s:c r="D94" s="68" t="n"/>
      <s:c r="E94" s="111" t="n"/>
      <s:c r="F94" s="109" t="str">
        <s:f>IF($A94="","",$C94*Inputs!$C$12)</s:f>
        <s:v/>
      </s:c>
      <s:c r="G94" s="69" t="str">
        <s:f>IF($A94="","",IF($H94="Funded",$F94,0))</s:f>
        <s:v/>
      </s:c>
      <s:c r="H94" s="67" t="n"/>
      <s:c r="I94" s="112" t="str">
        <s:f>IF($A94="","",EOMONTH($A94,0))</s:f>
        <s:v/>
      </s:c>
      <s:c r="J94" s="67" t="n"/>
      <s:c r="K94" s="67" t="n"/>
    </s:row>
    <s:row r="95">
      <s:c r="A95" s="77" t="n"/>
      <s:c r="B95" s="65" t="n"/>
      <s:c r="C95" s="76" t="n"/>
      <s:c r="D95" s="76" t="n"/>
      <s:c r="E95" s="108" t="n"/>
      <s:c r="F95" s="109" t="str">
        <s:f>IF($A95="","",$C95*Inputs!$C$12)</s:f>
        <s:v/>
      </s:c>
      <s:c r="G95" s="59" t="str">
        <s:f>IF($A95="","",IF($H95="Funded",$F95,0))</s:f>
        <s:v/>
      </s:c>
      <s:c r="H95" s="65" t="n"/>
      <s:c r="I95" s="110" t="str">
        <s:f>IF($A95="","",EOMONTH($A95,0))</s:f>
        <s:v/>
      </s:c>
      <s:c r="J95" s="65" t="n"/>
      <s:c r="K95" s="65" t="n"/>
    </s:row>
    <s:row r="96">
      <s:c r="A96" s="70" t="n"/>
      <s:c r="B96" s="67" t="n"/>
      <s:c r="C96" s="68" t="n"/>
      <s:c r="D96" s="68" t="n"/>
      <s:c r="E96" s="111" t="n"/>
      <s:c r="F96" s="109" t="str">
        <s:f>IF($A96="","",$C96*Inputs!$C$12)</s:f>
        <s:v/>
      </s:c>
      <s:c r="G96" s="69" t="str">
        <s:f>IF($A96="","",IF($H96="Funded",$F96,0))</s:f>
        <s:v/>
      </s:c>
      <s:c r="H96" s="67" t="n"/>
      <s:c r="I96" s="112" t="str">
        <s:f>IF($A96="","",EOMONTH($A96,0))</s:f>
        <s:v/>
      </s:c>
      <s:c r="J96" s="67" t="n"/>
      <s:c r="K96" s="67" t="n"/>
    </s:row>
    <s:row r="97">
      <s:c r="A97" s="77" t="n"/>
      <s:c r="B97" s="65" t="n"/>
      <s:c r="C97" s="76" t="n"/>
      <s:c r="D97" s="76" t="n"/>
      <s:c r="E97" s="108" t="n"/>
      <s:c r="F97" s="109" t="str">
        <s:f>IF($A97="","",$C97*Inputs!$C$12)</s:f>
        <s:v/>
      </s:c>
      <s:c r="G97" s="59" t="str">
        <s:f>IF($A97="","",IF($H97="Funded",$F97,0))</s:f>
        <s:v/>
      </s:c>
      <s:c r="H97" s="65" t="n"/>
      <s:c r="I97" s="110" t="str">
        <s:f>IF($A97="","",EOMONTH($A97,0))</s:f>
        <s:v/>
      </s:c>
      <s:c r="J97" s="65" t="n"/>
      <s:c r="K97" s="65" t="n"/>
    </s:row>
    <s:row r="98">
      <s:c r="A98" s="70" t="n"/>
      <s:c r="B98" s="67" t="n"/>
      <s:c r="C98" s="68" t="n"/>
      <s:c r="D98" s="68" t="n"/>
      <s:c r="E98" s="111" t="n"/>
      <s:c r="F98" s="109" t="str">
        <s:f>IF($A98="","",$C98*Inputs!$C$12)</s:f>
        <s:v/>
      </s:c>
      <s:c r="G98" s="69" t="str">
        <s:f>IF($A98="","",IF($H98="Funded",$F98,0))</s:f>
        <s:v/>
      </s:c>
      <s:c r="H98" s="67" t="n"/>
      <s:c r="I98" s="112" t="str">
        <s:f>IF($A98="","",EOMONTH($A98,0))</s:f>
        <s:v/>
      </s:c>
      <s:c r="J98" s="67" t="n"/>
      <s:c r="K98" s="67" t="n"/>
    </s:row>
    <s:row r="99">
      <s:c r="A99" s="77" t="n"/>
      <s:c r="B99" s="65" t="n"/>
      <s:c r="C99" s="76" t="n"/>
      <s:c r="D99" s="76" t="n"/>
      <s:c r="E99" s="108" t="n"/>
      <s:c r="F99" s="109" t="str">
        <s:f>IF($A99="","",$C99*Inputs!$C$12)</s:f>
        <s:v/>
      </s:c>
      <s:c r="G99" s="59" t="str">
        <s:f>IF($A99="","",IF($H99="Funded",$F99,0))</s:f>
        <s:v/>
      </s:c>
      <s:c r="H99" s="65" t="n"/>
      <s:c r="I99" s="110" t="str">
        <s:f>IF($A99="","",EOMONTH($A99,0))</s:f>
        <s:v/>
      </s:c>
      <s:c r="J99" s="65" t="n"/>
      <s:c r="K99" s="65" t="n"/>
    </s:row>
    <s:row r="100">
      <s:c r="A100" s="70" t="n"/>
      <s:c r="B100" s="67" t="n"/>
      <s:c r="C100" s="68" t="n"/>
      <s:c r="D100" s="68" t="n"/>
      <s:c r="E100" s="111" t="n"/>
      <s:c r="F100" s="109" t="str">
        <s:f>IF($A100="","",$C100*Inputs!$C$12)</s:f>
        <s:v/>
      </s:c>
      <s:c r="G100" s="69" t="str">
        <s:f>IF($A100="","",IF($H100="Funded",$F100,0))</s:f>
        <s:v/>
      </s:c>
      <s:c r="H100" s="67" t="n"/>
      <s:c r="I100" s="112" t="str">
        <s:f>IF($A100="","",EOMONTH($A100,0))</s:f>
        <s:v/>
      </s:c>
      <s:c r="J100" s="67" t="n"/>
      <s:c r="K100" s="67" t="n"/>
    </s:row>
    <s:row r="101">
      <s:c r="A101" s="77" t="n"/>
      <s:c r="B101" s="65" t="n"/>
      <s:c r="C101" s="76" t="n"/>
      <s:c r="D101" s="76" t="n"/>
      <s:c r="E101" s="108" t="n"/>
      <s:c r="F101" s="109" t="str">
        <s:f>IF($A101="","",$C101*Inputs!$C$12)</s:f>
        <s:v/>
      </s:c>
      <s:c r="G101" s="59" t="str">
        <s:f>IF($A101="","",IF($H101="Funded",$F101,0))</s:f>
        <s:v/>
      </s:c>
      <s:c r="H101" s="65" t="n"/>
      <s:c r="I101" s="110" t="str">
        <s:f>IF($A101="","",EOMONTH($A101,0))</s:f>
        <s:v/>
      </s:c>
      <s:c r="J101" s="65" t="n"/>
      <s:c r="K101" s="65" t="n"/>
    </s:row>
    <s:row r="102">
      <s:c r="A102" s="70" t="n"/>
      <s:c r="B102" s="67" t="n"/>
      <s:c r="C102" s="68" t="n"/>
      <s:c r="D102" s="68" t="n"/>
      <s:c r="E102" s="111" t="n"/>
      <s:c r="F102" s="109" t="str">
        <s:f>IF($A102="","",$C102*Inputs!$C$12)</s:f>
        <s:v/>
      </s:c>
      <s:c r="G102" s="69" t="str">
        <s:f>IF($A102="","",IF($H102="Funded",$F102,0))</s:f>
        <s:v/>
      </s:c>
      <s:c r="H102" s="67" t="n"/>
      <s:c r="I102" s="112" t="str">
        <s:f>IF($A102="","",EOMONTH($A102,0))</s:f>
        <s:v/>
      </s:c>
      <s:c r="J102" s="67" t="n"/>
      <s:c r="K102" s="67" t="n"/>
    </s:row>
    <s:row r="103">
      <s:c r="A103" s="77" t="n"/>
      <s:c r="B103" s="65" t="n"/>
      <s:c r="C103" s="76" t="n"/>
      <s:c r="D103" s="76" t="n"/>
      <s:c r="E103" s="108" t="n"/>
      <s:c r="F103" s="109" t="str">
        <s:f>IF($A103="","",$C103*Inputs!$C$12)</s:f>
        <s:v/>
      </s:c>
      <s:c r="G103" s="59" t="str">
        <s:f>IF($A103="","",IF($H103="Funded",$F103,0))</s:f>
        <s:v/>
      </s:c>
      <s:c r="H103" s="65" t="n"/>
      <s:c r="I103" s="110" t="str">
        <s:f>IF($A103="","",EOMONTH($A103,0))</s:f>
        <s:v/>
      </s:c>
      <s:c r="J103" s="65" t="n"/>
      <s:c r="K103" s="65" t="n"/>
    </s:row>
    <s:row r="104">
      <s:c r="A104" s="70" t="n"/>
      <s:c r="B104" s="67" t="n"/>
      <s:c r="C104" s="68" t="n"/>
      <s:c r="D104" s="68" t="n"/>
      <s:c r="E104" s="111" t="n"/>
      <s:c r="F104" s="109" t="str">
        <s:f>IF($A104="","",$C104*Inputs!$C$12)</s:f>
        <s:v/>
      </s:c>
      <s:c r="G104" s="69" t="str">
        <s:f>IF($A104="","",IF($H104="Funded",$F104,0))</s:f>
        <s:v/>
      </s:c>
      <s:c r="H104" s="67" t="n"/>
      <s:c r="I104" s="112" t="str">
        <s:f>IF($A104="","",EOMONTH($A104,0))</s:f>
        <s:v/>
      </s:c>
      <s:c r="J104" s="67" t="n"/>
      <s:c r="K104" s="67" t="n"/>
    </s:row>
    <s:row r="105">
      <s:c r="A105" s="77" t="n"/>
      <s:c r="B105" s="65" t="n"/>
      <s:c r="C105" s="76" t="n"/>
      <s:c r="D105" s="76" t="n"/>
      <s:c r="E105" s="108" t="n"/>
      <s:c r="F105" s="109" t="str">
        <s:f>IF($A105="","",$C105*Inputs!$C$12)</s:f>
        <s:v/>
      </s:c>
      <s:c r="G105" s="59" t="str">
        <s:f>IF($A105="","",IF($H105="Funded",$F105,0))</s:f>
        <s:v/>
      </s:c>
      <s:c r="H105" s="65" t="n"/>
      <s:c r="I105" s="110" t="str">
        <s:f>IF($A105="","",EOMONTH($A105,0))</s:f>
        <s:v/>
      </s:c>
      <s:c r="J105" s="65" t="n"/>
      <s:c r="K105" s="65" t="n"/>
    </s:row>
    <s:row r="106">
      <s:c r="A106" s="70" t="n"/>
      <s:c r="B106" s="67" t="n"/>
      <s:c r="C106" s="68" t="n"/>
      <s:c r="D106" s="68" t="n"/>
      <s:c r="E106" s="111" t="n"/>
      <s:c r="F106" s="109" t="str">
        <s:f>IF($A106="","",$C106*Inputs!$C$12)</s:f>
        <s:v/>
      </s:c>
      <s:c r="G106" s="69" t="str">
        <s:f>IF($A106="","",IF($H106="Funded",$F106,0))</s:f>
        <s:v/>
      </s:c>
      <s:c r="H106" s="67" t="n"/>
      <s:c r="I106" s="112" t="str">
        <s:f>IF($A106="","",EOMONTH($A106,0))</s:f>
        <s:v/>
      </s:c>
      <s:c r="J106" s="67" t="n"/>
      <s:c r="K106" s="67" t="n"/>
    </s:row>
    <s:row r="107">
      <s:c r="A107" s="77" t="n"/>
      <s:c r="B107" s="65" t="n"/>
      <s:c r="C107" s="76" t="n"/>
      <s:c r="D107" s="76" t="n"/>
      <s:c r="E107" s="108" t="n"/>
      <s:c r="F107" s="109" t="str">
        <s:f>IF($A107="","",$C107*Inputs!$C$12)</s:f>
        <s:v/>
      </s:c>
      <s:c r="G107" s="59" t="str">
        <s:f>IF($A107="","",IF($H107="Funded",$F107,0))</s:f>
        <s:v/>
      </s:c>
      <s:c r="H107" s="65" t="n"/>
      <s:c r="I107" s="110" t="str">
        <s:f>IF($A107="","",EOMONTH($A107,0))</s:f>
        <s:v/>
      </s:c>
      <s:c r="J107" s="65" t="n"/>
      <s:c r="K107" s="65" t="n"/>
    </s:row>
    <s:row r="108">
      <s:c r="A108" s="70" t="n"/>
      <s:c r="B108" s="67" t="n"/>
      <s:c r="C108" s="68" t="n"/>
      <s:c r="D108" s="68" t="n"/>
      <s:c r="E108" s="111" t="n"/>
      <s:c r="F108" s="109" t="str">
        <s:f>IF($A108="","",$C108*Inputs!$C$12)</s:f>
        <s:v/>
      </s:c>
      <s:c r="G108" s="69" t="str">
        <s:f>IF($A108="","",IF($H108="Funded",$F108,0))</s:f>
        <s:v/>
      </s:c>
      <s:c r="H108" s="67" t="n"/>
      <s:c r="I108" s="112" t="str">
        <s:f>IF($A108="","",EOMONTH($A108,0))</s:f>
        <s:v/>
      </s:c>
      <s:c r="J108" s="67" t="n"/>
      <s:c r="K108" s="67" t="n"/>
    </s:row>
    <s:row r="109">
      <s:c r="A109" s="77" t="n"/>
      <s:c r="B109" s="65" t="n"/>
      <s:c r="C109" s="76" t="n"/>
      <s:c r="D109" s="76" t="n"/>
      <s:c r="E109" s="108" t="n"/>
      <s:c r="F109" s="109" t="str">
        <s:f>IF($A109="","",$C109*Inputs!$C$12)</s:f>
        <s:v/>
      </s:c>
      <s:c r="G109" s="59" t="str">
        <s:f>IF($A109="","",IF($H109="Funded",$F109,0))</s:f>
        <s:v/>
      </s:c>
      <s:c r="H109" s="65" t="n"/>
      <s:c r="I109" s="110" t="str">
        <s:f>IF($A109="","",EOMONTH($A109,0))</s:f>
        <s:v/>
      </s:c>
      <s:c r="J109" s="65" t="n"/>
      <s:c r="K109" s="65" t="n"/>
    </s:row>
    <s:row r="110">
      <s:c r="A110" s="70" t="n"/>
      <s:c r="B110" s="67" t="n"/>
      <s:c r="C110" s="68" t="n"/>
      <s:c r="D110" s="68" t="n"/>
      <s:c r="E110" s="111" t="n"/>
      <s:c r="F110" s="109" t="str">
        <s:f>IF($A110="","",$C110*Inputs!$C$12)</s:f>
        <s:v/>
      </s:c>
      <s:c r="G110" s="69" t="str">
        <s:f>IF($A110="","",IF($H110="Funded",$F110,0))</s:f>
        <s:v/>
      </s:c>
      <s:c r="H110" s="67" t="n"/>
      <s:c r="I110" s="112" t="str">
        <s:f>IF($A110="","",EOMONTH($A110,0))</s:f>
        <s:v/>
      </s:c>
      <s:c r="J110" s="67" t="n"/>
      <s:c r="K110" s="67" t="n"/>
    </s:row>
    <s:row r="111">
      <s:c r="A111" s="77" t="n"/>
      <s:c r="B111" s="65" t="n"/>
      <s:c r="C111" s="76" t="n"/>
      <s:c r="D111" s="76" t="n"/>
      <s:c r="E111" s="108" t="n"/>
      <s:c r="F111" s="109" t="str">
        <s:f>IF($A111="","",$C111*Inputs!$C$12)</s:f>
        <s:v/>
      </s:c>
      <s:c r="G111" s="59" t="str">
        <s:f>IF($A111="","",IF($H111="Funded",$F111,0))</s:f>
        <s:v/>
      </s:c>
      <s:c r="H111" s="65" t="n"/>
      <s:c r="I111" s="110" t="str">
        <s:f>IF($A111="","",EOMONTH($A111,0))</s:f>
        <s:v/>
      </s:c>
      <s:c r="J111" s="65" t="n"/>
      <s:c r="K111" s="65" t="n"/>
    </s:row>
    <s:row r="112">
      <s:c r="A112" s="70" t="n"/>
      <s:c r="B112" s="67" t="n"/>
      <s:c r="C112" s="68" t="n"/>
      <s:c r="D112" s="68" t="n"/>
      <s:c r="E112" s="111" t="n"/>
      <s:c r="F112" s="109" t="str">
        <s:f>IF($A112="","",$C112*Inputs!$C$12)</s:f>
        <s:v/>
      </s:c>
      <s:c r="G112" s="69" t="str">
        <s:f>IF($A112="","",IF($H112="Funded",$F112,0))</s:f>
        <s:v/>
      </s:c>
      <s:c r="H112" s="67" t="n"/>
      <s:c r="I112" s="112" t="str">
        <s:f>IF($A112="","",EOMONTH($A112,0))</s:f>
        <s:v/>
      </s:c>
      <s:c r="J112" s="67" t="n"/>
      <s:c r="K112" s="67" t="n"/>
    </s:row>
    <s:row r="113">
      <s:c r="A113" s="77" t="n"/>
      <s:c r="B113" s="65" t="n"/>
      <s:c r="C113" s="76" t="n"/>
      <s:c r="D113" s="76" t="n"/>
      <s:c r="E113" s="108" t="n"/>
      <s:c r="F113" s="109" t="str">
        <s:f>IF($A113="","",$C113*Inputs!$C$12)</s:f>
        <s:v/>
      </s:c>
      <s:c r="G113" s="59" t="str">
        <s:f>IF($A113="","",IF($H113="Funded",$F113,0))</s:f>
        <s:v/>
      </s:c>
      <s:c r="H113" s="65" t="n"/>
      <s:c r="I113" s="110" t="str">
        <s:f>IF($A113="","",EOMONTH($A113,0))</s:f>
        <s:v/>
      </s:c>
      <s:c r="J113" s="65" t="n"/>
      <s:c r="K113" s="65" t="n"/>
    </s:row>
    <s:row r="114">
      <s:c r="A114" s="70" t="n"/>
      <s:c r="B114" s="67" t="n"/>
      <s:c r="C114" s="68" t="n"/>
      <s:c r="D114" s="68" t="n"/>
      <s:c r="E114" s="111" t="n"/>
      <s:c r="F114" s="109" t="str">
        <s:f>IF($A114="","",$C114*Inputs!$C$12)</s:f>
        <s:v/>
      </s:c>
      <s:c r="G114" s="69" t="str">
        <s:f>IF($A114="","",IF($H114="Funded",$F114,0))</s:f>
        <s:v/>
      </s:c>
      <s:c r="H114" s="67" t="n"/>
      <s:c r="I114" s="112" t="str">
        <s:f>IF($A114="","",EOMONTH($A114,0))</s:f>
        <s:v/>
      </s:c>
      <s:c r="J114" s="67" t="n"/>
      <s:c r="K114" s="67" t="n"/>
    </s:row>
    <s:row r="115">
      <s:c r="A115" s="77" t="n"/>
      <s:c r="B115" s="65" t="n"/>
      <s:c r="C115" s="76" t="n"/>
      <s:c r="D115" s="76" t="n"/>
      <s:c r="E115" s="108" t="n"/>
      <s:c r="F115" s="109" t="str">
        <s:f>IF($A115="","",$C115*Inputs!$C$12)</s:f>
        <s:v/>
      </s:c>
      <s:c r="G115" s="59" t="str">
        <s:f>IF($A115="","",IF($H115="Funded",$F115,0))</s:f>
        <s:v/>
      </s:c>
      <s:c r="H115" s="65" t="n"/>
      <s:c r="I115" s="110" t="str">
        <s:f>IF($A115="","",EOMONTH($A115,0))</s:f>
        <s:v/>
      </s:c>
      <s:c r="J115" s="65" t="n"/>
      <s:c r="K115" s="65" t="n"/>
    </s:row>
    <s:row r="116">
      <s:c r="A116" s="70" t="n"/>
      <s:c r="B116" s="67" t="n"/>
      <s:c r="C116" s="68" t="n"/>
      <s:c r="D116" s="68" t="n"/>
      <s:c r="E116" s="111" t="n"/>
      <s:c r="F116" s="109" t="str">
        <s:f>IF($A116="","",$C116*Inputs!$C$12)</s:f>
        <s:v/>
      </s:c>
      <s:c r="G116" s="69" t="str">
        <s:f>IF($A116="","",IF($H116="Funded",$F116,0))</s:f>
        <s:v/>
      </s:c>
      <s:c r="H116" s="67" t="n"/>
      <s:c r="I116" s="112" t="str">
        <s:f>IF($A116="","",EOMONTH($A116,0))</s:f>
        <s:v/>
      </s:c>
      <s:c r="J116" s="67" t="n"/>
      <s:c r="K116" s="67" t="n"/>
    </s:row>
    <s:row r="117">
      <s:c r="A117" s="77" t="n"/>
      <s:c r="B117" s="65" t="n"/>
      <s:c r="C117" s="76" t="n"/>
      <s:c r="D117" s="76" t="n"/>
      <s:c r="E117" s="108" t="n"/>
      <s:c r="F117" s="109" t="str">
        <s:f>IF($A117="","",$C117*Inputs!$C$12)</s:f>
        <s:v/>
      </s:c>
      <s:c r="G117" s="59" t="str">
        <s:f>IF($A117="","",IF($H117="Funded",$F117,0))</s:f>
        <s:v/>
      </s:c>
      <s:c r="H117" s="65" t="n"/>
      <s:c r="I117" s="110" t="str">
        <s:f>IF($A117="","",EOMONTH($A117,0))</s:f>
        <s:v/>
      </s:c>
      <s:c r="J117" s="65" t="n"/>
      <s:c r="K117" s="65" t="n"/>
    </s:row>
    <s:row r="118">
      <s:c r="A118" s="70" t="n"/>
      <s:c r="B118" s="67" t="n"/>
      <s:c r="C118" s="68" t="n"/>
      <s:c r="D118" s="68" t="n"/>
      <s:c r="E118" s="111" t="n"/>
      <s:c r="F118" s="109" t="str">
        <s:f>IF($A118="","",$C118*Inputs!$C$12)</s:f>
        <s:v/>
      </s:c>
      <s:c r="G118" s="69" t="str">
        <s:f>IF($A118="","",IF($H118="Funded",$F118,0))</s:f>
        <s:v/>
      </s:c>
      <s:c r="H118" s="67" t="n"/>
      <s:c r="I118" s="112" t="str">
        <s:f>IF($A118="","",EOMONTH($A118,0))</s:f>
        <s:v/>
      </s:c>
      <s:c r="J118" s="67" t="n"/>
      <s:c r="K118" s="67" t="n"/>
    </s:row>
    <s:row r="119">
      <s:c r="A119" s="77" t="n"/>
      <s:c r="B119" s="65" t="n"/>
      <s:c r="C119" s="76" t="n"/>
      <s:c r="D119" s="76" t="n"/>
      <s:c r="E119" s="108" t="n"/>
      <s:c r="F119" s="109" t="str">
        <s:f>IF($A119="","",$C119*Inputs!$C$12)</s:f>
        <s:v/>
      </s:c>
      <s:c r="G119" s="59" t="str">
        <s:f>IF($A119="","",IF($H119="Funded",$F119,0))</s:f>
        <s:v/>
      </s:c>
      <s:c r="H119" s="65" t="n"/>
      <s:c r="I119" s="110" t="str">
        <s:f>IF($A119="","",EOMONTH($A119,0))</s:f>
        <s:v/>
      </s:c>
      <s:c r="J119" s="65" t="n"/>
      <s:c r="K119" s="65" t="n"/>
    </s:row>
    <s:row r="120">
      <s:c r="A120" s="70" t="n"/>
      <s:c r="B120" s="67" t="n"/>
      <s:c r="C120" s="68" t="n"/>
      <s:c r="D120" s="68" t="n"/>
      <s:c r="E120" s="111" t="n"/>
      <s:c r="F120" s="109" t="str">
        <s:f>IF($A120="","",$C120*Inputs!$C$12)</s:f>
        <s:v/>
      </s:c>
      <s:c r="G120" s="69" t="str">
        <s:f>IF($A120="","",IF($H120="Funded",$F120,0))</s:f>
        <s:v/>
      </s:c>
      <s:c r="H120" s="67" t="n"/>
      <s:c r="I120" s="112" t="str">
        <s:f>IF($A120="","",EOMONTH($A120,0))</s:f>
        <s:v/>
      </s:c>
      <s:c r="J120" s="67" t="n"/>
      <s:c r="K120" s="67" t="n"/>
    </s:row>
    <s:row r="121">
      <s:c r="A121" s="77" t="n"/>
      <s:c r="B121" s="65" t="n"/>
      <s:c r="C121" s="76" t="n"/>
      <s:c r="D121" s="76" t="n"/>
      <s:c r="E121" s="108" t="n"/>
      <s:c r="F121" s="109" t="str">
        <s:f>IF($A121="","",$C121*Inputs!$C$12)</s:f>
        <s:v/>
      </s:c>
      <s:c r="G121" s="59" t="str">
        <s:f>IF($A121="","",IF($H121="Funded",$F121,0))</s:f>
        <s:v/>
      </s:c>
      <s:c r="H121" s="65" t="n"/>
      <s:c r="I121" s="110" t="str">
        <s:f>IF($A121="","",EOMONTH($A121,0))</s:f>
        <s:v/>
      </s:c>
      <s:c r="J121" s="65" t="n"/>
      <s:c r="K121" s="65" t="n"/>
    </s:row>
    <s:row r="122">
      <s:c r="A122" s="70" t="n"/>
      <s:c r="B122" s="67" t="n"/>
      <s:c r="C122" s="68" t="n"/>
      <s:c r="D122" s="68" t="n"/>
      <s:c r="E122" s="111" t="n"/>
      <s:c r="F122" s="109" t="str">
        <s:f>IF($A122="","",$C122*Inputs!$C$12)</s:f>
        <s:v/>
      </s:c>
      <s:c r="G122" s="69" t="str">
        <s:f>IF($A122="","",IF($H122="Funded",$F122,0))</s:f>
        <s:v/>
      </s:c>
      <s:c r="H122" s="67" t="n"/>
      <s:c r="I122" s="112" t="str">
        <s:f>IF($A122="","",EOMONTH($A122,0))</s:f>
        <s:v/>
      </s:c>
      <s:c r="J122" s="67" t="n"/>
      <s:c r="K122" s="67" t="n"/>
    </s:row>
    <s:row r="123">
      <s:c r="A123" s="77" t="n"/>
      <s:c r="B123" s="65" t="n"/>
      <s:c r="C123" s="76" t="n"/>
      <s:c r="D123" s="76" t="n"/>
      <s:c r="E123" s="108" t="n"/>
      <s:c r="F123" s="109" t="str">
        <s:f>IF($A123="","",$C123*Inputs!$C$12)</s:f>
        <s:v/>
      </s:c>
      <s:c r="G123" s="59" t="str">
        <s:f>IF($A123="","",IF($H123="Funded",$F123,0))</s:f>
        <s:v/>
      </s:c>
      <s:c r="H123" s="65" t="n"/>
      <s:c r="I123" s="110" t="str">
        <s:f>IF($A123="","",EOMONTH($A123,0))</s:f>
        <s:v/>
      </s:c>
      <s:c r="J123" s="65" t="n"/>
      <s:c r="K123" s="65" t="n"/>
    </s:row>
    <s:row r="124">
      <s:c r="A124" s="70" t="n"/>
      <s:c r="B124" s="67" t="n"/>
      <s:c r="C124" s="68" t="n"/>
      <s:c r="D124" s="68" t="n"/>
      <s:c r="E124" s="111" t="n"/>
      <s:c r="F124" s="109" t="str">
        <s:f>IF($A124="","",$C124*Inputs!$C$12)</s:f>
        <s:v/>
      </s:c>
      <s:c r="G124" s="69" t="str">
        <s:f>IF($A124="","",IF($H124="Funded",$F124,0))</s:f>
        <s:v/>
      </s:c>
      <s:c r="H124" s="67" t="n"/>
      <s:c r="I124" s="112" t="str">
        <s:f>IF($A124="","",EOMONTH($A124,0))</s:f>
        <s:v/>
      </s:c>
      <s:c r="J124" s="67" t="n"/>
      <s:c r="K124" s="67" t="n"/>
    </s:row>
    <s:row r="125">
      <s:c r="A125" s="77" t="n"/>
      <s:c r="B125" s="65" t="n"/>
      <s:c r="C125" s="76" t="n"/>
      <s:c r="D125" s="76" t="n"/>
      <s:c r="E125" s="108" t="n"/>
      <s:c r="F125" s="109" t="str">
        <s:f>IF($A125="","",$C125*Inputs!$C$12)</s:f>
        <s:v/>
      </s:c>
      <s:c r="G125" s="59" t="str">
        <s:f>IF($A125="","",IF($H125="Funded",$F125,0))</s:f>
        <s:v/>
      </s:c>
      <s:c r="H125" s="65" t="n"/>
      <s:c r="I125" s="110" t="str">
        <s:f>IF($A125="","",EOMONTH($A125,0))</s:f>
        <s:v/>
      </s:c>
      <s:c r="J125" s="65" t="n"/>
      <s:c r="K125" s="65" t="n"/>
    </s:row>
    <s:row r="126">
      <s:c r="A126" s="70" t="n"/>
      <s:c r="B126" s="67" t="n"/>
      <s:c r="C126" s="68" t="n"/>
      <s:c r="D126" s="68" t="n"/>
      <s:c r="E126" s="111" t="n"/>
      <s:c r="F126" s="109" t="str">
        <s:f>IF($A126="","",$C126*Inputs!$C$12)</s:f>
        <s:v/>
      </s:c>
      <s:c r="G126" s="69" t="str">
        <s:f>IF($A126="","",IF($H126="Funded",$F126,0))</s:f>
        <s:v/>
      </s:c>
      <s:c r="H126" s="67" t="n"/>
      <s:c r="I126" s="112" t="str">
        <s:f>IF($A126="","",EOMONTH($A126,0))</s:f>
        <s:v/>
      </s:c>
      <s:c r="J126" s="67" t="n"/>
      <s:c r="K126" s="67" t="n"/>
    </s:row>
    <s:row r="127">
      <s:c r="A127" s="77" t="n"/>
      <s:c r="B127" s="65" t="n"/>
      <s:c r="C127" s="76" t="n"/>
      <s:c r="D127" s="76" t="n"/>
      <s:c r="E127" s="108" t="n"/>
      <s:c r="F127" s="109" t="str">
        <s:f>IF($A127="","",$C127*Inputs!$C$12)</s:f>
        <s:v/>
      </s:c>
      <s:c r="G127" s="59" t="str">
        <s:f>IF($A127="","",IF($H127="Funded",$F127,0))</s:f>
        <s:v/>
      </s:c>
      <s:c r="H127" s="65" t="n"/>
      <s:c r="I127" s="110" t="str">
        <s:f>IF($A127="","",EOMONTH($A127,0))</s:f>
        <s:v/>
      </s:c>
      <s:c r="J127" s="65" t="n"/>
      <s:c r="K127" s="65" t="n"/>
    </s:row>
    <s:row r="128">
      <s:c r="A128" s="70" t="n"/>
      <s:c r="B128" s="67" t="n"/>
      <s:c r="C128" s="68" t="n"/>
      <s:c r="D128" s="68" t="n"/>
      <s:c r="E128" s="111" t="n"/>
      <s:c r="F128" s="109" t="str">
        <s:f>IF($A128="","",$C128*Inputs!$C$12)</s:f>
        <s:v/>
      </s:c>
      <s:c r="G128" s="69" t="str">
        <s:f>IF($A128="","",IF($H128="Funded",$F128,0))</s:f>
        <s:v/>
      </s:c>
      <s:c r="H128" s="67" t="n"/>
      <s:c r="I128" s="112" t="str">
        <s:f>IF($A128="","",EOMONTH($A128,0))</s:f>
        <s:v/>
      </s:c>
      <s:c r="J128" s="67" t="n"/>
      <s:c r="K128" s="67" t="n"/>
    </s:row>
    <s:row r="129">
      <s:c r="A129" s="77" t="n"/>
      <s:c r="B129" s="65" t="n"/>
      <s:c r="C129" s="76" t="n"/>
      <s:c r="D129" s="76" t="n"/>
      <s:c r="E129" s="108" t="n"/>
      <s:c r="F129" s="109" t="str">
        <s:f>IF($A129="","",$C129*Inputs!$C$12)</s:f>
        <s:v/>
      </s:c>
      <s:c r="G129" s="59" t="str">
        <s:f>IF($A129="","",IF($H129="Funded",$F129,0))</s:f>
        <s:v/>
      </s:c>
      <s:c r="H129" s="65" t="n"/>
      <s:c r="I129" s="110" t="str">
        <s:f>IF($A129="","",EOMONTH($A129,0))</s:f>
        <s:v/>
      </s:c>
      <s:c r="J129" s="65" t="n"/>
      <s:c r="K129" s="65" t="n"/>
    </s:row>
    <s:row r="130">
      <s:c r="A130" s="70" t="n"/>
      <s:c r="B130" s="67" t="n"/>
      <s:c r="C130" s="68" t="n"/>
      <s:c r="D130" s="68" t="n"/>
      <s:c r="E130" s="111" t="n"/>
      <s:c r="F130" s="109" t="str">
        <s:f>IF($A130="","",$C130*Inputs!$C$12)</s:f>
        <s:v/>
      </s:c>
      <s:c r="G130" s="69" t="str">
        <s:f>IF($A130="","",IF($H130="Funded",$F130,0))</s:f>
        <s:v/>
      </s:c>
      <s:c r="H130" s="67" t="n"/>
      <s:c r="I130" s="112" t="str">
        <s:f>IF($A130="","",EOMONTH($A130,0))</s:f>
        <s:v/>
      </s:c>
      <s:c r="J130" s="67" t="n"/>
      <s:c r="K130" s="67" t="n"/>
    </s:row>
    <s:row r="131">
      <s:c r="A131" s="77" t="n"/>
      <s:c r="B131" s="65" t="n"/>
      <s:c r="C131" s="76" t="n"/>
      <s:c r="D131" s="76" t="n"/>
      <s:c r="E131" s="108" t="n"/>
      <s:c r="F131" s="109" t="str">
        <s:f>IF($A131="","",$C131*Inputs!$C$12)</s:f>
        <s:v/>
      </s:c>
      <s:c r="G131" s="59" t="str">
        <s:f>IF($A131="","",IF($H131="Funded",$F131,0))</s:f>
        <s:v/>
      </s:c>
      <s:c r="H131" s="65" t="n"/>
      <s:c r="I131" s="110" t="str">
        <s:f>IF($A131="","",EOMONTH($A131,0))</s:f>
        <s:v/>
      </s:c>
      <s:c r="J131" s="65" t="n"/>
      <s:c r="K131" s="65" t="n"/>
    </s:row>
    <s:row r="132">
      <s:c r="A132" s="70" t="n"/>
      <s:c r="B132" s="67" t="n"/>
      <s:c r="C132" s="68" t="n"/>
      <s:c r="D132" s="68" t="n"/>
      <s:c r="E132" s="111" t="n"/>
      <s:c r="F132" s="109" t="str">
        <s:f>IF($A132="","",$C132*Inputs!$C$12)</s:f>
        <s:v/>
      </s:c>
      <s:c r="G132" s="69" t="str">
        <s:f>IF($A132="","",IF($H132="Funded",$F132,0))</s:f>
        <s:v/>
      </s:c>
      <s:c r="H132" s="67" t="n"/>
      <s:c r="I132" s="112" t="str">
        <s:f>IF($A132="","",EOMONTH($A132,0))</s:f>
        <s:v/>
      </s:c>
      <s:c r="J132" s="67" t="n"/>
      <s:c r="K132" s="67" t="n"/>
    </s:row>
    <s:row r="133">
      <s:c r="A133" s="77" t="n"/>
      <s:c r="B133" s="65" t="n"/>
      <s:c r="C133" s="76" t="n"/>
      <s:c r="D133" s="76" t="n"/>
      <s:c r="E133" s="108" t="n"/>
      <s:c r="F133" s="109" t="str">
        <s:f>IF($A133="","",$C133*Inputs!$C$12)</s:f>
        <s:v/>
      </s:c>
      <s:c r="G133" s="59" t="str">
        <s:f>IF($A133="","",IF($H133="Funded",$F133,0))</s:f>
        <s:v/>
      </s:c>
      <s:c r="H133" s="65" t="n"/>
      <s:c r="I133" s="110" t="str">
        <s:f>IF($A133="","",EOMONTH($A133,0))</s:f>
        <s:v/>
      </s:c>
      <s:c r="J133" s="65" t="n"/>
      <s:c r="K133" s="65" t="n"/>
    </s:row>
    <s:row r="134">
      <s:c r="A134" s="70" t="n"/>
      <s:c r="B134" s="67" t="n"/>
      <s:c r="C134" s="68" t="n"/>
      <s:c r="D134" s="68" t="n"/>
      <s:c r="E134" s="111" t="n"/>
      <s:c r="F134" s="109" t="str">
        <s:f>IF($A134="","",$C134*Inputs!$C$12)</s:f>
        <s:v/>
      </s:c>
      <s:c r="G134" s="69" t="str">
        <s:f>IF($A134="","",IF($H134="Funded",$F134,0))</s:f>
        <s:v/>
      </s:c>
      <s:c r="H134" s="67" t="n"/>
      <s:c r="I134" s="112" t="str">
        <s:f>IF($A134="","",EOMONTH($A134,0))</s:f>
        <s:v/>
      </s:c>
      <s:c r="J134" s="67" t="n"/>
      <s:c r="K134" s="67" t="n"/>
    </s:row>
    <s:row r="135">
      <s:c r="A135" s="77" t="n"/>
      <s:c r="B135" s="65" t="n"/>
      <s:c r="C135" s="76" t="n"/>
      <s:c r="D135" s="76" t="n"/>
      <s:c r="E135" s="108" t="n"/>
      <s:c r="F135" s="109" t="str">
        <s:f>IF($A135="","",$C135*Inputs!$C$12)</s:f>
        <s:v/>
      </s:c>
      <s:c r="G135" s="59" t="str">
        <s:f>IF($A135="","",IF($H135="Funded",$F135,0))</s:f>
        <s:v/>
      </s:c>
      <s:c r="H135" s="65" t="n"/>
      <s:c r="I135" s="110" t="str">
        <s:f>IF($A135="","",EOMONTH($A135,0))</s:f>
        <s:v/>
      </s:c>
      <s:c r="J135" s="65" t="n"/>
      <s:c r="K135" s="65" t="n"/>
    </s:row>
    <s:row r="136">
      <s:c r="A136" s="70" t="n"/>
      <s:c r="B136" s="67" t="n"/>
      <s:c r="C136" s="68" t="n"/>
      <s:c r="D136" s="68" t="n"/>
      <s:c r="E136" s="111" t="n"/>
      <s:c r="F136" s="109" t="str">
        <s:f>IF($A136="","",$C136*Inputs!$C$12)</s:f>
        <s:v/>
      </s:c>
      <s:c r="G136" s="69" t="str">
        <s:f>IF($A136="","",IF($H136="Funded",$F136,0))</s:f>
        <s:v/>
      </s:c>
      <s:c r="H136" s="67" t="n"/>
      <s:c r="I136" s="112" t="str">
        <s:f>IF($A136="","",EOMONTH($A136,0))</s:f>
        <s:v/>
      </s:c>
      <s:c r="J136" s="67" t="n"/>
      <s:c r="K136" s="67" t="n"/>
    </s:row>
    <s:row r="137">
      <s:c r="A137" s="77" t="n"/>
      <s:c r="B137" s="65" t="n"/>
      <s:c r="C137" s="76" t="n"/>
      <s:c r="D137" s="76" t="n"/>
      <s:c r="E137" s="108" t="n"/>
      <s:c r="F137" s="109" t="str">
        <s:f>IF($A137="","",$C137*Inputs!$C$12)</s:f>
        <s:v/>
      </s:c>
      <s:c r="G137" s="59" t="str">
        <s:f>IF($A137="","",IF($H137="Funded",$F137,0))</s:f>
        <s:v/>
      </s:c>
      <s:c r="H137" s="65" t="n"/>
      <s:c r="I137" s="110" t="str">
        <s:f>IF($A137="","",EOMONTH($A137,0))</s:f>
        <s:v/>
      </s:c>
      <s:c r="J137" s="65" t="n"/>
      <s:c r="K137" s="65" t="n"/>
    </s:row>
    <s:row r="138">
      <s:c r="A138" s="70" t="n"/>
      <s:c r="B138" s="67" t="n"/>
      <s:c r="C138" s="68" t="n"/>
      <s:c r="D138" s="68" t="n"/>
      <s:c r="E138" s="111" t="n"/>
      <s:c r="F138" s="109" t="str">
        <s:f>IF($A138="","",$C138*Inputs!$C$12)</s:f>
        <s:v/>
      </s:c>
      <s:c r="G138" s="69" t="str">
        <s:f>IF($A138="","",IF($H138="Funded",$F138,0))</s:f>
        <s:v/>
      </s:c>
      <s:c r="H138" s="67" t="n"/>
      <s:c r="I138" s="112" t="str">
        <s:f>IF($A138="","",EOMONTH($A138,0))</s:f>
        <s:v/>
      </s:c>
      <s:c r="J138" s="67" t="n"/>
      <s:c r="K138" s="67" t="n"/>
    </s:row>
    <s:row r="139">
      <s:c r="A139" s="77" t="n"/>
      <s:c r="B139" s="65" t="n"/>
      <s:c r="C139" s="76" t="n"/>
      <s:c r="D139" s="76" t="n"/>
      <s:c r="E139" s="108" t="n"/>
      <s:c r="F139" s="109" t="str">
        <s:f>IF($A139="","",$C139*Inputs!$C$12)</s:f>
        <s:v/>
      </s:c>
      <s:c r="G139" s="59" t="str">
        <s:f>IF($A139="","",IF($H139="Funded",$F139,0))</s:f>
        <s:v/>
      </s:c>
      <s:c r="H139" s="65" t="n"/>
      <s:c r="I139" s="110" t="str">
        <s:f>IF($A139="","",EOMONTH($A139,0))</s:f>
        <s:v/>
      </s:c>
      <s:c r="J139" s="65" t="n"/>
      <s:c r="K139" s="65" t="n"/>
    </s:row>
    <s:row r="140">
      <s:c r="A140" s="70" t="n"/>
      <s:c r="B140" s="67" t="n"/>
      <s:c r="C140" s="68" t="n"/>
      <s:c r="D140" s="68" t="n"/>
      <s:c r="E140" s="111" t="n"/>
      <s:c r="F140" s="109" t="str">
        <s:f>IF($A140="","",$C140*Inputs!$C$12)</s:f>
        <s:v/>
      </s:c>
      <s:c r="G140" s="69" t="str">
        <s:f>IF($A140="","",IF($H140="Funded",$F140,0))</s:f>
        <s:v/>
      </s:c>
      <s:c r="H140" s="67" t="n"/>
      <s:c r="I140" s="112" t="str">
        <s:f>IF($A140="","",EOMONTH($A140,0))</s:f>
        <s:v/>
      </s:c>
      <s:c r="J140" s="67" t="n"/>
      <s:c r="K140" s="67" t="n"/>
    </s:row>
    <s:row r="141">
      <s:c r="A141" s="77" t="n"/>
      <s:c r="B141" s="65" t="n"/>
      <s:c r="C141" s="76" t="n"/>
      <s:c r="D141" s="76" t="n"/>
      <s:c r="E141" s="108" t="n"/>
      <s:c r="F141" s="109" t="str">
        <s:f>IF($A141="","",$C141*Inputs!$C$12)</s:f>
        <s:v/>
      </s:c>
      <s:c r="G141" s="59" t="str">
        <s:f>IF($A141="","",IF($H141="Funded",$F141,0))</s:f>
        <s:v/>
      </s:c>
      <s:c r="H141" s="65" t="n"/>
      <s:c r="I141" s="110" t="str">
        <s:f>IF($A141="","",EOMONTH($A141,0))</s:f>
        <s:v/>
      </s:c>
      <s:c r="J141" s="65" t="n"/>
      <s:c r="K141" s="65" t="n"/>
    </s:row>
    <s:row r="142">
      <s:c r="A142" s="70" t="n"/>
      <s:c r="B142" s="67" t="n"/>
      <s:c r="C142" s="68" t="n"/>
      <s:c r="D142" s="68" t="n"/>
      <s:c r="E142" s="111" t="n"/>
      <s:c r="F142" s="109" t="str">
        <s:f>IF($A142="","",$C142*Inputs!$C$12)</s:f>
        <s:v/>
      </s:c>
      <s:c r="G142" s="69" t="str">
        <s:f>IF($A142="","",IF($H142="Funded",$F142,0))</s:f>
        <s:v/>
      </s:c>
      <s:c r="H142" s="67" t="n"/>
      <s:c r="I142" s="112" t="str">
        <s:f>IF($A142="","",EOMONTH($A142,0))</s:f>
        <s:v/>
      </s:c>
      <s:c r="J142" s="67" t="n"/>
      <s:c r="K142" s="67" t="n"/>
    </s:row>
    <s:row r="143">
      <s:c r="A143" s="77" t="n"/>
      <s:c r="B143" s="65" t="n"/>
      <s:c r="C143" s="76" t="n"/>
      <s:c r="D143" s="76" t="n"/>
      <s:c r="E143" s="108" t="n"/>
      <s:c r="F143" s="109" t="str">
        <s:f>IF($A143="","",$C143*Inputs!$C$12)</s:f>
        <s:v/>
      </s:c>
      <s:c r="G143" s="59" t="str">
        <s:f>IF($A143="","",IF($H143="Funded",$F143,0))</s:f>
        <s:v/>
      </s:c>
      <s:c r="H143" s="65" t="n"/>
      <s:c r="I143" s="110" t="str">
        <s:f>IF($A143="","",EOMONTH($A143,0))</s:f>
        <s:v/>
      </s:c>
      <s:c r="J143" s="65" t="n"/>
      <s:c r="K143" s="65" t="n"/>
    </s:row>
    <s:row r="144">
      <s:c r="A144" s="70" t="n"/>
      <s:c r="B144" s="67" t="n"/>
      <s:c r="C144" s="68" t="n"/>
      <s:c r="D144" s="68" t="n"/>
      <s:c r="E144" s="111" t="n"/>
      <s:c r="F144" s="109" t="str">
        <s:f>IF($A144="","",$C144*Inputs!$C$12)</s:f>
        <s:v/>
      </s:c>
      <s:c r="G144" s="69" t="str">
        <s:f>IF($A144="","",IF($H144="Funded",$F144,0))</s:f>
        <s:v/>
      </s:c>
      <s:c r="H144" s="67" t="n"/>
      <s:c r="I144" s="112" t="str">
        <s:f>IF($A144="","",EOMONTH($A144,0))</s:f>
        <s:v/>
      </s:c>
      <s:c r="J144" s="67" t="n"/>
      <s:c r="K144" s="67" t="n"/>
    </s:row>
    <s:row r="145">
      <s:c r="A145" s="77" t="n"/>
      <s:c r="B145" s="65" t="n"/>
      <s:c r="C145" s="76" t="n"/>
      <s:c r="D145" s="76" t="n"/>
      <s:c r="E145" s="108" t="n"/>
      <s:c r="F145" s="109" t="str">
        <s:f>IF($A145="","",$C145*Inputs!$C$12)</s:f>
        <s:v/>
      </s:c>
      <s:c r="G145" s="59" t="str">
        <s:f>IF($A145="","",IF($H145="Funded",$F145,0))</s:f>
        <s:v/>
      </s:c>
      <s:c r="H145" s="65" t="n"/>
      <s:c r="I145" s="110" t="str">
        <s:f>IF($A145="","",EOMONTH($A145,0))</s:f>
        <s:v/>
      </s:c>
      <s:c r="J145" s="65" t="n"/>
      <s:c r="K145" s="65" t="n"/>
    </s:row>
    <s:row r="146">
      <s:c r="A146" s="70" t="n"/>
      <s:c r="B146" s="67" t="n"/>
      <s:c r="C146" s="68" t="n"/>
      <s:c r="D146" s="68" t="n"/>
      <s:c r="E146" s="111" t="n"/>
      <s:c r="F146" s="109" t="str">
        <s:f>IF($A146="","",$C146*Inputs!$C$12)</s:f>
        <s:v/>
      </s:c>
      <s:c r="G146" s="69" t="str">
        <s:f>IF($A146="","",IF($H146="Funded",$F146,0))</s:f>
        <s:v/>
      </s:c>
      <s:c r="H146" s="67" t="n"/>
      <s:c r="I146" s="112" t="str">
        <s:f>IF($A146="","",EOMONTH($A146,0))</s:f>
        <s:v/>
      </s:c>
      <s:c r="J146" s="67" t="n"/>
      <s:c r="K146" s="67" t="n"/>
    </s:row>
    <s:row r="147">
      <s:c r="A147" s="77" t="n"/>
      <s:c r="B147" s="65" t="n"/>
      <s:c r="C147" s="76" t="n"/>
      <s:c r="D147" s="76" t="n"/>
      <s:c r="E147" s="108" t="n"/>
      <s:c r="F147" s="109" t="str">
        <s:f>IF($A147="","",$C147*Inputs!$C$12)</s:f>
        <s:v/>
      </s:c>
      <s:c r="G147" s="59" t="str">
        <s:f>IF($A147="","",IF($H147="Funded",$F147,0))</s:f>
        <s:v/>
      </s:c>
      <s:c r="H147" s="65" t="n"/>
      <s:c r="I147" s="110" t="str">
        <s:f>IF($A147="","",EOMONTH($A147,0))</s:f>
        <s:v/>
      </s:c>
      <s:c r="J147" s="65" t="n"/>
      <s:c r="K147" s="65" t="n"/>
    </s:row>
    <s:row r="148">
      <s:c r="A148" s="70" t="n"/>
      <s:c r="B148" s="67" t="n"/>
      <s:c r="C148" s="68" t="n"/>
      <s:c r="D148" s="68" t="n"/>
      <s:c r="E148" s="111" t="n"/>
      <s:c r="F148" s="109" t="str">
        <s:f>IF($A148="","",$C148*Inputs!$C$12)</s:f>
        <s:v/>
      </s:c>
      <s:c r="G148" s="69" t="str">
        <s:f>IF($A148="","",IF($H148="Funded",$F148,0))</s:f>
        <s:v/>
      </s:c>
      <s:c r="H148" s="67" t="n"/>
      <s:c r="I148" s="112" t="str">
        <s:f>IF($A148="","",EOMONTH($A148,0))</s:f>
        <s:v/>
      </s:c>
      <s:c r="J148" s="67" t="n"/>
      <s:c r="K148" s="67" t="n"/>
    </s:row>
    <s:row r="149">
      <s:c r="A149" s="77" t="n"/>
      <s:c r="B149" s="65" t="n"/>
      <s:c r="C149" s="76" t="n"/>
      <s:c r="D149" s="76" t="n"/>
      <s:c r="E149" s="108" t="n"/>
      <s:c r="F149" s="109" t="str">
        <s:f>IF($A149="","",$C149*Inputs!$C$12)</s:f>
        <s:v/>
      </s:c>
      <s:c r="G149" s="59" t="str">
        <s:f>IF($A149="","",IF($H149="Funded",$F149,0))</s:f>
        <s:v/>
      </s:c>
      <s:c r="H149" s="65" t="n"/>
      <s:c r="I149" s="110" t="str">
        <s:f>IF($A149="","",EOMONTH($A149,0))</s:f>
        <s:v/>
      </s:c>
      <s:c r="J149" s="65" t="n"/>
      <s:c r="K149" s="65" t="n"/>
    </s:row>
    <s:row r="150">
      <s:c r="A150" s="70" t="n"/>
      <s:c r="B150" s="67" t="n"/>
      <s:c r="C150" s="68" t="n"/>
      <s:c r="D150" s="68" t="n"/>
      <s:c r="E150" s="111" t="n"/>
      <s:c r="F150" s="109" t="str">
        <s:f>IF($A150="","",$C150*Inputs!$C$12)</s:f>
        <s:v/>
      </s:c>
      <s:c r="G150" s="69" t="str">
        <s:f>IF($A150="","",IF($H150="Funded",$F150,0))</s:f>
        <s:v/>
      </s:c>
      <s:c r="H150" s="67" t="n"/>
      <s:c r="I150" s="112" t="str">
        <s:f>IF($A150="","",EOMONTH($A150,0))</s:f>
        <s:v/>
      </s:c>
      <s:c r="J150" s="67" t="n"/>
      <s:c r="K150" s="67" t="n"/>
    </s:row>
    <s:row r="151">
      <s:c r="A151" s="77" t="n"/>
      <s:c r="B151" s="65" t="n"/>
      <s:c r="C151" s="76" t="n"/>
      <s:c r="D151" s="76" t="n"/>
      <s:c r="E151" s="108" t="n"/>
      <s:c r="F151" s="109" t="str">
        <s:f>IF($A151="","",$C151*Inputs!$C$12)</s:f>
        <s:v/>
      </s:c>
      <s:c r="G151" s="59" t="str">
        <s:f>IF($A151="","",IF($H151="Funded",$F151,0))</s:f>
        <s:v/>
      </s:c>
      <s:c r="H151" s="65" t="n"/>
      <s:c r="I151" s="110" t="str">
        <s:f>IF($A151="","",EOMONTH($A151,0))</s:f>
        <s:v/>
      </s:c>
      <s:c r="J151" s="65" t="n"/>
      <s:c r="K151" s="65" t="n"/>
    </s:row>
    <s:row r="152">
      <s:c r="A152" s="70" t="n"/>
      <s:c r="B152" s="67" t="n"/>
      <s:c r="C152" s="68" t="n"/>
      <s:c r="D152" s="68" t="n"/>
      <s:c r="E152" s="111" t="n"/>
      <s:c r="F152" s="109" t="str">
        <s:f>IF($A152="","",$C152*Inputs!$C$12)</s:f>
        <s:v/>
      </s:c>
      <s:c r="G152" s="69" t="str">
        <s:f>IF($A152="","",IF($H152="Funded",$F152,0))</s:f>
        <s:v/>
      </s:c>
      <s:c r="H152" s="67" t="n"/>
      <s:c r="I152" s="112" t="str">
        <s:f>IF($A152="","",EOMONTH($A152,0))</s:f>
        <s:v/>
      </s:c>
      <s:c r="J152" s="67" t="n"/>
      <s:c r="K152" s="67" t="n"/>
    </s:row>
    <s:row r="153">
      <s:c r="A153" s="77" t="n"/>
      <s:c r="B153" s="65" t="n"/>
      <s:c r="C153" s="76" t="n"/>
      <s:c r="D153" s="76" t="n"/>
      <s:c r="E153" s="108" t="n"/>
      <s:c r="F153" s="109" t="str">
        <s:f>IF($A153="","",$C153*Inputs!$C$12)</s:f>
        <s:v/>
      </s:c>
      <s:c r="G153" s="59" t="str">
        <s:f>IF($A153="","",IF($H153="Funded",$F153,0))</s:f>
        <s:v/>
      </s:c>
      <s:c r="H153" s="65" t="n"/>
      <s:c r="I153" s="110" t="str">
        <s:f>IF($A153="","",EOMONTH($A153,0))</s:f>
        <s:v/>
      </s:c>
      <s:c r="J153" s="65" t="n"/>
      <s:c r="K153" s="65" t="n"/>
    </s:row>
    <s:row r="154">
      <s:c r="A154" s="70" t="n"/>
      <s:c r="B154" s="67" t="n"/>
      <s:c r="C154" s="68" t="n"/>
      <s:c r="D154" s="68" t="n"/>
      <s:c r="E154" s="111" t="n"/>
      <s:c r="F154" s="109" t="str">
        <s:f>IF($A154="","",$C154*Inputs!$C$12)</s:f>
        <s:v/>
      </s:c>
      <s:c r="G154" s="69" t="str">
        <s:f>IF($A154="","",IF($H154="Funded",$F154,0))</s:f>
        <s:v/>
      </s:c>
      <s:c r="H154" s="67" t="n"/>
      <s:c r="I154" s="112" t="str">
        <s:f>IF($A154="","",EOMONTH($A154,0))</s:f>
        <s:v/>
      </s:c>
      <s:c r="J154" s="67" t="n"/>
      <s:c r="K154" s="67" t="n"/>
    </s:row>
    <s:row r="155">
      <s:c r="A155" s="77" t="n"/>
      <s:c r="B155" s="65" t="n"/>
      <s:c r="C155" s="76" t="n"/>
      <s:c r="D155" s="76" t="n"/>
      <s:c r="E155" s="108" t="n"/>
      <s:c r="F155" s="109" t="str">
        <s:f>IF($A155="","",$C155*Inputs!$C$12)</s:f>
        <s:v/>
      </s:c>
      <s:c r="G155" s="59" t="str">
        <s:f>IF($A155="","",IF($H155="Funded",$F155,0))</s:f>
        <s:v/>
      </s:c>
      <s:c r="H155" s="65" t="n"/>
      <s:c r="I155" s="110" t="str">
        <s:f>IF($A155="","",EOMONTH($A155,0))</s:f>
        <s:v/>
      </s:c>
      <s:c r="J155" s="65" t="n"/>
      <s:c r="K155" s="65" t="n"/>
    </s:row>
    <s:row r="156">
      <s:c r="A156" s="70" t="n"/>
      <s:c r="B156" s="67" t="n"/>
      <s:c r="C156" s="68" t="n"/>
      <s:c r="D156" s="68" t="n"/>
      <s:c r="E156" s="111" t="n"/>
      <s:c r="F156" s="109" t="str">
        <s:f>IF($A156="","",$C156*Inputs!$C$12)</s:f>
        <s:v/>
      </s:c>
      <s:c r="G156" s="69" t="str">
        <s:f>IF($A156="","",IF($H156="Funded",$F156,0))</s:f>
        <s:v/>
      </s:c>
      <s:c r="H156" s="67" t="n"/>
      <s:c r="I156" s="112" t="str">
        <s:f>IF($A156="","",EOMONTH($A156,0))</s:f>
        <s:v/>
      </s:c>
      <s:c r="J156" s="67" t="n"/>
      <s:c r="K156" s="67" t="n"/>
    </s:row>
    <s:row r="157">
      <s:c r="A157" s="77" t="n"/>
      <s:c r="B157" s="65" t="n"/>
      <s:c r="C157" s="76" t="n"/>
      <s:c r="D157" s="76" t="n"/>
      <s:c r="E157" s="108" t="n"/>
      <s:c r="F157" s="109" t="str">
        <s:f>IF($A157="","",$C157*Inputs!$C$12)</s:f>
        <s:v/>
      </s:c>
      <s:c r="G157" s="59" t="str">
        <s:f>IF($A157="","",IF($H157="Funded",$F157,0))</s:f>
        <s:v/>
      </s:c>
      <s:c r="H157" s="65" t="n"/>
      <s:c r="I157" s="110" t="str">
        <s:f>IF($A157="","",EOMONTH($A157,0))</s:f>
        <s:v/>
      </s:c>
      <s:c r="J157" s="65" t="n"/>
      <s:c r="K157" s="65" t="n"/>
    </s:row>
    <s:row r="158">
      <s:c r="A158" s="70" t="n"/>
      <s:c r="B158" s="67" t="n"/>
      <s:c r="C158" s="68" t="n"/>
      <s:c r="D158" s="68" t="n"/>
      <s:c r="E158" s="111" t="n"/>
      <s:c r="F158" s="109" t="str">
        <s:f>IF($A158="","",$C158*Inputs!$C$12)</s:f>
        <s:v/>
      </s:c>
      <s:c r="G158" s="69" t="str">
        <s:f>IF($A158="","",IF($H158="Funded",$F158,0))</s:f>
        <s:v/>
      </s:c>
      <s:c r="H158" s="67" t="n"/>
      <s:c r="I158" s="112" t="str">
        <s:f>IF($A158="","",EOMONTH($A158,0))</s:f>
        <s:v/>
      </s:c>
      <s:c r="J158" s="67" t="n"/>
      <s:c r="K158" s="67" t="n"/>
    </s:row>
    <s:row r="159">
      <s:c r="A159" s="77" t="n"/>
      <s:c r="B159" s="65" t="n"/>
      <s:c r="C159" s="76" t="n"/>
      <s:c r="D159" s="76" t="n"/>
      <s:c r="E159" s="108" t="n"/>
      <s:c r="F159" s="109" t="str">
        <s:f>IF($A159="","",$C159*Inputs!$C$12)</s:f>
        <s:v/>
      </s:c>
      <s:c r="G159" s="59" t="str">
        <s:f>IF($A159="","",IF($H159="Funded",$F159,0))</s:f>
        <s:v/>
      </s:c>
      <s:c r="H159" s="65" t="n"/>
      <s:c r="I159" s="110" t="str">
        <s:f>IF($A159="","",EOMONTH($A159,0))</s:f>
        <s:v/>
      </s:c>
      <s:c r="J159" s="65" t="n"/>
      <s:c r="K159" s="65" t="n"/>
    </s:row>
    <s:row r="160">
      <s:c r="A160" s="70" t="n"/>
      <s:c r="B160" s="67" t="n"/>
      <s:c r="C160" s="68" t="n"/>
      <s:c r="D160" s="68" t="n"/>
      <s:c r="E160" s="111" t="n"/>
      <s:c r="F160" s="109" t="str">
        <s:f>IF($A160="","",$C160*Inputs!$C$12)</s:f>
        <s:v/>
      </s:c>
      <s:c r="G160" s="69" t="str">
        <s:f>IF($A160="","",IF($H160="Funded",$F160,0))</s:f>
        <s:v/>
      </s:c>
      <s:c r="H160" s="67" t="n"/>
      <s:c r="I160" s="112" t="str">
        <s:f>IF($A160="","",EOMONTH($A160,0))</s:f>
        <s:v/>
      </s:c>
      <s:c r="J160" s="67" t="n"/>
      <s:c r="K160" s="67" t="n"/>
    </s:row>
    <s:row r="161">
      <s:c r="A161" s="77" t="n"/>
      <s:c r="B161" s="65" t="n"/>
      <s:c r="C161" s="76" t="n"/>
      <s:c r="D161" s="76" t="n"/>
      <s:c r="E161" s="108" t="n"/>
      <s:c r="F161" s="109" t="str">
        <s:f>IF($A161="","",$C161*Inputs!$C$12)</s:f>
        <s:v/>
      </s:c>
      <s:c r="G161" s="59" t="str">
        <s:f>IF($A161="","",IF($H161="Funded",$F161,0))</s:f>
        <s:v/>
      </s:c>
      <s:c r="H161" s="65" t="n"/>
      <s:c r="I161" s="110" t="str">
        <s:f>IF($A161="","",EOMONTH($A161,0))</s:f>
        <s:v/>
      </s:c>
      <s:c r="J161" s="65" t="n"/>
      <s:c r="K161" s="65" t="n"/>
    </s:row>
    <s:row r="162">
      <s:c r="A162" s="70" t="n"/>
      <s:c r="B162" s="67" t="n"/>
      <s:c r="C162" s="68" t="n"/>
      <s:c r="D162" s="68" t="n"/>
      <s:c r="E162" s="111" t="n"/>
      <s:c r="F162" s="109" t="str">
        <s:f>IF($A162="","",$C162*Inputs!$C$12)</s:f>
        <s:v/>
      </s:c>
      <s:c r="G162" s="69" t="str">
        <s:f>IF($A162="","",IF($H162="Funded",$F162,0))</s:f>
        <s:v/>
      </s:c>
      <s:c r="H162" s="67" t="n"/>
      <s:c r="I162" s="112" t="str">
        <s:f>IF($A162="","",EOMONTH($A162,0))</s:f>
        <s:v/>
      </s:c>
      <s:c r="J162" s="67" t="n"/>
      <s:c r="K162" s="67" t="n"/>
    </s:row>
    <s:row r="163">
      <s:c r="A163" s="77" t="n"/>
      <s:c r="B163" s="65" t="n"/>
      <s:c r="C163" s="76" t="n"/>
      <s:c r="D163" s="76" t="n"/>
      <s:c r="E163" s="108" t="n"/>
      <s:c r="F163" s="109" t="str">
        <s:f>IF($A163="","",$C163*Inputs!$C$12)</s:f>
        <s:v/>
      </s:c>
      <s:c r="G163" s="59" t="str">
        <s:f>IF($A163="","",IF($H163="Funded",$F163,0))</s:f>
        <s:v/>
      </s:c>
      <s:c r="H163" s="65" t="n"/>
      <s:c r="I163" s="110" t="str">
        <s:f>IF($A163="","",EOMONTH($A163,0))</s:f>
        <s:v/>
      </s:c>
      <s:c r="J163" s="65" t="n"/>
      <s:c r="K163" s="65" t="n"/>
    </s:row>
    <s:row r="164">
      <s:c r="A164" s="70" t="n"/>
      <s:c r="B164" s="67" t="n"/>
      <s:c r="C164" s="68" t="n"/>
      <s:c r="D164" s="68" t="n"/>
      <s:c r="E164" s="111" t="n"/>
      <s:c r="F164" s="109" t="str">
        <s:f>IF($A164="","",$C164*Inputs!$C$12)</s:f>
        <s:v/>
      </s:c>
      <s:c r="G164" s="69" t="str">
        <s:f>IF($A164="","",IF($H164="Funded",$F164,0))</s:f>
        <s:v/>
      </s:c>
      <s:c r="H164" s="67" t="n"/>
      <s:c r="I164" s="112" t="str">
        <s:f>IF($A164="","",EOMONTH($A164,0))</s:f>
        <s:v/>
      </s:c>
      <s:c r="J164" s="67" t="n"/>
      <s:c r="K164" s="67" t="n"/>
    </s:row>
    <s:row r="165">
      <s:c r="A165" s="77" t="n"/>
      <s:c r="B165" s="65" t="n"/>
      <s:c r="C165" s="76" t="n"/>
      <s:c r="D165" s="76" t="n"/>
      <s:c r="E165" s="108" t="n"/>
      <s:c r="F165" s="109" t="str">
        <s:f>IF($A165="","",$C165*Inputs!$C$12)</s:f>
        <s:v/>
      </s:c>
      <s:c r="G165" s="59" t="str">
        <s:f>IF($A165="","",IF($H165="Funded",$F165,0))</s:f>
        <s:v/>
      </s:c>
      <s:c r="H165" s="65" t="n"/>
      <s:c r="I165" s="110" t="str">
        <s:f>IF($A165="","",EOMONTH($A165,0))</s:f>
        <s:v/>
      </s:c>
      <s:c r="J165" s="65" t="n"/>
      <s:c r="K165" s="65" t="n"/>
    </s:row>
    <s:row r="166">
      <s:c r="A166" s="70" t="n"/>
      <s:c r="B166" s="67" t="n"/>
      <s:c r="C166" s="68" t="n"/>
      <s:c r="D166" s="68" t="n"/>
      <s:c r="E166" s="111" t="n"/>
      <s:c r="F166" s="109" t="str">
        <s:f>IF($A166="","",$C166*Inputs!$C$12)</s:f>
        <s:v/>
      </s:c>
      <s:c r="G166" s="69" t="str">
        <s:f>IF($A166="","",IF($H166="Funded",$F166,0))</s:f>
        <s:v/>
      </s:c>
      <s:c r="H166" s="67" t="n"/>
      <s:c r="I166" s="112" t="str">
        <s:f>IF($A166="","",EOMONTH($A166,0))</s:f>
        <s:v/>
      </s:c>
      <s:c r="J166" s="67" t="n"/>
      <s:c r="K166" s="67" t="n"/>
    </s:row>
    <s:row r="167">
      <s:c r="A167" s="77" t="n"/>
      <s:c r="B167" s="65" t="n"/>
      <s:c r="C167" s="76" t="n"/>
      <s:c r="D167" s="76" t="n"/>
      <s:c r="E167" s="108" t="n"/>
      <s:c r="F167" s="109" t="str">
        <s:f>IF($A167="","",$C167*Inputs!$C$12)</s:f>
        <s:v/>
      </s:c>
      <s:c r="G167" s="59" t="str">
        <s:f>IF($A167="","",IF($H167="Funded",$F167,0))</s:f>
        <s:v/>
      </s:c>
      <s:c r="H167" s="65" t="n"/>
      <s:c r="I167" s="110" t="str">
        <s:f>IF($A167="","",EOMONTH($A167,0))</s:f>
        <s:v/>
      </s:c>
      <s:c r="J167" s="65" t="n"/>
      <s:c r="K167" s="65" t="n"/>
    </s:row>
    <s:row r="168">
      <s:c r="A168" s="70" t="n"/>
      <s:c r="B168" s="67" t="n"/>
      <s:c r="C168" s="68" t="n"/>
      <s:c r="D168" s="68" t="n"/>
      <s:c r="E168" s="111" t="n"/>
      <s:c r="F168" s="109" t="str">
        <s:f>IF($A168="","",$C168*Inputs!$C$12)</s:f>
        <s:v/>
      </s:c>
      <s:c r="G168" s="69" t="str">
        <s:f>IF($A168="","",IF($H168="Funded",$F168,0))</s:f>
        <s:v/>
      </s:c>
      <s:c r="H168" s="67" t="n"/>
      <s:c r="I168" s="112" t="str">
        <s:f>IF($A168="","",EOMONTH($A168,0))</s:f>
        <s:v/>
      </s:c>
      <s:c r="J168" s="67" t="n"/>
      <s:c r="K168" s="67" t="n"/>
    </s:row>
    <s:row r="169">
      <s:c r="A169" s="77" t="n"/>
      <s:c r="B169" s="65" t="n"/>
      <s:c r="C169" s="76" t="n"/>
      <s:c r="D169" s="76" t="n"/>
      <s:c r="E169" s="108" t="n"/>
      <s:c r="F169" s="109" t="str">
        <s:f>IF($A169="","",$C169*Inputs!$C$12)</s:f>
        <s:v/>
      </s:c>
      <s:c r="G169" s="59" t="str">
        <s:f>IF($A169="","",IF($H169="Funded",$F169,0))</s:f>
        <s:v/>
      </s:c>
      <s:c r="H169" s="65" t="n"/>
      <s:c r="I169" s="110" t="str">
        <s:f>IF($A169="","",EOMONTH($A169,0))</s:f>
        <s:v/>
      </s:c>
      <s:c r="J169" s="65" t="n"/>
      <s:c r="K169" s="65" t="n"/>
    </s:row>
    <s:row r="170">
      <s:c r="A170" s="70" t="n"/>
      <s:c r="B170" s="67" t="n"/>
      <s:c r="C170" s="68" t="n"/>
      <s:c r="D170" s="68" t="n"/>
      <s:c r="E170" s="111" t="n"/>
      <s:c r="F170" s="109" t="str">
        <s:f>IF($A170="","",$C170*Inputs!$C$12)</s:f>
        <s:v/>
      </s:c>
      <s:c r="G170" s="69" t="str">
        <s:f>IF($A170="","",IF($H170="Funded",$F170,0))</s:f>
        <s:v/>
      </s:c>
      <s:c r="H170" s="67" t="n"/>
      <s:c r="I170" s="112" t="str">
        <s:f>IF($A170="","",EOMONTH($A170,0))</s:f>
        <s:v/>
      </s:c>
      <s:c r="J170" s="67" t="n"/>
      <s:c r="K170" s="67" t="n"/>
    </s:row>
    <s:row r="171">
      <s:c r="A171" s="77" t="n"/>
      <s:c r="B171" s="65" t="n"/>
      <s:c r="C171" s="76" t="n"/>
      <s:c r="D171" s="76" t="n"/>
      <s:c r="E171" s="108" t="n"/>
      <s:c r="F171" s="109" t="str">
        <s:f>IF($A171="","",$C171*Inputs!$C$12)</s:f>
        <s:v/>
      </s:c>
      <s:c r="G171" s="59" t="str">
        <s:f>IF($A171="","",IF($H171="Funded",$F171,0))</s:f>
        <s:v/>
      </s:c>
      <s:c r="H171" s="65" t="n"/>
      <s:c r="I171" s="110" t="str">
        <s:f>IF($A171="","",EOMONTH($A171,0))</s:f>
        <s:v/>
      </s:c>
      <s:c r="J171" s="65" t="n"/>
      <s:c r="K171" s="65" t="n"/>
    </s:row>
    <s:row r="172">
      <s:c r="A172" s="70" t="n"/>
      <s:c r="B172" s="67" t="n"/>
      <s:c r="C172" s="68" t="n"/>
      <s:c r="D172" s="68" t="n"/>
      <s:c r="E172" s="111" t="n"/>
      <s:c r="F172" s="109" t="str">
        <s:f>IF($A172="","",$C172*Inputs!$C$12)</s:f>
        <s:v/>
      </s:c>
      <s:c r="G172" s="69" t="str">
        <s:f>IF($A172="","",IF($H172="Funded",$F172,0))</s:f>
        <s:v/>
      </s:c>
      <s:c r="H172" s="67" t="n"/>
      <s:c r="I172" s="112" t="str">
        <s:f>IF($A172="","",EOMONTH($A172,0))</s:f>
        <s:v/>
      </s:c>
      <s:c r="J172" s="67" t="n"/>
      <s:c r="K172" s="67" t="n"/>
    </s:row>
    <s:row r="173">
      <s:c r="A173" s="77" t="n"/>
      <s:c r="B173" s="65" t="n"/>
      <s:c r="C173" s="76" t="n"/>
      <s:c r="D173" s="76" t="n"/>
      <s:c r="E173" s="108" t="n"/>
      <s:c r="F173" s="109" t="str">
        <s:f>IF($A173="","",$C173*Inputs!$C$12)</s:f>
        <s:v/>
      </s:c>
      <s:c r="G173" s="59" t="str">
        <s:f>IF($A173="","",IF($H173="Funded",$F173,0))</s:f>
        <s:v/>
      </s:c>
      <s:c r="H173" s="65" t="n"/>
      <s:c r="I173" s="110" t="str">
        <s:f>IF($A173="","",EOMONTH($A173,0))</s:f>
        <s:v/>
      </s:c>
      <s:c r="J173" s="65" t="n"/>
      <s:c r="K173" s="65" t="n"/>
    </s:row>
    <s:row r="174">
      <s:c r="A174" s="70" t="n"/>
      <s:c r="B174" s="67" t="n"/>
      <s:c r="C174" s="68" t="n"/>
      <s:c r="D174" s="68" t="n"/>
      <s:c r="E174" s="111" t="n"/>
      <s:c r="F174" s="109" t="str">
        <s:f>IF($A174="","",$C174*Inputs!$C$12)</s:f>
        <s:v/>
      </s:c>
      <s:c r="G174" s="69" t="str">
        <s:f>IF($A174="","",IF($H174="Funded",$F174,0))</s:f>
        <s:v/>
      </s:c>
      <s:c r="H174" s="67" t="n"/>
      <s:c r="I174" s="112" t="str">
        <s:f>IF($A174="","",EOMONTH($A174,0))</s:f>
        <s:v/>
      </s:c>
      <s:c r="J174" s="67" t="n"/>
      <s:c r="K174" s="67" t="n"/>
    </s:row>
    <s:row r="175">
      <s:c r="A175" s="77" t="n"/>
      <s:c r="B175" s="65" t="n"/>
      <s:c r="C175" s="76" t="n"/>
      <s:c r="D175" s="76" t="n"/>
      <s:c r="E175" s="108" t="n"/>
      <s:c r="F175" s="109" t="str">
        <s:f>IF($A175="","",$C175*Inputs!$C$12)</s:f>
        <s:v/>
      </s:c>
      <s:c r="G175" s="59" t="str">
        <s:f>IF($A175="","",IF($H175="Funded",$F175,0))</s:f>
        <s:v/>
      </s:c>
      <s:c r="H175" s="65" t="n"/>
      <s:c r="I175" s="110" t="str">
        <s:f>IF($A175="","",EOMONTH($A175,0))</s:f>
        <s:v/>
      </s:c>
      <s:c r="J175" s="65" t="n"/>
      <s:c r="K175" s="65" t="n"/>
    </s:row>
    <s:row r="176">
      <s:c r="A176" s="70" t="n"/>
      <s:c r="B176" s="67" t="n"/>
      <s:c r="C176" s="68" t="n"/>
      <s:c r="D176" s="68" t="n"/>
      <s:c r="E176" s="111" t="n"/>
      <s:c r="F176" s="109" t="str">
        <s:f>IF($A176="","",$C176*Inputs!$C$12)</s:f>
        <s:v/>
      </s:c>
      <s:c r="G176" s="69" t="str">
        <s:f>IF($A176="","",IF($H176="Funded",$F176,0))</s:f>
        <s:v/>
      </s:c>
      <s:c r="H176" s="67" t="n"/>
      <s:c r="I176" s="112" t="str">
        <s:f>IF($A176="","",EOMONTH($A176,0))</s:f>
        <s:v/>
      </s:c>
      <s:c r="J176" s="67" t="n"/>
      <s:c r="K176" s="67" t="n"/>
    </s:row>
    <s:row r="177">
      <s:c r="A177" s="77" t="n"/>
      <s:c r="B177" s="65" t="n"/>
      <s:c r="C177" s="76" t="n"/>
      <s:c r="D177" s="76" t="n"/>
      <s:c r="E177" s="108" t="n"/>
      <s:c r="F177" s="109" t="str">
        <s:f>IF($A177="","",$C177*Inputs!$C$12)</s:f>
        <s:v/>
      </s:c>
      <s:c r="G177" s="59" t="str">
        <s:f>IF($A177="","",IF($H177="Funded",$F177,0))</s:f>
        <s:v/>
      </s:c>
      <s:c r="H177" s="65" t="n"/>
      <s:c r="I177" s="110" t="str">
        <s:f>IF($A177="","",EOMONTH($A177,0))</s:f>
        <s:v/>
      </s:c>
      <s:c r="J177" s="65" t="n"/>
      <s:c r="K177" s="65" t="n"/>
    </s:row>
    <s:row r="178">
      <s:c r="A178" s="70" t="n"/>
      <s:c r="B178" s="67" t="n"/>
      <s:c r="C178" s="68" t="n"/>
      <s:c r="D178" s="68" t="n"/>
      <s:c r="E178" s="111" t="n"/>
      <s:c r="F178" s="109" t="str">
        <s:f>IF($A178="","",$C178*Inputs!$C$12)</s:f>
        <s:v/>
      </s:c>
      <s:c r="G178" s="69" t="str">
        <s:f>IF($A178="","",IF($H178="Funded",$F178,0))</s:f>
        <s:v/>
      </s:c>
      <s:c r="H178" s="67" t="n"/>
      <s:c r="I178" s="112" t="str">
        <s:f>IF($A178="","",EOMONTH($A178,0))</s:f>
        <s:v/>
      </s:c>
      <s:c r="J178" s="67" t="n"/>
      <s:c r="K178" s="67" t="n"/>
    </s:row>
    <s:row r="179">
      <s:c r="A179" s="77" t="n"/>
      <s:c r="B179" s="65" t="n"/>
      <s:c r="C179" s="76" t="n"/>
      <s:c r="D179" s="76" t="n"/>
      <s:c r="E179" s="108" t="n"/>
      <s:c r="F179" s="109" t="str">
        <s:f>IF($A179="","",$C179*Inputs!$C$12)</s:f>
        <s:v/>
      </s:c>
      <s:c r="G179" s="59" t="str">
        <s:f>IF($A179="","",IF($H179="Funded",$F179,0))</s:f>
        <s:v/>
      </s:c>
      <s:c r="H179" s="65" t="n"/>
      <s:c r="I179" s="110" t="str">
        <s:f>IF($A179="","",EOMONTH($A179,0))</s:f>
        <s:v/>
      </s:c>
      <s:c r="J179" s="65" t="n"/>
      <s:c r="K179" s="65" t="n"/>
    </s:row>
    <s:row r="180">
      <s:c r="A180" s="70" t="n"/>
      <s:c r="B180" s="67" t="n"/>
      <s:c r="C180" s="68" t="n"/>
      <s:c r="D180" s="68" t="n"/>
      <s:c r="E180" s="111" t="n"/>
      <s:c r="F180" s="109" t="str">
        <s:f>IF($A180="","",$C180*Inputs!$C$12)</s:f>
        <s:v/>
      </s:c>
      <s:c r="G180" s="69" t="str">
        <s:f>IF($A180="","",IF($H180="Funded",$F180,0))</s:f>
        <s:v/>
      </s:c>
      <s:c r="H180" s="67" t="n"/>
      <s:c r="I180" s="112" t="str">
        <s:f>IF($A180="","",EOMONTH($A180,0))</s:f>
        <s:v/>
      </s:c>
      <s:c r="J180" s="67" t="n"/>
      <s:c r="K180" s="67" t="n"/>
    </s:row>
    <s:row r="181">
      <s:c r="A181" s="77" t="n"/>
      <s:c r="B181" s="65" t="n"/>
      <s:c r="C181" s="76" t="n"/>
      <s:c r="D181" s="76" t="n"/>
      <s:c r="E181" s="108" t="n"/>
      <s:c r="F181" s="109" t="str">
        <s:f>IF($A181="","",$C181*Inputs!$C$12)</s:f>
        <s:v/>
      </s:c>
      <s:c r="G181" s="59" t="str">
        <s:f>IF($A181="","",IF($H181="Funded",$F181,0))</s:f>
        <s:v/>
      </s:c>
      <s:c r="H181" s="65" t="n"/>
      <s:c r="I181" s="110" t="str">
        <s:f>IF($A181="","",EOMONTH($A181,0))</s:f>
        <s:v/>
      </s:c>
      <s:c r="J181" s="65" t="n"/>
      <s:c r="K181" s="65" t="n"/>
    </s:row>
    <s:row r="182">
      <s:c r="A182" s="70" t="n"/>
      <s:c r="B182" s="67" t="n"/>
      <s:c r="C182" s="68" t="n"/>
      <s:c r="D182" s="68" t="n"/>
      <s:c r="E182" s="111" t="n"/>
      <s:c r="F182" s="109" t="str">
        <s:f>IF($A182="","",$C182*Inputs!$C$12)</s:f>
        <s:v/>
      </s:c>
      <s:c r="G182" s="69" t="str">
        <s:f>IF($A182="","",IF($H182="Funded",$F182,0))</s:f>
        <s:v/>
      </s:c>
      <s:c r="H182" s="67" t="n"/>
      <s:c r="I182" s="112" t="str">
        <s:f>IF($A182="","",EOMONTH($A182,0))</s:f>
        <s:v/>
      </s:c>
      <s:c r="J182" s="67" t="n"/>
      <s:c r="K182" s="67" t="n"/>
    </s:row>
    <s:row r="183">
      <s:c r="A183" s="77" t="n"/>
      <s:c r="B183" s="65" t="n"/>
      <s:c r="C183" s="76" t="n"/>
      <s:c r="D183" s="76" t="n"/>
      <s:c r="E183" s="108" t="n"/>
      <s:c r="F183" s="109" t="str">
        <s:f>IF($A183="","",$C183*Inputs!$C$12)</s:f>
        <s:v/>
      </s:c>
      <s:c r="G183" s="59" t="str">
        <s:f>IF($A183="","",IF($H183="Funded",$F183,0))</s:f>
        <s:v/>
      </s:c>
      <s:c r="H183" s="65" t="n"/>
      <s:c r="I183" s="110" t="str">
        <s:f>IF($A183="","",EOMONTH($A183,0))</s:f>
        <s:v/>
      </s:c>
      <s:c r="J183" s="65" t="n"/>
      <s:c r="K183" s="65" t="n"/>
    </s:row>
    <s:row r="184">
      <s:c r="A184" s="70" t="n"/>
      <s:c r="B184" s="67" t="n"/>
      <s:c r="C184" s="68" t="n"/>
      <s:c r="D184" s="68" t="n"/>
      <s:c r="E184" s="111" t="n"/>
      <s:c r="F184" s="109" t="str">
        <s:f>IF($A184="","",$C184*Inputs!$C$12)</s:f>
        <s:v/>
      </s:c>
      <s:c r="G184" s="69" t="str">
        <s:f>IF($A184="","",IF($H184="Funded",$F184,0))</s:f>
        <s:v/>
      </s:c>
      <s:c r="H184" s="67" t="n"/>
      <s:c r="I184" s="112" t="str">
        <s:f>IF($A184="","",EOMONTH($A184,0))</s:f>
        <s:v/>
      </s:c>
      <s:c r="J184" s="67" t="n"/>
      <s:c r="K184" s="67" t="n"/>
    </s:row>
    <s:row r="185">
      <s:c r="A185" s="77" t="n"/>
      <s:c r="B185" s="65" t="n"/>
      <s:c r="C185" s="76" t="n"/>
      <s:c r="D185" s="76" t="n"/>
      <s:c r="E185" s="108" t="n"/>
      <s:c r="F185" s="109" t="str">
        <s:f>IF($A185="","",$C185*Inputs!$C$12)</s:f>
        <s:v/>
      </s:c>
      <s:c r="G185" s="59" t="str">
        <s:f>IF($A185="","",IF($H185="Funded",$F185,0))</s:f>
        <s:v/>
      </s:c>
      <s:c r="H185" s="65" t="n"/>
      <s:c r="I185" s="110" t="str">
        <s:f>IF($A185="","",EOMONTH($A185,0))</s:f>
        <s:v/>
      </s:c>
      <s:c r="J185" s="65" t="n"/>
      <s:c r="K185" s="65" t="n"/>
    </s:row>
    <s:row r="186">
      <s:c r="A186" s="70" t="n"/>
      <s:c r="B186" s="67" t="n"/>
      <s:c r="C186" s="68" t="n"/>
      <s:c r="D186" s="68" t="n"/>
      <s:c r="E186" s="111" t="n"/>
      <s:c r="F186" s="109" t="str">
        <s:f>IF($A186="","",$C186*Inputs!$C$12)</s:f>
        <s:v/>
      </s:c>
      <s:c r="G186" s="69" t="str">
        <s:f>IF($A186="","",IF($H186="Funded",$F186,0))</s:f>
        <s:v/>
      </s:c>
      <s:c r="H186" s="67" t="n"/>
      <s:c r="I186" s="112" t="str">
        <s:f>IF($A186="","",EOMONTH($A186,0))</s:f>
        <s:v/>
      </s:c>
      <s:c r="J186" s="67" t="n"/>
      <s:c r="K186" s="67" t="n"/>
    </s:row>
    <s:row r="187">
      <s:c r="A187" s="77" t="n"/>
      <s:c r="B187" s="65" t="n"/>
      <s:c r="C187" s="76" t="n"/>
      <s:c r="D187" s="76" t="n"/>
      <s:c r="E187" s="108" t="n"/>
      <s:c r="F187" s="109" t="str">
        <s:f>IF($A187="","",$C187*Inputs!$C$12)</s:f>
        <s:v/>
      </s:c>
      <s:c r="G187" s="59" t="str">
        <s:f>IF($A187="","",IF($H187="Funded",$F187,0))</s:f>
        <s:v/>
      </s:c>
      <s:c r="H187" s="65" t="n"/>
      <s:c r="I187" s="110" t="str">
        <s:f>IF($A187="","",EOMONTH($A187,0))</s:f>
        <s:v/>
      </s:c>
      <s:c r="J187" s="65" t="n"/>
      <s:c r="K187" s="65" t="n"/>
    </s:row>
    <s:row r="188">
      <s:c r="A188" s="70" t="n"/>
      <s:c r="B188" s="67" t="n"/>
      <s:c r="C188" s="68" t="n"/>
      <s:c r="D188" s="68" t="n"/>
      <s:c r="E188" s="111" t="n"/>
      <s:c r="F188" s="109" t="str">
        <s:f>IF($A188="","",$C188*Inputs!$C$12)</s:f>
        <s:v/>
      </s:c>
      <s:c r="G188" s="69" t="str">
        <s:f>IF($A188="","",IF($H188="Funded",$F188,0))</s:f>
        <s:v/>
      </s:c>
      <s:c r="H188" s="67" t="n"/>
      <s:c r="I188" s="112" t="str">
        <s:f>IF($A188="","",EOMONTH($A188,0))</s:f>
        <s:v/>
      </s:c>
      <s:c r="J188" s="67" t="n"/>
      <s:c r="K188" s="67" t="n"/>
    </s:row>
    <s:row r="189">
      <s:c r="A189" s="77" t="n"/>
      <s:c r="B189" s="65" t="n"/>
      <s:c r="C189" s="76" t="n"/>
      <s:c r="D189" s="76" t="n"/>
      <s:c r="E189" s="108" t="n"/>
      <s:c r="F189" s="109" t="str">
        <s:f>IF($A189="","",$C189*Inputs!$C$12)</s:f>
        <s:v/>
      </s:c>
      <s:c r="G189" s="59" t="str">
        <s:f>IF($A189="","",IF($H189="Funded",$F189,0))</s:f>
        <s:v/>
      </s:c>
      <s:c r="H189" s="65" t="n"/>
      <s:c r="I189" s="110" t="str">
        <s:f>IF($A189="","",EOMONTH($A189,0))</s:f>
        <s:v/>
      </s:c>
      <s:c r="J189" s="65" t="n"/>
      <s:c r="K189" s="65" t="n"/>
    </s:row>
    <s:row r="190">
      <s:c r="A190" s="70" t="n"/>
      <s:c r="B190" s="67" t="n"/>
      <s:c r="C190" s="68" t="n"/>
      <s:c r="D190" s="68" t="n"/>
      <s:c r="E190" s="111" t="n"/>
      <s:c r="F190" s="109" t="str">
        <s:f>IF($A190="","",$C190*Inputs!$C$12)</s:f>
        <s:v/>
      </s:c>
      <s:c r="G190" s="69" t="str">
        <s:f>IF($A190="","",IF($H190="Funded",$F190,0))</s:f>
        <s:v/>
      </s:c>
      <s:c r="H190" s="67" t="n"/>
      <s:c r="I190" s="112" t="str">
        <s:f>IF($A190="","",EOMONTH($A190,0))</s:f>
        <s:v/>
      </s:c>
      <s:c r="J190" s="67" t="n"/>
      <s:c r="K190" s="67" t="n"/>
    </s:row>
    <s:row r="191">
      <s:c r="A191" s="77" t="n"/>
      <s:c r="B191" s="65" t="n"/>
      <s:c r="C191" s="76" t="n"/>
      <s:c r="D191" s="76" t="n"/>
      <s:c r="E191" s="108" t="n"/>
      <s:c r="F191" s="109" t="str">
        <s:f>IF($A191="","",$C191*Inputs!$C$12)</s:f>
        <s:v/>
      </s:c>
      <s:c r="G191" s="59" t="str">
        <s:f>IF($A191="","",IF($H191="Funded",$F191,0))</s:f>
        <s:v/>
      </s:c>
      <s:c r="H191" s="65" t="n"/>
      <s:c r="I191" s="110" t="str">
        <s:f>IF($A191="","",EOMONTH($A191,0))</s:f>
        <s:v/>
      </s:c>
      <s:c r="J191" s="65" t="n"/>
      <s:c r="K191" s="65" t="n"/>
    </s:row>
    <s:row r="192">
      <s:c r="A192" s="70" t="n"/>
      <s:c r="B192" s="67" t="n"/>
      <s:c r="C192" s="68" t="n"/>
      <s:c r="D192" s="68" t="n"/>
      <s:c r="E192" s="111" t="n"/>
      <s:c r="F192" s="109" t="str">
        <s:f>IF($A192="","",$C192*Inputs!$C$12)</s:f>
        <s:v/>
      </s:c>
      <s:c r="G192" s="69" t="str">
        <s:f>IF($A192="","",IF($H192="Funded",$F192,0))</s:f>
        <s:v/>
      </s:c>
      <s:c r="H192" s="67" t="n"/>
      <s:c r="I192" s="112" t="str">
        <s:f>IF($A192="","",EOMONTH($A192,0))</s:f>
        <s:v/>
      </s:c>
      <s:c r="J192" s="67" t="n"/>
      <s:c r="K192" s="67" t="n"/>
    </s:row>
    <s:row r="193">
      <s:c r="A193" s="77" t="n"/>
      <s:c r="B193" s="65" t="n"/>
      <s:c r="C193" s="76" t="n"/>
      <s:c r="D193" s="76" t="n"/>
      <s:c r="E193" s="108" t="n"/>
      <s:c r="F193" s="109" t="str">
        <s:f>IF($A193="","",$C193*Inputs!$C$12)</s:f>
        <s:v/>
      </s:c>
      <s:c r="G193" s="59" t="str">
        <s:f>IF($A193="","",IF($H193="Funded",$F193,0))</s:f>
        <s:v/>
      </s:c>
      <s:c r="H193" s="65" t="n"/>
      <s:c r="I193" s="110" t="str">
        <s:f>IF($A193="","",EOMONTH($A193,0))</s:f>
        <s:v/>
      </s:c>
      <s:c r="J193" s="65" t="n"/>
      <s:c r="K193" s="65" t="n"/>
    </s:row>
    <s:row r="194">
      <s:c r="A194" s="70" t="n"/>
      <s:c r="B194" s="67" t="n"/>
      <s:c r="C194" s="68" t="n"/>
      <s:c r="D194" s="68" t="n"/>
      <s:c r="E194" s="111" t="n"/>
      <s:c r="F194" s="109" t="str">
        <s:f>IF($A194="","",$C194*Inputs!$C$12)</s:f>
        <s:v/>
      </s:c>
      <s:c r="G194" s="69" t="str">
        <s:f>IF($A194="","",IF($H194="Funded",$F194,0))</s:f>
        <s:v/>
      </s:c>
      <s:c r="H194" s="67" t="n"/>
      <s:c r="I194" s="112" t="str">
        <s:f>IF($A194="","",EOMONTH($A194,0))</s:f>
        <s:v/>
      </s:c>
      <s:c r="J194" s="67" t="n"/>
      <s:c r="K194" s="67" t="n"/>
    </s:row>
    <s:row r="195">
      <s:c r="A195" s="77" t="n"/>
      <s:c r="B195" s="65" t="n"/>
      <s:c r="C195" s="76" t="n"/>
      <s:c r="D195" s="76" t="n"/>
      <s:c r="E195" s="108" t="n"/>
      <s:c r="F195" s="109" t="str">
        <s:f>IF($A195="","",$C195*Inputs!$C$12)</s:f>
        <s:v/>
      </s:c>
      <s:c r="G195" s="59" t="str">
        <s:f>IF($A195="","",IF($H195="Funded",$F195,0))</s:f>
        <s:v/>
      </s:c>
      <s:c r="H195" s="65" t="n"/>
      <s:c r="I195" s="110" t="str">
        <s:f>IF($A195="","",EOMONTH($A195,0))</s:f>
        <s:v/>
      </s:c>
      <s:c r="J195" s="65" t="n"/>
      <s:c r="K195" s="65" t="n"/>
    </s:row>
    <s:row r="196">
      <s:c r="A196" s="70" t="n"/>
      <s:c r="B196" s="67" t="n"/>
      <s:c r="C196" s="68" t="n"/>
      <s:c r="D196" s="68" t="n"/>
      <s:c r="E196" s="111" t="n"/>
      <s:c r="F196" s="109" t="str">
        <s:f>IF($A196="","",$C196*Inputs!$C$12)</s:f>
        <s:v/>
      </s:c>
      <s:c r="G196" s="69" t="str">
        <s:f>IF($A196="","",IF($H196="Funded",$F196,0))</s:f>
        <s:v/>
      </s:c>
      <s:c r="H196" s="67" t="n"/>
      <s:c r="I196" s="112" t="str">
        <s:f>IF($A196="","",EOMONTH($A196,0))</s:f>
        <s:v/>
      </s:c>
      <s:c r="J196" s="67" t="n"/>
      <s:c r="K196" s="67" t="n"/>
    </s:row>
    <s:row r="197">
      <s:c r="A197" s="77" t="n"/>
      <s:c r="B197" s="65" t="n"/>
      <s:c r="C197" s="76" t="n"/>
      <s:c r="D197" s="76" t="n"/>
      <s:c r="E197" s="108" t="n"/>
      <s:c r="F197" s="109" t="str">
        <s:f>IF($A197="","",$C197*Inputs!$C$12)</s:f>
        <s:v/>
      </s:c>
      <s:c r="G197" s="59" t="str">
        <s:f>IF($A197="","",IF($H197="Funded",$F197,0))</s:f>
        <s:v/>
      </s:c>
      <s:c r="H197" s="65" t="n"/>
      <s:c r="I197" s="110" t="str">
        <s:f>IF($A197="","",EOMONTH($A197,0))</s:f>
        <s:v/>
      </s:c>
      <s:c r="J197" s="65" t="n"/>
      <s:c r="K197" s="65" t="n"/>
    </s:row>
    <s:row r="198">
      <s:c r="A198" s="70" t="n"/>
      <s:c r="B198" s="67" t="n"/>
      <s:c r="C198" s="68" t="n"/>
      <s:c r="D198" s="68" t="n"/>
      <s:c r="E198" s="111" t="n"/>
      <s:c r="F198" s="109" t="str">
        <s:f>IF($A198="","",$C198*Inputs!$C$12)</s:f>
        <s:v/>
      </s:c>
      <s:c r="G198" s="69" t="str">
        <s:f>IF($A198="","",IF($H198="Funded",$F198,0))</s:f>
        <s:v/>
      </s:c>
      <s:c r="H198" s="67" t="n"/>
      <s:c r="I198" s="112" t="str">
        <s:f>IF($A198="","",EOMONTH($A198,0))</s:f>
        <s:v/>
      </s:c>
      <s:c r="J198" s="67" t="n"/>
      <s:c r="K198" s="67" t="n"/>
    </s:row>
    <s:row r="199">
      <s:c r="A199" s="77" t="n"/>
      <s:c r="B199" s="65" t="n"/>
      <s:c r="C199" s="76" t="n"/>
      <s:c r="D199" s="76" t="n"/>
      <s:c r="E199" s="108" t="n"/>
      <s:c r="F199" s="109" t="str">
        <s:f>IF($A199="","",$C199*Inputs!$C$12)</s:f>
        <s:v/>
      </s:c>
      <s:c r="G199" s="59" t="str">
        <s:f>IF($A199="","",IF($H199="Funded",$F199,0))</s:f>
        <s:v/>
      </s:c>
      <s:c r="H199" s="65" t="n"/>
      <s:c r="I199" s="110" t="str">
        <s:f>IF($A199="","",EOMONTH($A199,0))</s:f>
        <s:v/>
      </s:c>
      <s:c r="J199" s="65" t="n"/>
      <s:c r="K199" s="65" t="n"/>
    </s:row>
    <s:row r="200">
      <s:c r="A200" s="70" t="n"/>
      <s:c r="B200" s="67" t="n"/>
      <s:c r="C200" s="68" t="n"/>
      <s:c r="D200" s="68" t="n"/>
      <s:c r="E200" s="111" t="n"/>
      <s:c r="F200" s="109" t="str">
        <s:f>IF($A200="","",$C200*Inputs!$C$12)</s:f>
        <s:v/>
      </s:c>
      <s:c r="G200" s="69" t="str">
        <s:f>IF($A200="","",IF($H200="Funded",$F200,0))</s:f>
        <s:v/>
      </s:c>
      <s:c r="H200" s="67" t="n"/>
      <s:c r="I200" s="112" t="str">
        <s:f>IF($A200="","",EOMONTH($A200,0))</s:f>
        <s:v/>
      </s:c>
      <s:c r="J200" s="67" t="n"/>
      <s:c r="K200" s="67" t="n"/>
    </s:row>
    <s:row r="201">
      <s:c r="A201" s="77" t="n"/>
      <s:c r="B201" s="65" t="n"/>
      <s:c r="C201" s="76" t="n"/>
      <s:c r="D201" s="76" t="n"/>
      <s:c r="E201" s="108" t="n"/>
      <s:c r="F201" s="109" t="str">
        <s:f>IF($A201="","",$C201*Inputs!$C$12)</s:f>
        <s:v/>
      </s:c>
      <s:c r="G201" s="59" t="str">
        <s:f>IF($A201="","",IF($H201="Funded",$F201,0))</s:f>
        <s:v/>
      </s:c>
      <s:c r="H201" s="65" t="n"/>
      <s:c r="I201" s="110" t="str">
        <s:f>IF($A201="","",EOMONTH($A201,0))</s:f>
        <s:v/>
      </s:c>
      <s:c r="J201" s="65" t="n"/>
      <s:c r="K201" s="65" t="n"/>
    </s:row>
    <s:row r="202">
      <s:c r="A202" s="70" t="n"/>
      <s:c r="B202" s="67" t="n"/>
      <s:c r="C202" s="68" t="n"/>
      <s:c r="D202" s="68" t="n"/>
      <s:c r="E202" s="111" t="n"/>
      <s:c r="F202" s="109" t="str">
        <s:f>IF($A202="","",$C202*Inputs!$C$12)</s:f>
        <s:v/>
      </s:c>
      <s:c r="G202" s="69" t="str">
        <s:f>IF($A202="","",IF($H202="Funded",$F202,0))</s:f>
        <s:v/>
      </s:c>
      <s:c r="H202" s="67" t="n"/>
      <s:c r="I202" s="112" t="str">
        <s:f>IF($A202="","",EOMONTH($A202,0))</s:f>
        <s:v/>
      </s:c>
      <s:c r="J202" s="67" t="n"/>
      <s:c r="K202" s="67" t="n"/>
    </s:row>
    <s:row r="203">
      <s:c r="A203" s="77" t="n"/>
      <s:c r="B203" s="65" t="n"/>
      <s:c r="C203" s="76" t="n"/>
      <s:c r="D203" s="76" t="n"/>
      <s:c r="E203" s="108" t="n"/>
      <s:c r="F203" s="109" t="str">
        <s:f>IF($A203="","",$C203*Inputs!$C$12)</s:f>
        <s:v/>
      </s:c>
      <s:c r="G203" s="59" t="str">
        <s:f>IF($A203="","",IF($H203="Funded",$F203,0))</s:f>
        <s:v/>
      </s:c>
      <s:c r="H203" s="65" t="n"/>
      <s:c r="I203" s="110" t="str">
        <s:f>IF($A203="","",EOMONTH($A203,0))</s:f>
        <s:v/>
      </s:c>
      <s:c r="J203" s="65" t="n"/>
      <s:c r="K203" s="65" t="n"/>
    </s:row>
    <s:row r="204">
      <s:c r="A204" s="70" t="n"/>
      <s:c r="B204" s="67" t="n"/>
      <s:c r="C204" s="68" t="n"/>
      <s:c r="D204" s="68" t="n"/>
      <s:c r="E204" s="111" t="n"/>
      <s:c r="F204" s="109" t="str">
        <s:f>IF($A204="","",$C204*Inputs!$C$12)</s:f>
        <s:v/>
      </s:c>
      <s:c r="G204" s="69" t="str">
        <s:f>IF($A204="","",IF($H204="Funded",$F204,0))</s:f>
        <s:v/>
      </s:c>
      <s:c r="H204" s="67" t="n"/>
      <s:c r="I204" s="112" t="str">
        <s:f>IF($A204="","",EOMONTH($A204,0))</s:f>
        <s:v/>
      </s:c>
      <s:c r="J204" s="67" t="n"/>
      <s:c r="K204" s="67" t="n"/>
    </s:row>
    <s:row r="205">
      <s:c r="A205" s="77" t="n"/>
      <s:c r="B205" s="65" t="n"/>
      <s:c r="C205" s="76" t="n"/>
      <s:c r="D205" s="76" t="n"/>
      <s:c r="E205" s="108" t="n"/>
      <s:c r="F205" s="109" t="str">
        <s:f>IF($A205="","",$C205*Inputs!$C$12)</s:f>
        <s:v/>
      </s:c>
      <s:c r="G205" s="59" t="str">
        <s:f>IF($A205="","",IF($H205="Funded",$F205,0))</s:f>
        <s:v/>
      </s:c>
      <s:c r="H205" s="65" t="n"/>
      <s:c r="I205" s="110" t="str">
        <s:f>IF($A205="","",EOMONTH($A205,0))</s:f>
        <s:v/>
      </s:c>
      <s:c r="J205" s="65" t="n"/>
      <s:c r="K205" s="65" t="n"/>
    </s:row>
    <s:row r="206">
      <s:c r="A206" s="70" t="n"/>
      <s:c r="B206" s="67" t="n"/>
      <s:c r="C206" s="68" t="n"/>
      <s:c r="D206" s="68" t="n"/>
      <s:c r="E206" s="111" t="n"/>
      <s:c r="F206" s="109" t="str">
        <s:f>IF($A206="","",$C206*Inputs!$C$12)</s:f>
        <s:v/>
      </s:c>
      <s:c r="G206" s="69" t="str">
        <s:f>IF($A206="","",IF($H206="Funded",$F206,0))</s:f>
        <s:v/>
      </s:c>
      <s:c r="H206" s="67" t="n"/>
      <s:c r="I206" s="112" t="str">
        <s:f>IF($A206="","",EOMONTH($A206,0))</s:f>
        <s:v/>
      </s:c>
      <s:c r="J206" s="67" t="n"/>
      <s:c r="K206" s="67" t="n"/>
    </s:row>
    <s:row r="207">
      <s:c r="A207" s="77" t="n"/>
      <s:c r="B207" s="65" t="n"/>
      <s:c r="C207" s="76" t="n"/>
      <s:c r="D207" s="76" t="n"/>
      <s:c r="E207" s="108" t="n"/>
      <s:c r="F207" s="109" t="str">
        <s:f>IF($A207="","",$C207*Inputs!$C$12)</s:f>
        <s:v/>
      </s:c>
      <s:c r="G207" s="59" t="str">
        <s:f>IF($A207="","",IF($H207="Funded",$F207,0))</s:f>
        <s:v/>
      </s:c>
      <s:c r="H207" s="65" t="n"/>
      <s:c r="I207" s="110" t="str">
        <s:f>IF($A207="","",EOMONTH($A207,0))</s:f>
        <s:v/>
      </s:c>
      <s:c r="J207" s="65" t="n"/>
      <s:c r="K207" s="65" t="n"/>
    </s:row>
    <s:row r="208">
      <s:c r="A208" s="70" t="n"/>
      <s:c r="B208" s="67" t="n"/>
      <s:c r="C208" s="68" t="n"/>
      <s:c r="D208" s="68" t="n"/>
      <s:c r="E208" s="111" t="n"/>
      <s:c r="F208" s="109" t="str">
        <s:f>IF($A208="","",$C208*Inputs!$C$12)</s:f>
        <s:v/>
      </s:c>
      <s:c r="G208" s="69" t="str">
        <s:f>IF($A208="","",IF($H208="Funded",$F208,0))</s:f>
        <s:v/>
      </s:c>
      <s:c r="H208" s="67" t="n"/>
      <s:c r="I208" s="112" t="str">
        <s:f>IF($A208="","",EOMONTH($A208,0))</s:f>
        <s:v/>
      </s:c>
      <s:c r="J208" s="67" t="n"/>
      <s:c r="K208" s="67" t="n"/>
    </s:row>
  </s:sheetData>
  <s:mergeCells count="5">
    <s:mergeCell ref="A6:K6"/>
    <s:mergeCell ref="A2:K2"/>
    <s:mergeCell ref="D4:E4"/>
    <s:mergeCell ref="D5:K5"/>
    <s:mergeCell ref="A1:K1"/>
  </s:mergeCells>
  <s:dataValidations count="1">
    <s:dataValidation sqref="H9:H208" showDropDown="0" showInputMessage="0" showErrorMessage="0" allowBlank="1" type="list">
      <s:formula1>"Funded,Locked,Pre-App,Lead,Lost"</s:formula1>
    </s:dataValidation>
  </s:dataValidations>
  <s:pageMargins left="0.75" right="0.75" top="1" bottom="1" header="0.5" footer="0.5"/>
  <s:legacyDrawing r:id="anysvml"/>
</s:worksheet>
</file>

<file path=xl/worksheets/sheet12.xml><?xml version="1.0" encoding="utf-8"?>
<s:worksheet xmlns:s="http://schemas.openxmlformats.org/spreadsheetml/2006/main">
  <s:sheetPr>
    <s:tabColor rgb="00C00000"/>
    <s:outlinePr summaryBelow="1" summaryRight="1"/>
    <s:pageSetUpPr/>
  </s:sheetPr>
  <s:dimension ref="A1:K33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4" customWidth="1" min="2" max="2"/>
    <s:col width="13" customWidth="1" min="3" max="3"/>
    <s:col width="15" customWidth="1" min="4" max="4"/>
    <s:col width="14" customWidth="1" min="5" max="5"/>
    <s:col width="14" customWidth="1" min="6" max="6"/>
    <s:col width="14" customWidth="1" min="7" max="7"/>
    <s:col width="12" customWidth="1" min="8" max="8"/>
    <s:col width="13" customWidth="1" min="9" max="9"/>
    <s:col width="14" customWidth="1" min="10" max="10"/>
    <s:col width="30" customWidth="1" min="11" max="11"/>
  </s:cols>
  <s:sheetData>
    <s:row r="1" ht="26" customHeight="1">
      <s:c r="A1" s="1" t="inlineStr">
        <s:is>
          <s:t>DRAW PAYBACK  —  24 months, and exactly when you get your first real commission check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  <s:c r="K1" s="2" t="n"/>
    </s:row>
    <s:row r="2" ht="16" customHeight="1">
      <s:c r="A2" s="3" t="inlineStr">
        <s:is>
          <s:t>Read column F: while it is above zero your take-home is frozen at the net draw. Column J is what actually lands in your bank.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  <s:c r="K2" s="2" t="n"/>
    </s:row>
    <s:row r="4">
      <s:c r="A4" s="12" t="inlineStr">
        <s:is>
          <s:t>Balance today</s:t>
        </s:is>
      </s:c>
      <s:c r="B4" s="29">
        <s:f>Inputs!$C$17</s:f>
        <s:v>16500.0</s:v>
      </s:c>
      <s:c r="C4" s="12" t="inlineStr">
        <s:is>
          <s:t>Clears in</s:t>
        </s:is>
      </s:c>
      <s:c r="D4" s="13" t="str">
        <s:f>IFERROR(MATCH(0,F9:F32,0)&amp;" months","not within 24 mo")</s:f>
        <s:v>8 months</s:v>
      </s:c>
      <s:c r="E4" s="12" t="inlineStr">
        <s:is>
          <s:t>First month you get paid above the draw</s:t>
        </s:is>
      </s:c>
      <s:c r="H4" s="113">
        <s:f>IFERROR(INDEX(A9:A32,MATCH(0,F9:F32,0)),"not within 24 months")</s:f>
        <s:v>46507.0</s:v>
      </s:c>
    </s:row>
    <s:row r="5">
      <s:c r="A5" s="56" t="str">
        <s:f>"At your planned pace of "&amp;TEXT(Inputs!$C$20,"0.0")&amp;" loans/month you earn "&amp;TEXT(Inputs!$C$21,"$#,##0")&amp;" while the draw adds "&amp;TEXT(Inputs!$C$9,"$#,##0")&amp;" - so the balance moves "&amp;TEXT(Inputs!$C$22,"$#,##0")&amp;" a month."</s:f>
        <s:v>At your planned pace of 2.0 loans/month you earn $5,250 while the draw adds $3,000 - so the balance moves $2,250 a month.</s:v>
      </s:c>
    </s:row>
    <s:row r="8" ht="30" customHeight="1">
      <s:c r="A8" s="16" t="inlineStr">
        <s:is>
          <s:t>Month</s:t>
        </s:is>
      </s:c>
      <s:c r="B8" s="16" t="inlineStr">
        <s:is>
          <s:t>Opening
balance</s:t>
        </s:is>
      </s:c>
      <s:c r="C8" s="16" t="inlineStr">
        <s:is>
          <s:t>Draw added
(gross)</s:t>
        </s:is>
      </s:c>
      <s:c r="D8" s="16" t="inlineStr">
        <s:is>
          <s:t>Commission
earned</s:t>
        </s:is>
      </s:c>
      <s:c r="E8" s="16" t="inlineStr">
        <s:is>
          <s:t>Applied to
balance</s:t>
        </s:is>
      </s:c>
      <s:c r="F8" s="16" t="inlineStr">
        <s:is>
          <s:t>Closing
balance</s:t>
        </s:is>
      </s:c>
      <s:c r="G8" s="16" t="inlineStr">
        <s:is>
          <s:t>Paid to you
above draw</s:t>
        </s:is>
      </s:c>
      <s:c r="H8" s="16" t="inlineStr">
        <s:is>
          <s:t>Withheld</s:t>
        </s:is>
      </s:c>
      <s:c r="I8" s="16" t="inlineStr">
        <s:is>
          <s:t>Net draw
to you</s:t>
        </s:is>
      </s:c>
      <s:c r="J8" s="16" t="inlineStr">
        <s:is>
          <s:t>CASH TO YOU
this month</s:t>
        </s:is>
      </s:c>
      <s:c r="K8" s="16" t="inlineStr">
        <s:is>
          <s:t>What's happening</s:t>
        </s:is>
      </s:c>
    </s:row>
    <s:row r="9">
      <s:c r="A9" s="110">
        <s:f>EOMONTH(Inputs!$C$59,0)</s:f>
        <s:v>46295.0</s:v>
      </s:c>
      <s:c r="B9" s="59">
        <s:f>Inputs!$C$17</s:f>
        <s:v>16500.0</s:v>
      </s:c>
      <s:c r="C9" s="59">
        <s:f>Inputs!$C$9</s:f>
        <s:v>3000.0</s:v>
      </s:c>
      <s:c r="D9" s="83">
        <s:f>IF(SUMIFS('Deal Log'!$F$9:$F$208,'Deal Log'!$I$9:$I$208,A9,'Deal Log'!$H$9:$H$208,"Funded")&gt;0,SUMIFS('Deal Log'!$F$9:$F$208,'Deal Log'!$I$9:$I$208,A9,'Deal Log'!$H$9:$H$208,"Funded"),Inputs!$C$21)</s:f>
        <s:v>5250.0</s:v>
      </s:c>
      <s:c r="E9" s="83">
        <s:f>MIN(B9+C9,D9)</s:f>
        <s:v>5250.0</s:v>
      </s:c>
      <s:c r="F9" s="114">
        <s:f>MAX(0,B9+C9-D9)</s:f>
        <s:v>14250.0</s:v>
      </s:c>
      <s:c r="G9" s="83">
        <s:f>MAX(0,D9-(B9+C9))</s:f>
        <s:v>0.0</s:v>
      </s:c>
      <s:c r="H9" s="83">
        <s:f>G9*Inputs!$C$13</s:f>
        <s:v>0.0</s:v>
      </s:c>
      <s:c r="I9" s="59">
        <s:f>Inputs!$C$10</s:f>
        <s:v>2463.16</s:v>
      </s:c>
      <s:c r="J9" s="109">
        <s:f>I9+G9-H9</s:f>
        <s:v>2463.16</s:v>
      </s:c>
      <s:c r="K9" s="115" t="str">
        <s:f>IF(F9&gt;B9,"Balance still growing",IF(F9&gt;0,"Working it down",IF(G9&gt;0,"CLEARED - real income now","Cleared")))</s:f>
        <s:v>Working it down</s:v>
      </s:c>
    </s:row>
    <s:row r="10">
      <s:c r="A10" s="112">
        <s:f>EOMONTH(Inputs!$C$59,1)</s:f>
        <s:v>46326.0</s:v>
      </s:c>
      <s:c r="B10" s="80">
        <s:f>F9</s:f>
        <s:v>14250.0</s:v>
      </s:c>
      <s:c r="C10" s="69">
        <s:f>Inputs!$C$9</s:f>
        <s:v>3000.0</s:v>
      </s:c>
      <s:c r="D10" s="80">
        <s:f>IF(SUMIFS('Deal Log'!$F$9:$F$208,'Deal Log'!$I$9:$I$208,A10,'Deal Log'!$H$9:$H$208,"Funded")&gt;0,SUMIFS('Deal Log'!$F$9:$F$208,'Deal Log'!$I$9:$I$208,A10,'Deal Log'!$H$9:$H$208,"Funded"),Inputs!$C$21)</s:f>
        <s:v>5250.0</s:v>
      </s:c>
      <s:c r="E10" s="80">
        <s:f>MIN(B10+C10,D10)</s:f>
        <s:v>5250.0</s:v>
      </s:c>
      <s:c r="F10" s="116">
        <s:f>MAX(0,B10+C10-D10)</s:f>
        <s:v>12000.0</s:v>
      </s:c>
      <s:c r="G10" s="80">
        <s:f>MAX(0,D10-(B10+C10))</s:f>
        <s:v>0.0</s:v>
      </s:c>
      <s:c r="H10" s="80">
        <s:f>G10*Inputs!$C$13</s:f>
        <s:v>0.0</s:v>
      </s:c>
      <s:c r="I10" s="69">
        <s:f>Inputs!$C$10</s:f>
        <s:v>2463.16</s:v>
      </s:c>
      <s:c r="J10" s="109">
        <s:f>I10+G10-H10</s:f>
        <s:v>2463.16</s:v>
      </s:c>
      <s:c r="K10" s="117" t="str">
        <s:f>IF(F10&gt;B10,"Balance still growing",IF(F10&gt;0,"Working it down",IF(G10&gt;0,"CLEARED - real income now","Cleared")))</s:f>
        <s:v>Working it down</s:v>
      </s:c>
    </s:row>
    <s:row r="11">
      <s:c r="A11" s="110">
        <s:f>EOMONTH(Inputs!$C$59,2)</s:f>
        <s:v>46356.0</s:v>
      </s:c>
      <s:c r="B11" s="83">
        <s:f>F10</s:f>
        <s:v>12000.0</s:v>
      </s:c>
      <s:c r="C11" s="59">
        <s:f>Inputs!$C$9</s:f>
        <s:v>3000.0</s:v>
      </s:c>
      <s:c r="D11" s="83">
        <s:f>IF(SUMIFS('Deal Log'!$F$9:$F$208,'Deal Log'!$I$9:$I$208,A11,'Deal Log'!$H$9:$H$208,"Funded")&gt;0,SUMIFS('Deal Log'!$F$9:$F$208,'Deal Log'!$I$9:$I$208,A11,'Deal Log'!$H$9:$H$208,"Funded"),Inputs!$C$21)</s:f>
        <s:v>5250.0</s:v>
      </s:c>
      <s:c r="E11" s="83">
        <s:f>MIN(B11+C11,D11)</s:f>
        <s:v>5250.0</s:v>
      </s:c>
      <s:c r="F11" s="114">
        <s:f>MAX(0,B11+C11-D11)</s:f>
        <s:v>9750.0</s:v>
      </s:c>
      <s:c r="G11" s="83">
        <s:f>MAX(0,D11-(B11+C11))</s:f>
        <s:v>0.0</s:v>
      </s:c>
      <s:c r="H11" s="83">
        <s:f>G11*Inputs!$C$13</s:f>
        <s:v>0.0</s:v>
      </s:c>
      <s:c r="I11" s="59">
        <s:f>Inputs!$C$10</s:f>
        <s:v>2463.16</s:v>
      </s:c>
      <s:c r="J11" s="109">
        <s:f>I11+G11-H11</s:f>
        <s:v>2463.16</s:v>
      </s:c>
      <s:c r="K11" s="115" t="str">
        <s:f>IF(F11&gt;B11,"Balance still growing",IF(F11&gt;0,"Working it down",IF(G11&gt;0,"CLEARED - real income now","Cleared")))</s:f>
        <s:v>Working it down</s:v>
      </s:c>
    </s:row>
    <s:row r="12">
      <s:c r="A12" s="112">
        <s:f>EOMONTH(Inputs!$C$59,3)</s:f>
        <s:v>46387.0</s:v>
      </s:c>
      <s:c r="B12" s="80">
        <s:f>F11</s:f>
        <s:v>9750.0</s:v>
      </s:c>
      <s:c r="C12" s="69">
        <s:f>Inputs!$C$9</s:f>
        <s:v>3000.0</s:v>
      </s:c>
      <s:c r="D12" s="80">
        <s:f>IF(SUMIFS('Deal Log'!$F$9:$F$208,'Deal Log'!$I$9:$I$208,A12,'Deal Log'!$H$9:$H$208,"Funded")&gt;0,SUMIFS('Deal Log'!$F$9:$F$208,'Deal Log'!$I$9:$I$208,A12,'Deal Log'!$H$9:$H$208,"Funded"),Inputs!$C$21)</s:f>
        <s:v>5250.0</s:v>
      </s:c>
      <s:c r="E12" s="80">
        <s:f>MIN(B12+C12,D12)</s:f>
        <s:v>5250.0</s:v>
      </s:c>
      <s:c r="F12" s="116">
        <s:f>MAX(0,B12+C12-D12)</s:f>
        <s:v>7500.0</s:v>
      </s:c>
      <s:c r="G12" s="80">
        <s:f>MAX(0,D12-(B12+C12))</s:f>
        <s:v>0.0</s:v>
      </s:c>
      <s:c r="H12" s="80">
        <s:f>G12*Inputs!$C$13</s:f>
        <s:v>0.0</s:v>
      </s:c>
      <s:c r="I12" s="69">
        <s:f>Inputs!$C$10</s:f>
        <s:v>2463.16</s:v>
      </s:c>
      <s:c r="J12" s="109">
        <s:f>I12+G12-H12</s:f>
        <s:v>2463.16</s:v>
      </s:c>
      <s:c r="K12" s="117" t="str">
        <s:f>IF(F12&gt;B12,"Balance still growing",IF(F12&gt;0,"Working it down",IF(G12&gt;0,"CLEARED - real income now","Cleared")))</s:f>
        <s:v>Working it down</s:v>
      </s:c>
    </s:row>
    <s:row r="13">
      <s:c r="A13" s="110">
        <s:f>EOMONTH(Inputs!$C$59,4)</s:f>
        <s:v>46418.0</s:v>
      </s:c>
      <s:c r="B13" s="83">
        <s:f>F12</s:f>
        <s:v>7500.0</s:v>
      </s:c>
      <s:c r="C13" s="59">
        <s:f>Inputs!$C$9</s:f>
        <s:v>3000.0</s:v>
      </s:c>
      <s:c r="D13" s="83">
        <s:f>IF(SUMIFS('Deal Log'!$F$9:$F$208,'Deal Log'!$I$9:$I$208,A13,'Deal Log'!$H$9:$H$208,"Funded")&gt;0,SUMIFS('Deal Log'!$F$9:$F$208,'Deal Log'!$I$9:$I$208,A13,'Deal Log'!$H$9:$H$208,"Funded"),Inputs!$C$21)</s:f>
        <s:v>5250.0</s:v>
      </s:c>
      <s:c r="E13" s="83">
        <s:f>MIN(B13+C13,D13)</s:f>
        <s:v>5250.0</s:v>
      </s:c>
      <s:c r="F13" s="114">
        <s:f>MAX(0,B13+C13-D13)</s:f>
        <s:v>5250.0</s:v>
      </s:c>
      <s:c r="G13" s="83">
        <s:f>MAX(0,D13-(B13+C13))</s:f>
        <s:v>0.0</s:v>
      </s:c>
      <s:c r="H13" s="83">
        <s:f>G13*Inputs!$C$13</s:f>
        <s:v>0.0</s:v>
      </s:c>
      <s:c r="I13" s="59">
        <s:f>Inputs!$C$10</s:f>
        <s:v>2463.16</s:v>
      </s:c>
      <s:c r="J13" s="109">
        <s:f>I13+G13-H13</s:f>
        <s:v>2463.16</s:v>
      </s:c>
      <s:c r="K13" s="115" t="str">
        <s:f>IF(F13&gt;B13,"Balance still growing",IF(F13&gt;0,"Working it down",IF(G13&gt;0,"CLEARED - real income now","Cleared")))</s:f>
        <s:v>Working it down</s:v>
      </s:c>
    </s:row>
    <s:row r="14">
      <s:c r="A14" s="112">
        <s:f>EOMONTH(Inputs!$C$59,5)</s:f>
        <s:v>46446.0</s:v>
      </s:c>
      <s:c r="B14" s="80">
        <s:f>F13</s:f>
        <s:v>5250.0</s:v>
      </s:c>
      <s:c r="C14" s="69">
        <s:f>Inputs!$C$9</s:f>
        <s:v>3000.0</s:v>
      </s:c>
      <s:c r="D14" s="80">
        <s:f>IF(SUMIFS('Deal Log'!$F$9:$F$208,'Deal Log'!$I$9:$I$208,A14,'Deal Log'!$H$9:$H$208,"Funded")&gt;0,SUMIFS('Deal Log'!$F$9:$F$208,'Deal Log'!$I$9:$I$208,A14,'Deal Log'!$H$9:$H$208,"Funded"),Inputs!$C$21)</s:f>
        <s:v>5250.0</s:v>
      </s:c>
      <s:c r="E14" s="80">
        <s:f>MIN(B14+C14,D14)</s:f>
        <s:v>5250.0</s:v>
      </s:c>
      <s:c r="F14" s="116">
        <s:f>MAX(0,B14+C14-D14)</s:f>
        <s:v>3000.0</s:v>
      </s:c>
      <s:c r="G14" s="80">
        <s:f>MAX(0,D14-(B14+C14))</s:f>
        <s:v>0.0</s:v>
      </s:c>
      <s:c r="H14" s="80">
        <s:f>G14*Inputs!$C$13</s:f>
        <s:v>0.0</s:v>
      </s:c>
      <s:c r="I14" s="69">
        <s:f>Inputs!$C$10</s:f>
        <s:v>2463.16</s:v>
      </s:c>
      <s:c r="J14" s="109">
        <s:f>I14+G14-H14</s:f>
        <s:v>2463.16</s:v>
      </s:c>
      <s:c r="K14" s="117" t="str">
        <s:f>IF(F14&gt;B14,"Balance still growing",IF(F14&gt;0,"Working it down",IF(G14&gt;0,"CLEARED - real income now","Cleared")))</s:f>
        <s:v>Working it down</s:v>
      </s:c>
    </s:row>
    <s:row r="15">
      <s:c r="A15" s="110">
        <s:f>EOMONTH(Inputs!$C$59,6)</s:f>
        <s:v>46477.0</s:v>
      </s:c>
      <s:c r="B15" s="83">
        <s:f>F14</s:f>
        <s:v>3000.0</s:v>
      </s:c>
      <s:c r="C15" s="59">
        <s:f>Inputs!$C$9</s:f>
        <s:v>3000.0</s:v>
      </s:c>
      <s:c r="D15" s="83">
        <s:f>IF(SUMIFS('Deal Log'!$F$9:$F$208,'Deal Log'!$I$9:$I$208,A15,'Deal Log'!$H$9:$H$208,"Funded")&gt;0,SUMIFS('Deal Log'!$F$9:$F$208,'Deal Log'!$I$9:$I$208,A15,'Deal Log'!$H$9:$H$208,"Funded"),Inputs!$C$21)</s:f>
        <s:v>5250.0</s:v>
      </s:c>
      <s:c r="E15" s="83">
        <s:f>MIN(B15+C15,D15)</s:f>
        <s:v>5250.0</s:v>
      </s:c>
      <s:c r="F15" s="114">
        <s:f>MAX(0,B15+C15-D15)</s:f>
        <s:v>750.0</s:v>
      </s:c>
      <s:c r="G15" s="83">
        <s:f>MAX(0,D15-(B15+C15))</s:f>
        <s:v>0.0</s:v>
      </s:c>
      <s:c r="H15" s="83">
        <s:f>G15*Inputs!$C$13</s:f>
        <s:v>0.0</s:v>
      </s:c>
      <s:c r="I15" s="59">
        <s:f>Inputs!$C$10</s:f>
        <s:v>2463.16</s:v>
      </s:c>
      <s:c r="J15" s="109">
        <s:f>I15+G15-H15</s:f>
        <s:v>2463.16</s:v>
      </s:c>
      <s:c r="K15" s="115" t="str">
        <s:f>IF(F15&gt;B15,"Balance still growing",IF(F15&gt;0,"Working it down",IF(G15&gt;0,"CLEARED - real income now","Cleared")))</s:f>
        <s:v>Working it down</s:v>
      </s:c>
    </s:row>
    <s:row r="16">
      <s:c r="A16" s="112">
        <s:f>EOMONTH(Inputs!$C$59,7)</s:f>
        <s:v>46507.0</s:v>
      </s:c>
      <s:c r="B16" s="80">
        <s:f>F15</s:f>
        <s:v>750.0</s:v>
      </s:c>
      <s:c r="C16" s="69">
        <s:f>Inputs!$C$9</s:f>
        <s:v>3000.0</s:v>
      </s:c>
      <s:c r="D16" s="80">
        <s:f>IF(SUMIFS('Deal Log'!$F$9:$F$208,'Deal Log'!$I$9:$I$208,A16,'Deal Log'!$H$9:$H$208,"Funded")&gt;0,SUMIFS('Deal Log'!$F$9:$F$208,'Deal Log'!$I$9:$I$208,A16,'Deal Log'!$H$9:$H$208,"Funded"),Inputs!$C$21)</s:f>
        <s:v>5250.0</s:v>
      </s:c>
      <s:c r="E16" s="80">
        <s:f>MIN(B16+C16,D16)</s:f>
        <s:v>3750.0</s:v>
      </s:c>
      <s:c r="F16" s="116">
        <s:f>MAX(0,B16+C16-D16)</s:f>
        <s:v>0.0</s:v>
      </s:c>
      <s:c r="G16" s="80">
        <s:f>MAX(0,D16-(B16+C16))</s:f>
        <s:v>1500.0</s:v>
      </s:c>
      <s:c r="H16" s="80">
        <s:f>G16*Inputs!$C$13</s:f>
        <s:v>330.0</s:v>
      </s:c>
      <s:c r="I16" s="69">
        <s:f>Inputs!$C$10</s:f>
        <s:v>2463.16</s:v>
      </s:c>
      <s:c r="J16" s="109">
        <s:f>I16+G16-H16</s:f>
        <s:v>3633.16</s:v>
      </s:c>
      <s:c r="K16" s="117" t="str">
        <s:f>IF(F16&gt;B16,"Balance still growing",IF(F16&gt;0,"Working it down",IF(G16&gt;0,"CLEARED - real income now","Cleared")))</s:f>
        <s:v>CLEARED - real income now</s:v>
      </s:c>
    </s:row>
    <s:row r="17">
      <s:c r="A17" s="110">
        <s:f>EOMONTH(Inputs!$C$59,8)</s:f>
        <s:v>46538.0</s:v>
      </s:c>
      <s:c r="B17" s="83">
        <s:f>F16</s:f>
        <s:v>0.0</s:v>
      </s:c>
      <s:c r="C17" s="59">
        <s:f>Inputs!$C$9</s:f>
        <s:v>3000.0</s:v>
      </s:c>
      <s:c r="D17" s="83">
        <s:f>IF(SUMIFS('Deal Log'!$F$9:$F$208,'Deal Log'!$I$9:$I$208,A17,'Deal Log'!$H$9:$H$208,"Funded")&gt;0,SUMIFS('Deal Log'!$F$9:$F$208,'Deal Log'!$I$9:$I$208,A17,'Deal Log'!$H$9:$H$208,"Funded"),Inputs!$C$21)</s:f>
        <s:v>5250.0</s:v>
      </s:c>
      <s:c r="E17" s="83">
        <s:f>MIN(B17+C17,D17)</s:f>
        <s:v>3000.0</s:v>
      </s:c>
      <s:c r="F17" s="114">
        <s:f>MAX(0,B17+C17-D17)</s:f>
        <s:v>0.0</s:v>
      </s:c>
      <s:c r="G17" s="83">
        <s:f>MAX(0,D17-(B17+C17))</s:f>
        <s:v>2250.0</s:v>
      </s:c>
      <s:c r="H17" s="83">
        <s:f>G17*Inputs!$C$13</s:f>
        <s:v>495.0</s:v>
      </s:c>
      <s:c r="I17" s="59">
        <s:f>Inputs!$C$10</s:f>
        <s:v>2463.16</s:v>
      </s:c>
      <s:c r="J17" s="109">
        <s:f>I17+G17-H17</s:f>
        <s:v>4218.16</s:v>
      </s:c>
      <s:c r="K17" s="115" t="str">
        <s:f>IF(F17&gt;B17,"Balance still growing",IF(F17&gt;0,"Working it down",IF(G17&gt;0,"CLEARED - real income now","Cleared")))</s:f>
        <s:v>CLEARED - real income now</s:v>
      </s:c>
    </s:row>
    <s:row r="18">
      <s:c r="A18" s="112">
        <s:f>EOMONTH(Inputs!$C$59,9)</s:f>
        <s:v>46568.0</s:v>
      </s:c>
      <s:c r="B18" s="80">
        <s:f>F17</s:f>
        <s:v>0.0</s:v>
      </s:c>
      <s:c r="C18" s="69">
        <s:f>Inputs!$C$9</s:f>
        <s:v>3000.0</s:v>
      </s:c>
      <s:c r="D18" s="80">
        <s:f>IF(SUMIFS('Deal Log'!$F$9:$F$208,'Deal Log'!$I$9:$I$208,A18,'Deal Log'!$H$9:$H$208,"Funded")&gt;0,SUMIFS('Deal Log'!$F$9:$F$208,'Deal Log'!$I$9:$I$208,A18,'Deal Log'!$H$9:$H$208,"Funded"),Inputs!$C$21)</s:f>
        <s:v>5250.0</s:v>
      </s:c>
      <s:c r="E18" s="80">
        <s:f>MIN(B18+C18,D18)</s:f>
        <s:v>3000.0</s:v>
      </s:c>
      <s:c r="F18" s="116">
        <s:f>MAX(0,B18+C18-D18)</s:f>
        <s:v>0.0</s:v>
      </s:c>
      <s:c r="G18" s="80">
        <s:f>MAX(0,D18-(B18+C18))</s:f>
        <s:v>2250.0</s:v>
      </s:c>
      <s:c r="H18" s="80">
        <s:f>G18*Inputs!$C$13</s:f>
        <s:v>495.0</s:v>
      </s:c>
      <s:c r="I18" s="69">
        <s:f>Inputs!$C$10</s:f>
        <s:v>2463.16</s:v>
      </s:c>
      <s:c r="J18" s="109">
        <s:f>I18+G18-H18</s:f>
        <s:v>4218.16</s:v>
      </s:c>
      <s:c r="K18" s="117" t="str">
        <s:f>IF(F18&gt;B18,"Balance still growing",IF(F18&gt;0,"Working it down",IF(G18&gt;0,"CLEARED - real income now","Cleared")))</s:f>
        <s:v>CLEARED - real income now</s:v>
      </s:c>
    </s:row>
    <s:row r="19">
      <s:c r="A19" s="110">
        <s:f>EOMONTH(Inputs!$C$59,10)</s:f>
        <s:v>46599.0</s:v>
      </s:c>
      <s:c r="B19" s="83">
        <s:f>F18</s:f>
        <s:v>0.0</s:v>
      </s:c>
      <s:c r="C19" s="59">
        <s:f>Inputs!$C$9</s:f>
        <s:v>3000.0</s:v>
      </s:c>
      <s:c r="D19" s="83">
        <s:f>IF(SUMIFS('Deal Log'!$F$9:$F$208,'Deal Log'!$I$9:$I$208,A19,'Deal Log'!$H$9:$H$208,"Funded")&gt;0,SUMIFS('Deal Log'!$F$9:$F$208,'Deal Log'!$I$9:$I$208,A19,'Deal Log'!$H$9:$H$208,"Funded"),Inputs!$C$21)</s:f>
        <s:v>5250.0</s:v>
      </s:c>
      <s:c r="E19" s="83">
        <s:f>MIN(B19+C19,D19)</s:f>
        <s:v>3000.0</s:v>
      </s:c>
      <s:c r="F19" s="114">
        <s:f>MAX(0,B19+C19-D19)</s:f>
        <s:v>0.0</s:v>
      </s:c>
      <s:c r="G19" s="83">
        <s:f>MAX(0,D19-(B19+C19))</s:f>
        <s:v>2250.0</s:v>
      </s:c>
      <s:c r="H19" s="83">
        <s:f>G19*Inputs!$C$13</s:f>
        <s:v>495.0</s:v>
      </s:c>
      <s:c r="I19" s="59">
        <s:f>Inputs!$C$10</s:f>
        <s:v>2463.16</s:v>
      </s:c>
      <s:c r="J19" s="109">
        <s:f>I19+G19-H19</s:f>
        <s:v>4218.16</s:v>
      </s:c>
      <s:c r="K19" s="115" t="str">
        <s:f>IF(F19&gt;B19,"Balance still growing",IF(F19&gt;0,"Working it down",IF(G19&gt;0,"CLEARED - real income now","Cleared")))</s:f>
        <s:v>CLEARED - real income now</s:v>
      </s:c>
    </s:row>
    <s:row r="20">
      <s:c r="A20" s="112">
        <s:f>EOMONTH(Inputs!$C$59,11)</s:f>
        <s:v>46630.0</s:v>
      </s:c>
      <s:c r="B20" s="80">
        <s:f>F19</s:f>
        <s:v>0.0</s:v>
      </s:c>
      <s:c r="C20" s="69">
        <s:f>Inputs!$C$9</s:f>
        <s:v>3000.0</s:v>
      </s:c>
      <s:c r="D20" s="80">
        <s:f>IF(SUMIFS('Deal Log'!$F$9:$F$208,'Deal Log'!$I$9:$I$208,A20,'Deal Log'!$H$9:$H$208,"Funded")&gt;0,SUMIFS('Deal Log'!$F$9:$F$208,'Deal Log'!$I$9:$I$208,A20,'Deal Log'!$H$9:$H$208,"Funded"),Inputs!$C$21)</s:f>
        <s:v>5250.0</s:v>
      </s:c>
      <s:c r="E20" s="80">
        <s:f>MIN(B20+C20,D20)</s:f>
        <s:v>3000.0</s:v>
      </s:c>
      <s:c r="F20" s="116">
        <s:f>MAX(0,B20+C20-D20)</s:f>
        <s:v>0.0</s:v>
      </s:c>
      <s:c r="G20" s="80">
        <s:f>MAX(0,D20-(B20+C20))</s:f>
        <s:v>2250.0</s:v>
      </s:c>
      <s:c r="H20" s="80">
        <s:f>G20*Inputs!$C$13</s:f>
        <s:v>495.0</s:v>
      </s:c>
      <s:c r="I20" s="69">
        <s:f>Inputs!$C$10</s:f>
        <s:v>2463.16</s:v>
      </s:c>
      <s:c r="J20" s="109">
        <s:f>I20+G20-H20</s:f>
        <s:v>4218.16</s:v>
      </s:c>
      <s:c r="K20" s="117" t="str">
        <s:f>IF(F20&gt;B20,"Balance still growing",IF(F20&gt;0,"Working it down",IF(G20&gt;0,"CLEARED - real income now","Cleared")))</s:f>
        <s:v>CLEARED - real income now</s:v>
      </s:c>
    </s:row>
    <s:row r="21">
      <s:c r="A21" s="110">
        <s:f>EOMONTH(Inputs!$C$59,12)</s:f>
        <s:v>46660.0</s:v>
      </s:c>
      <s:c r="B21" s="83">
        <s:f>F20</s:f>
        <s:v>0.0</s:v>
      </s:c>
      <s:c r="C21" s="59">
        <s:f>Inputs!$C$9</s:f>
        <s:v>3000.0</s:v>
      </s:c>
      <s:c r="D21" s="83">
        <s:f>IF(SUMIFS('Deal Log'!$F$9:$F$208,'Deal Log'!$I$9:$I$208,A21,'Deal Log'!$H$9:$H$208,"Funded")&gt;0,SUMIFS('Deal Log'!$F$9:$F$208,'Deal Log'!$I$9:$I$208,A21,'Deal Log'!$H$9:$H$208,"Funded"),Inputs!$C$21)</s:f>
        <s:v>5250.0</s:v>
      </s:c>
      <s:c r="E21" s="83">
        <s:f>MIN(B21+C21,D21)</s:f>
        <s:v>3000.0</s:v>
      </s:c>
      <s:c r="F21" s="114">
        <s:f>MAX(0,B21+C21-D21)</s:f>
        <s:v>0.0</s:v>
      </s:c>
      <s:c r="G21" s="83">
        <s:f>MAX(0,D21-(B21+C21))</s:f>
        <s:v>2250.0</s:v>
      </s:c>
      <s:c r="H21" s="83">
        <s:f>G21*Inputs!$C$13</s:f>
        <s:v>495.0</s:v>
      </s:c>
      <s:c r="I21" s="59">
        <s:f>Inputs!$C$10</s:f>
        <s:v>2463.16</s:v>
      </s:c>
      <s:c r="J21" s="109">
        <s:f>I21+G21-H21</s:f>
        <s:v>4218.16</s:v>
      </s:c>
      <s:c r="K21" s="115" t="str">
        <s:f>IF(F21&gt;B21,"Balance still growing",IF(F21&gt;0,"Working it down",IF(G21&gt;0,"CLEARED - real income now","Cleared")))</s:f>
        <s:v>CLEARED - real income now</s:v>
      </s:c>
    </s:row>
    <s:row r="22">
      <s:c r="A22" s="112">
        <s:f>EOMONTH(Inputs!$C$59,13)</s:f>
        <s:v>46691.0</s:v>
      </s:c>
      <s:c r="B22" s="80">
        <s:f>F21</s:f>
        <s:v>0.0</s:v>
      </s:c>
      <s:c r="C22" s="69">
        <s:f>Inputs!$C$9</s:f>
        <s:v>3000.0</s:v>
      </s:c>
      <s:c r="D22" s="80">
        <s:f>IF(SUMIFS('Deal Log'!$F$9:$F$208,'Deal Log'!$I$9:$I$208,A22,'Deal Log'!$H$9:$H$208,"Funded")&gt;0,SUMIFS('Deal Log'!$F$9:$F$208,'Deal Log'!$I$9:$I$208,A22,'Deal Log'!$H$9:$H$208,"Funded"),Inputs!$C$21)</s:f>
        <s:v>5250.0</s:v>
      </s:c>
      <s:c r="E22" s="80">
        <s:f>MIN(B22+C22,D22)</s:f>
        <s:v>3000.0</s:v>
      </s:c>
      <s:c r="F22" s="116">
        <s:f>MAX(0,B22+C22-D22)</s:f>
        <s:v>0.0</s:v>
      </s:c>
      <s:c r="G22" s="80">
        <s:f>MAX(0,D22-(B22+C22))</s:f>
        <s:v>2250.0</s:v>
      </s:c>
      <s:c r="H22" s="80">
        <s:f>G22*Inputs!$C$13</s:f>
        <s:v>495.0</s:v>
      </s:c>
      <s:c r="I22" s="69">
        <s:f>Inputs!$C$10</s:f>
        <s:v>2463.16</s:v>
      </s:c>
      <s:c r="J22" s="109">
        <s:f>I22+G22-H22</s:f>
        <s:v>4218.16</s:v>
      </s:c>
      <s:c r="K22" s="117" t="str">
        <s:f>IF(F22&gt;B22,"Balance still growing",IF(F22&gt;0,"Working it down",IF(G22&gt;0,"CLEARED - real income now","Cleared")))</s:f>
        <s:v>CLEARED - real income now</s:v>
      </s:c>
    </s:row>
    <s:row r="23">
      <s:c r="A23" s="110">
        <s:f>EOMONTH(Inputs!$C$59,14)</s:f>
        <s:v>46721.0</s:v>
      </s:c>
      <s:c r="B23" s="83">
        <s:f>F22</s:f>
        <s:v>0.0</s:v>
      </s:c>
      <s:c r="C23" s="59">
        <s:f>Inputs!$C$9</s:f>
        <s:v>3000.0</s:v>
      </s:c>
      <s:c r="D23" s="83">
        <s:f>IF(SUMIFS('Deal Log'!$F$9:$F$208,'Deal Log'!$I$9:$I$208,A23,'Deal Log'!$H$9:$H$208,"Funded")&gt;0,SUMIFS('Deal Log'!$F$9:$F$208,'Deal Log'!$I$9:$I$208,A23,'Deal Log'!$H$9:$H$208,"Funded"),Inputs!$C$21)</s:f>
        <s:v>5250.0</s:v>
      </s:c>
      <s:c r="E23" s="83">
        <s:f>MIN(B23+C23,D23)</s:f>
        <s:v>3000.0</s:v>
      </s:c>
      <s:c r="F23" s="114">
        <s:f>MAX(0,B23+C23-D23)</s:f>
        <s:v>0.0</s:v>
      </s:c>
      <s:c r="G23" s="83">
        <s:f>MAX(0,D23-(B23+C23))</s:f>
        <s:v>2250.0</s:v>
      </s:c>
      <s:c r="H23" s="83">
        <s:f>G23*Inputs!$C$13</s:f>
        <s:v>495.0</s:v>
      </s:c>
      <s:c r="I23" s="59">
        <s:f>Inputs!$C$10</s:f>
        <s:v>2463.16</s:v>
      </s:c>
      <s:c r="J23" s="109">
        <s:f>I23+G23-H23</s:f>
        <s:v>4218.16</s:v>
      </s:c>
      <s:c r="K23" s="115" t="str">
        <s:f>IF(F23&gt;B23,"Balance still growing",IF(F23&gt;0,"Working it down",IF(G23&gt;0,"CLEARED - real income now","Cleared")))</s:f>
        <s:v>CLEARED - real income now</s:v>
      </s:c>
    </s:row>
    <s:row r="24">
      <s:c r="A24" s="112">
        <s:f>EOMONTH(Inputs!$C$59,15)</s:f>
        <s:v>46752.0</s:v>
      </s:c>
      <s:c r="B24" s="80">
        <s:f>F23</s:f>
        <s:v>0.0</s:v>
      </s:c>
      <s:c r="C24" s="69">
        <s:f>Inputs!$C$9</s:f>
        <s:v>3000.0</s:v>
      </s:c>
      <s:c r="D24" s="80">
        <s:f>IF(SUMIFS('Deal Log'!$F$9:$F$208,'Deal Log'!$I$9:$I$208,A24,'Deal Log'!$H$9:$H$208,"Funded")&gt;0,SUMIFS('Deal Log'!$F$9:$F$208,'Deal Log'!$I$9:$I$208,A24,'Deal Log'!$H$9:$H$208,"Funded"),Inputs!$C$21)</s:f>
        <s:v>5250.0</s:v>
      </s:c>
      <s:c r="E24" s="80">
        <s:f>MIN(B24+C24,D24)</s:f>
        <s:v>3000.0</s:v>
      </s:c>
      <s:c r="F24" s="116">
        <s:f>MAX(0,B24+C24-D24)</s:f>
        <s:v>0.0</s:v>
      </s:c>
      <s:c r="G24" s="80">
        <s:f>MAX(0,D24-(B24+C24))</s:f>
        <s:v>2250.0</s:v>
      </s:c>
      <s:c r="H24" s="80">
        <s:f>G24*Inputs!$C$13</s:f>
        <s:v>495.0</s:v>
      </s:c>
      <s:c r="I24" s="69">
        <s:f>Inputs!$C$10</s:f>
        <s:v>2463.16</s:v>
      </s:c>
      <s:c r="J24" s="109">
        <s:f>I24+G24-H24</s:f>
        <s:v>4218.16</s:v>
      </s:c>
      <s:c r="K24" s="117" t="str">
        <s:f>IF(F24&gt;B24,"Balance still growing",IF(F24&gt;0,"Working it down",IF(G24&gt;0,"CLEARED - real income now","Cleared")))</s:f>
        <s:v>CLEARED - real income now</s:v>
      </s:c>
    </s:row>
    <s:row r="25">
      <s:c r="A25" s="110">
        <s:f>EOMONTH(Inputs!$C$59,16)</s:f>
        <s:v>46783.0</s:v>
      </s:c>
      <s:c r="B25" s="83">
        <s:f>F24</s:f>
        <s:v>0.0</s:v>
      </s:c>
      <s:c r="C25" s="59">
        <s:f>Inputs!$C$9</s:f>
        <s:v>3000.0</s:v>
      </s:c>
      <s:c r="D25" s="83">
        <s:f>IF(SUMIFS('Deal Log'!$F$9:$F$208,'Deal Log'!$I$9:$I$208,A25,'Deal Log'!$H$9:$H$208,"Funded")&gt;0,SUMIFS('Deal Log'!$F$9:$F$208,'Deal Log'!$I$9:$I$208,A25,'Deal Log'!$H$9:$H$208,"Funded"),Inputs!$C$21)</s:f>
        <s:v>5250.0</s:v>
      </s:c>
      <s:c r="E25" s="83">
        <s:f>MIN(B25+C25,D25)</s:f>
        <s:v>3000.0</s:v>
      </s:c>
      <s:c r="F25" s="114">
        <s:f>MAX(0,B25+C25-D25)</s:f>
        <s:v>0.0</s:v>
      </s:c>
      <s:c r="G25" s="83">
        <s:f>MAX(0,D25-(B25+C25))</s:f>
        <s:v>2250.0</s:v>
      </s:c>
      <s:c r="H25" s="83">
        <s:f>G25*Inputs!$C$13</s:f>
        <s:v>495.0</s:v>
      </s:c>
      <s:c r="I25" s="59">
        <s:f>Inputs!$C$10</s:f>
        <s:v>2463.16</s:v>
      </s:c>
      <s:c r="J25" s="109">
        <s:f>I25+G25-H25</s:f>
        <s:v>4218.16</s:v>
      </s:c>
      <s:c r="K25" s="115" t="str">
        <s:f>IF(F25&gt;B25,"Balance still growing",IF(F25&gt;0,"Working it down",IF(G25&gt;0,"CLEARED - real income now","Cleared")))</s:f>
        <s:v>CLEARED - real income now</s:v>
      </s:c>
    </s:row>
    <s:row r="26">
      <s:c r="A26" s="112">
        <s:f>EOMONTH(Inputs!$C$59,17)</s:f>
        <s:v>46812.0</s:v>
      </s:c>
      <s:c r="B26" s="80">
        <s:f>F25</s:f>
        <s:v>0.0</s:v>
      </s:c>
      <s:c r="C26" s="69">
        <s:f>Inputs!$C$9</s:f>
        <s:v>3000.0</s:v>
      </s:c>
      <s:c r="D26" s="80">
        <s:f>IF(SUMIFS('Deal Log'!$F$9:$F$208,'Deal Log'!$I$9:$I$208,A26,'Deal Log'!$H$9:$H$208,"Funded")&gt;0,SUMIFS('Deal Log'!$F$9:$F$208,'Deal Log'!$I$9:$I$208,A26,'Deal Log'!$H$9:$H$208,"Funded"),Inputs!$C$21)</s:f>
        <s:v>5250.0</s:v>
      </s:c>
      <s:c r="E26" s="80">
        <s:f>MIN(B26+C26,D26)</s:f>
        <s:v>3000.0</s:v>
      </s:c>
      <s:c r="F26" s="116">
        <s:f>MAX(0,B26+C26-D26)</s:f>
        <s:v>0.0</s:v>
      </s:c>
      <s:c r="G26" s="80">
        <s:f>MAX(0,D26-(B26+C26))</s:f>
        <s:v>2250.0</s:v>
      </s:c>
      <s:c r="H26" s="80">
        <s:f>G26*Inputs!$C$13</s:f>
        <s:v>495.0</s:v>
      </s:c>
      <s:c r="I26" s="69">
        <s:f>Inputs!$C$10</s:f>
        <s:v>2463.16</s:v>
      </s:c>
      <s:c r="J26" s="109">
        <s:f>I26+G26-H26</s:f>
        <s:v>4218.16</s:v>
      </s:c>
      <s:c r="K26" s="117" t="str">
        <s:f>IF(F26&gt;B26,"Balance still growing",IF(F26&gt;0,"Working it down",IF(G26&gt;0,"CLEARED - real income now","Cleared")))</s:f>
        <s:v>CLEARED - real income now</s:v>
      </s:c>
    </s:row>
    <s:row r="27">
      <s:c r="A27" s="110">
        <s:f>EOMONTH(Inputs!$C$59,18)</s:f>
        <s:v>46843.0</s:v>
      </s:c>
      <s:c r="B27" s="83">
        <s:f>F26</s:f>
        <s:v>0.0</s:v>
      </s:c>
      <s:c r="C27" s="59">
        <s:f>Inputs!$C$9</s:f>
        <s:v>3000.0</s:v>
      </s:c>
      <s:c r="D27" s="83">
        <s:f>IF(SUMIFS('Deal Log'!$F$9:$F$208,'Deal Log'!$I$9:$I$208,A27,'Deal Log'!$H$9:$H$208,"Funded")&gt;0,SUMIFS('Deal Log'!$F$9:$F$208,'Deal Log'!$I$9:$I$208,A27,'Deal Log'!$H$9:$H$208,"Funded"),Inputs!$C$21)</s:f>
        <s:v>5250.0</s:v>
      </s:c>
      <s:c r="E27" s="83">
        <s:f>MIN(B27+C27,D27)</s:f>
        <s:v>3000.0</s:v>
      </s:c>
      <s:c r="F27" s="114">
        <s:f>MAX(0,B27+C27-D27)</s:f>
        <s:v>0.0</s:v>
      </s:c>
      <s:c r="G27" s="83">
        <s:f>MAX(0,D27-(B27+C27))</s:f>
        <s:v>2250.0</s:v>
      </s:c>
      <s:c r="H27" s="83">
        <s:f>G27*Inputs!$C$13</s:f>
        <s:v>495.0</s:v>
      </s:c>
      <s:c r="I27" s="59">
        <s:f>Inputs!$C$10</s:f>
        <s:v>2463.16</s:v>
      </s:c>
      <s:c r="J27" s="109">
        <s:f>I27+G27-H27</s:f>
        <s:v>4218.16</s:v>
      </s:c>
      <s:c r="K27" s="115" t="str">
        <s:f>IF(F27&gt;B27,"Balance still growing",IF(F27&gt;0,"Working it down",IF(G27&gt;0,"CLEARED - real income now","Cleared")))</s:f>
        <s:v>CLEARED - real income now</s:v>
      </s:c>
    </s:row>
    <s:row r="28">
      <s:c r="A28" s="112">
        <s:f>EOMONTH(Inputs!$C$59,19)</s:f>
        <s:v>46873.0</s:v>
      </s:c>
      <s:c r="B28" s="80">
        <s:f>F27</s:f>
        <s:v>0.0</s:v>
      </s:c>
      <s:c r="C28" s="69">
        <s:f>Inputs!$C$9</s:f>
        <s:v>3000.0</s:v>
      </s:c>
      <s:c r="D28" s="80">
        <s:f>IF(SUMIFS('Deal Log'!$F$9:$F$208,'Deal Log'!$I$9:$I$208,A28,'Deal Log'!$H$9:$H$208,"Funded")&gt;0,SUMIFS('Deal Log'!$F$9:$F$208,'Deal Log'!$I$9:$I$208,A28,'Deal Log'!$H$9:$H$208,"Funded"),Inputs!$C$21)</s:f>
        <s:v>5250.0</s:v>
      </s:c>
      <s:c r="E28" s="80">
        <s:f>MIN(B28+C28,D28)</s:f>
        <s:v>3000.0</s:v>
      </s:c>
      <s:c r="F28" s="116">
        <s:f>MAX(0,B28+C28-D28)</s:f>
        <s:v>0.0</s:v>
      </s:c>
      <s:c r="G28" s="80">
        <s:f>MAX(0,D28-(B28+C28))</s:f>
        <s:v>2250.0</s:v>
      </s:c>
      <s:c r="H28" s="80">
        <s:f>G28*Inputs!$C$13</s:f>
        <s:v>495.0</s:v>
      </s:c>
      <s:c r="I28" s="69">
        <s:f>Inputs!$C$10</s:f>
        <s:v>2463.16</s:v>
      </s:c>
      <s:c r="J28" s="109">
        <s:f>I28+G28-H28</s:f>
        <s:v>4218.16</s:v>
      </s:c>
      <s:c r="K28" s="117" t="str">
        <s:f>IF(F28&gt;B28,"Balance still growing",IF(F28&gt;0,"Working it down",IF(G28&gt;0,"CLEARED - real income now","Cleared")))</s:f>
        <s:v>CLEARED - real income now</s:v>
      </s:c>
    </s:row>
    <s:row r="29">
      <s:c r="A29" s="110">
        <s:f>EOMONTH(Inputs!$C$59,20)</s:f>
        <s:v>46904.0</s:v>
      </s:c>
      <s:c r="B29" s="83">
        <s:f>F28</s:f>
        <s:v>0.0</s:v>
      </s:c>
      <s:c r="C29" s="59">
        <s:f>Inputs!$C$9</s:f>
        <s:v>3000.0</s:v>
      </s:c>
      <s:c r="D29" s="83">
        <s:f>IF(SUMIFS('Deal Log'!$F$9:$F$208,'Deal Log'!$I$9:$I$208,A29,'Deal Log'!$H$9:$H$208,"Funded")&gt;0,SUMIFS('Deal Log'!$F$9:$F$208,'Deal Log'!$I$9:$I$208,A29,'Deal Log'!$H$9:$H$208,"Funded"),Inputs!$C$21)</s:f>
        <s:v>5250.0</s:v>
      </s:c>
      <s:c r="E29" s="83">
        <s:f>MIN(B29+C29,D29)</s:f>
        <s:v>3000.0</s:v>
      </s:c>
      <s:c r="F29" s="114">
        <s:f>MAX(0,B29+C29-D29)</s:f>
        <s:v>0.0</s:v>
      </s:c>
      <s:c r="G29" s="83">
        <s:f>MAX(0,D29-(B29+C29))</s:f>
        <s:v>2250.0</s:v>
      </s:c>
      <s:c r="H29" s="83">
        <s:f>G29*Inputs!$C$13</s:f>
        <s:v>495.0</s:v>
      </s:c>
      <s:c r="I29" s="59">
        <s:f>Inputs!$C$10</s:f>
        <s:v>2463.16</s:v>
      </s:c>
      <s:c r="J29" s="109">
        <s:f>I29+G29-H29</s:f>
        <s:v>4218.16</s:v>
      </s:c>
      <s:c r="K29" s="115" t="str">
        <s:f>IF(F29&gt;B29,"Balance still growing",IF(F29&gt;0,"Working it down",IF(G29&gt;0,"CLEARED - real income now","Cleared")))</s:f>
        <s:v>CLEARED - real income now</s:v>
      </s:c>
    </s:row>
    <s:row r="30">
      <s:c r="A30" s="112">
        <s:f>EOMONTH(Inputs!$C$59,21)</s:f>
        <s:v>46934.0</s:v>
      </s:c>
      <s:c r="B30" s="80">
        <s:f>F29</s:f>
        <s:v>0.0</s:v>
      </s:c>
      <s:c r="C30" s="69">
        <s:f>Inputs!$C$9</s:f>
        <s:v>3000.0</s:v>
      </s:c>
      <s:c r="D30" s="80">
        <s:f>IF(SUMIFS('Deal Log'!$F$9:$F$208,'Deal Log'!$I$9:$I$208,A30,'Deal Log'!$H$9:$H$208,"Funded")&gt;0,SUMIFS('Deal Log'!$F$9:$F$208,'Deal Log'!$I$9:$I$208,A30,'Deal Log'!$H$9:$H$208,"Funded"),Inputs!$C$21)</s:f>
        <s:v>5250.0</s:v>
      </s:c>
      <s:c r="E30" s="80">
        <s:f>MIN(B30+C30,D30)</s:f>
        <s:v>3000.0</s:v>
      </s:c>
      <s:c r="F30" s="116">
        <s:f>MAX(0,B30+C30-D30)</s:f>
        <s:v>0.0</s:v>
      </s:c>
      <s:c r="G30" s="80">
        <s:f>MAX(0,D30-(B30+C30))</s:f>
        <s:v>2250.0</s:v>
      </s:c>
      <s:c r="H30" s="80">
        <s:f>G30*Inputs!$C$13</s:f>
        <s:v>495.0</s:v>
      </s:c>
      <s:c r="I30" s="69">
        <s:f>Inputs!$C$10</s:f>
        <s:v>2463.16</s:v>
      </s:c>
      <s:c r="J30" s="109">
        <s:f>I30+G30-H30</s:f>
        <s:v>4218.16</s:v>
      </s:c>
      <s:c r="K30" s="117" t="str">
        <s:f>IF(F30&gt;B30,"Balance still growing",IF(F30&gt;0,"Working it down",IF(G30&gt;0,"CLEARED - real income now","Cleared")))</s:f>
        <s:v>CLEARED - real income now</s:v>
      </s:c>
    </s:row>
    <s:row r="31">
      <s:c r="A31" s="110">
        <s:f>EOMONTH(Inputs!$C$59,22)</s:f>
        <s:v>46965.0</s:v>
      </s:c>
      <s:c r="B31" s="83">
        <s:f>F30</s:f>
        <s:v>0.0</s:v>
      </s:c>
      <s:c r="C31" s="59">
        <s:f>Inputs!$C$9</s:f>
        <s:v>3000.0</s:v>
      </s:c>
      <s:c r="D31" s="83">
        <s:f>IF(SUMIFS('Deal Log'!$F$9:$F$208,'Deal Log'!$I$9:$I$208,A31,'Deal Log'!$H$9:$H$208,"Funded")&gt;0,SUMIFS('Deal Log'!$F$9:$F$208,'Deal Log'!$I$9:$I$208,A31,'Deal Log'!$H$9:$H$208,"Funded"),Inputs!$C$21)</s:f>
        <s:v>5250.0</s:v>
      </s:c>
      <s:c r="E31" s="83">
        <s:f>MIN(B31+C31,D31)</s:f>
        <s:v>3000.0</s:v>
      </s:c>
      <s:c r="F31" s="114">
        <s:f>MAX(0,B31+C31-D31)</s:f>
        <s:v>0.0</s:v>
      </s:c>
      <s:c r="G31" s="83">
        <s:f>MAX(0,D31-(B31+C31))</s:f>
        <s:v>2250.0</s:v>
      </s:c>
      <s:c r="H31" s="83">
        <s:f>G31*Inputs!$C$13</s:f>
        <s:v>495.0</s:v>
      </s:c>
      <s:c r="I31" s="59">
        <s:f>Inputs!$C$10</s:f>
        <s:v>2463.16</s:v>
      </s:c>
      <s:c r="J31" s="109">
        <s:f>I31+G31-H31</s:f>
        <s:v>4218.16</s:v>
      </s:c>
      <s:c r="K31" s="115" t="str">
        <s:f>IF(F31&gt;B31,"Balance still growing",IF(F31&gt;0,"Working it down",IF(G31&gt;0,"CLEARED - real income now","Cleared")))</s:f>
        <s:v>CLEARED - real income now</s:v>
      </s:c>
    </s:row>
    <s:row r="32">
      <s:c r="A32" s="112">
        <s:f>EOMONTH(Inputs!$C$59,23)</s:f>
        <s:v>46996.0</s:v>
      </s:c>
      <s:c r="B32" s="80">
        <s:f>F31</s:f>
        <s:v>0.0</s:v>
      </s:c>
      <s:c r="C32" s="69">
        <s:f>Inputs!$C$9</s:f>
        <s:v>3000.0</s:v>
      </s:c>
      <s:c r="D32" s="80">
        <s:f>IF(SUMIFS('Deal Log'!$F$9:$F$208,'Deal Log'!$I$9:$I$208,A32,'Deal Log'!$H$9:$H$208,"Funded")&gt;0,SUMIFS('Deal Log'!$F$9:$F$208,'Deal Log'!$I$9:$I$208,A32,'Deal Log'!$H$9:$H$208,"Funded"),Inputs!$C$21)</s:f>
        <s:v>5250.0</s:v>
      </s:c>
      <s:c r="E32" s="80">
        <s:f>MIN(B32+C32,D32)</s:f>
        <s:v>3000.0</s:v>
      </s:c>
      <s:c r="F32" s="116">
        <s:f>MAX(0,B32+C32-D32)</s:f>
        <s:v>0.0</s:v>
      </s:c>
      <s:c r="G32" s="80">
        <s:f>MAX(0,D32-(B32+C32))</s:f>
        <s:v>2250.0</s:v>
      </s:c>
      <s:c r="H32" s="80">
        <s:f>G32*Inputs!$C$13</s:f>
        <s:v>495.0</s:v>
      </s:c>
      <s:c r="I32" s="69">
        <s:f>Inputs!$C$10</s:f>
        <s:v>2463.16</s:v>
      </s:c>
      <s:c r="J32" s="109">
        <s:f>I32+G32-H32</s:f>
        <s:v>4218.16</s:v>
      </s:c>
      <s:c r="K32" s="117" t="str">
        <s:f>IF(F32&gt;B32,"Balance still growing",IF(F32&gt;0,"Working it down",IF(G32&gt;0,"CLEARED - real income now","Cleared")))</s:f>
        <s:v>CLEARED - real income now</s:v>
      </s:c>
    </s:row>
    <s:row r="33">
      <s:c r="A33" s="97" t="inlineStr">
        <s:is>
          <s:t>24-MONTH TOTAL</s:t>
        </s:is>
      </s:c>
      <s:c r="C33" s="118">
        <s:f>SUM(C9:C32)</s:f>
        <s:v>72000.0</s:v>
      </s:c>
      <s:c r="D33" s="118">
        <s:f>SUM(D9:D32)</s:f>
        <s:v>126000.0</s:v>
      </s:c>
      <s:c r="E33" s="118">
        <s:f>SUM(E9:E32)</s:f>
        <s:v>88500.0</s:v>
      </s:c>
      <s:c r="G33" s="118">
        <s:f>SUM(G9:G32)</s:f>
        <s:v>37500.0</s:v>
      </s:c>
      <s:c r="H33" s="118">
        <s:f>SUM(H9:H32)</s:f>
        <s:v>8250.0</s:v>
      </s:c>
      <s:c r="I33" s="118">
        <s:f>SUM(I9:I32)</s:f>
        <s:v>59115.84</s:v>
      </s:c>
      <s:c r="J33" s="118">
        <s:f>SUM(J9:J32)</s:f>
        <s:v>88365.84</s:v>
      </s:c>
    </s:row>
  </s:sheetData>
  <s:mergeCells count="4">
    <s:mergeCell ref="A2:K2"/>
    <s:mergeCell ref="A1:K1"/>
    <s:mergeCell ref="E4:G4"/>
    <s:mergeCell ref="A5:K5"/>
  </s:mergeCells>
  <s:conditionalFormatting sqref="F9:F32">
    <s:cfRule type="cellIs" priority="1" operator="equal" dxfId="3">
      <s:formula>0</s:formula>
    </s:cfRule>
  </s:conditionalFormatting>
  <s:conditionalFormatting sqref="G9:G32">
    <s:cfRule type="cellIs" priority="2" operator="greaterThan" dxfId="3">
      <s:formula>0</s:formula>
    </s:cfRule>
  </s:conditionalFormatting>
  <s:pageMargins left="0.75" right="0.75" top="1" bottom="1" header="0.5" footer="0.5"/>
</s:worksheet>
</file>

<file path=xl/worksheets/sheet13.xml><?xml version="1.0" encoding="utf-8"?>
<s:worksheet xmlns:s="http://schemas.openxmlformats.org/spreadsheetml/2006/main">
  <s:sheetPr>
    <s:tabColor rgb="001E7B4F"/>
    <s:outlinePr summaryBelow="1" summaryRight="1"/>
    <s:pageSetUpPr/>
  </s:sheetPr>
  <s:dimension ref="A1:D22"/>
  <s:sheetViews>
    <s:sheetView showGridLines="0" workbookViewId="0">
      <s:pane ySplit="4" topLeftCell="A5" activePane="bottomLeft" state="frozen"/>
      <s:selection pane="bottomLeft" activeCell="A1" sqref="A1"/>
    </s:sheetView>
  </s:sheetViews>
  <s:sheetFormatPr baseColWidth="8" defaultRowHeight="15"/>
  <s:cols>
    <s:col width="30" customWidth="1" min="1" max="1"/>
    <s:col width="14" customWidth="1" min="2" max="2"/>
    <s:col width="13" customWidth="1" min="3" max="3"/>
    <s:col width="56" customWidth="1" min="4" max="4"/>
  </s:cols>
  <s:sheetData>
    <s:row r="1" ht="26" customHeight="1">
      <s:c r="A1" s="1" t="inlineStr">
        <s:is>
          <s:t>BUDGET  —  what your life costs each month</s:t>
        </s:is>
      </s:c>
      <s:c r="B1" s="2" t="n"/>
      <s:c r="C1" s="2" t="n"/>
      <s:c r="D1" s="2" t="n"/>
    </s:row>
    <s:row r="2" ht="16" customHeight="1">
      <s:c r="A2" s="3" t="inlineStr">
        <s:is>
          <s:t>Pulled from Inputs. Change numbers there, not here.</s:t>
        </s:is>
      </s:c>
      <s:c r="B2" s="2" t="n"/>
      <s:c r="C2" s="2" t="n"/>
      <s:c r="D2" s="2" t="n"/>
    </s:row>
    <s:row r="4" ht="20" customHeight="1">
      <s:c r="A4" s="16" t="inlineStr">
        <s:is>
          <s:t>Line</s:t>
        </s:is>
      </s:c>
      <s:c r="B4" s="16" t="inlineStr">
        <s:is>
          <s:t>Per month</s:t>
        </s:is>
      </s:c>
      <s:c r="C4" s="16" t="inlineStr">
        <s:is>
          <s:t>Per year</s:t>
        </s:is>
      </s:c>
      <s:c r="D4" s="16" t="inlineStr">
        <s:is>
          <s:t>Note</s:t>
        </s:is>
      </s:c>
    </s:row>
    <s:row r="5">
      <s:c r="A5" s="82" t="inlineStr">
        <s:is>
          <s:t>Car payment</s:t>
        </s:is>
      </s:c>
      <s:c r="B5" s="59">
        <s:f>Inputs!$C$27</s:f>
        <s:v>475.69</s:v>
      </s:c>
      <s:c r="C5" s="83">
        <s:f>B5*12</s:f>
        <s:v>5708.28</s:v>
      </s:c>
      <s:c r="D5" s="20" t="inlineStr"/>
    </s:row>
    <s:row r="6">
      <s:c r="A6" s="79" t="inlineStr">
        <s:is>
          <s:t>Car insurance</s:t>
        </s:is>
      </s:c>
      <s:c r="B6" s="69">
        <s:f>Inputs!$C$28</s:f>
        <s:v>165.0</s:v>
      </s:c>
      <s:c r="C6" s="80">
        <s:f>B6*12</s:f>
        <s:v>1980.0</s:v>
      </s:c>
      <s:c r="D6" s="24" t="inlineStr">
        <s:is>
          <s:t>Estimated - confirm.</s:t>
        </s:is>
      </s:c>
    </s:row>
    <s:row r="7">
      <s:c r="A7" s="82" t="inlineStr">
        <s:is>
          <s:t>Gym (x2/mo)</s:t>
        </s:is>
      </s:c>
      <s:c r="B7" s="59">
        <s:f>Inputs!$C$29*2</s:f>
        <s:v>63.98</s:v>
      </s:c>
      <s:c r="C7" s="83">
        <s:f>B7*12</s:f>
        <s:v>767.76</s:v>
      </s:c>
      <s:c r="D7" s="20" t="inlineStr">
        <s:is>
          <s:t>x2</s:t>
        </s:is>
      </s:c>
    </s:row>
    <s:row r="8">
      <s:c r="A8" s="79" t="inlineStr">
        <s:is>
          <s:t>Amazon Prime</s:t>
        </s:is>
      </s:c>
      <s:c r="B8" s="69">
        <s:f>Inputs!$C$30</s:f>
        <s:v>15.0</s:v>
      </s:c>
      <s:c r="C8" s="80">
        <s:f>B8*12</s:f>
        <s:v>180.0</s:v>
      </s:c>
      <s:c r="D8" s="24" t="inlineStr">
        <s:is>
          <s:t>Annual plan saves ~$41/yr.</s:t>
        </s:is>
      </s:c>
    </s:row>
    <s:row r="9">
      <s:c r="A9" s="82" t="inlineStr">
        <s:is>
          <s:t>Phone</s:t>
        </s:is>
      </s:c>
      <s:c r="B9" s="59">
        <s:f>Inputs!$C$31</s:f>
        <s:v>60.0</s:v>
      </s:c>
      <s:c r="C9" s="83">
        <s:f>B9*12</s:f>
        <s:v>720.0</s:v>
      </s:c>
      <s:c r="D9" s="20" t="inlineStr">
        <s:is>
          <s:t>Estimated.</s:t>
        </s:is>
      </s:c>
    </s:row>
    <s:row r="10">
      <s:c r="A10" s="79" t="inlineStr">
        <s:is>
          <s:t>Fuel</s:t>
        </s:is>
      </s:c>
      <s:c r="B10" s="69">
        <s:f>Inputs!$C$35</s:f>
        <s:v>215.7894736842105</s:v>
      </s:c>
      <s:c r="C10" s="80">
        <s:f>B10*12</s:f>
        <s:v>2589.473684210526</s:v>
      </s:c>
      <s:c r="D10" s="24" t="inlineStr">
        <s:is>
          <s:t>1,000 mi at 19 mpg.</s:t>
        </s:is>
      </s:c>
    </s:row>
    <s:row r="11">
      <s:c r="A11" s="82" t="inlineStr">
        <s:is>
          <s:t>Coffee</s:t>
        </s:is>
      </s:c>
      <s:c r="B11" s="59">
        <s:f>Inputs!$C$38</s:f>
        <s:v>104.0</s:v>
      </s:c>
      <s:c r="C11" s="83">
        <s:f>B11*12</s:f>
        <s:v>1248.0</s:v>
      </s:c>
      <s:c r="D11" s="20" t="inlineStr"/>
    </s:row>
    <s:row r="12">
      <s:c r="A12" s="79" t="inlineStr">
        <s:is>
          <s:t>Food</s:t>
        </s:is>
      </s:c>
      <s:c r="B12" s="69">
        <s:f>Inputs!$C$39</s:f>
        <s:v>400.0</s:v>
      </s:c>
      <s:c r="C12" s="80">
        <s:f>B12*12</s:f>
        <s:v>4800.0</s:v>
      </s:c>
      <s:c r="D12" s="24" t="inlineStr">
        <s:is>
          <s:t>Estimated.</s:t>
        </s:is>
      </s:c>
    </s:row>
    <s:row r="13">
      <s:c r="A13" s="82" t="inlineStr">
        <s:is>
          <s:t>Fun / personal</s:t>
        </s:is>
      </s:c>
      <s:c r="B13" s="59">
        <s:f>Inputs!$C$40</s:f>
        <s:v>250.0</s:v>
      </s:c>
      <s:c r="C13" s="83">
        <s:f>B13*12</s:f>
        <s:v>3000.0</s:v>
      </s:c>
      <s:c r="D13" s="20" t="inlineStr">
        <s:is>
          <s:t>Estimated.</s:t>
        </s:is>
      </s:c>
    </s:row>
    <s:row r="14">
      <s:c r="A14" s="79" t="inlineStr">
        <s:is>
          <s:t>Car maintenance</s:t>
        </s:is>
      </s:c>
      <s:c r="B14" s="69">
        <s:f>Inputs!$C$41</s:f>
        <s:v>90.0</s:v>
      </s:c>
      <s:c r="C14" s="80">
        <s:f>B14*12</s:f>
        <s:v>1080.0</s:v>
      </s:c>
      <s:c r="D14" s="24" t="inlineStr">
        <s:is>
          <s:t>Estimated.</s:t>
        </s:is>
      </s:c>
    </s:row>
    <s:row r="15">
      <s:c r="A15" s="8" t="inlineStr">
        <s:is>
          <s:t>LIVING COSTS</s:t>
        </s:is>
      </s:c>
      <s:c r="B15" s="119">
        <s:f>SUM(B5:B14)</s:f>
        <s:v>1839.4594736842105</s:v>
      </s:c>
      <s:c r="C15" s="119">
        <s:f>B15*12</s:f>
        <s:v>22073.513684210528</s:v>
      </s:c>
    </s:row>
    <s:row r="16">
      <s:c r="A16" s="82" t="inlineStr">
        <s:is>
          <s:t>Marketing</s:t>
        </s:is>
      </s:c>
      <s:c r="B16" s="59">
        <s:f>Inputs!$C$42</s:f>
        <s:v>1000.0</s:v>
      </s:c>
      <s:c r="C16" s="83">
        <s:f>B16*12</s:f>
        <s:v>12000.0</s:v>
      </s:c>
      <s:c r="D16" s="115" t="inlineStr">
        <s:is>
          <s:t>Zero this if the company pays for it.</s:t>
        </s:is>
      </s:c>
    </s:row>
    <s:row r="17">
      <s:c r="A17" s="97" t="inlineStr">
        <s:is>
          <s:t>TOTAL OUT EACH MONTH</s:t>
        </s:is>
      </s:c>
      <s:c r="B17" s="120">
        <s:f>B15+B16</s:f>
        <s:v>2839.4594736842105</s:v>
      </s:c>
      <s:c r="C17" s="120">
        <s:f>B17*12</s:f>
        <s:v>34073.51368421053</s:v>
      </s:c>
    </s:row>
    <s:row r="19">
      <s:c r="A19" s="8" t="inlineStr">
        <s:is>
          <s:t>Your income right now (net draw)</s:t>
        </s:is>
      </s:c>
      <s:c r="B19" s="121">
        <s:f>Inputs!$C$10</s:f>
        <s:v>2463.16</s:v>
      </s:c>
      <s:c r="C19" s="122">
        <s:f>B19*12</s:f>
        <s:v>29557.92</s:v>
      </s:c>
      <s:c r="D19" s="20" t="inlineStr">
        <s:is>
          <s:t>Fixed at this until the balance is worked through - closing more loans does not change it yet.</s:t>
        </s:is>
      </s:c>
    </s:row>
    <s:row r="20">
      <s:c r="A20" s="97" t="inlineStr">
        <s:is>
          <s:t>LEFT OVER EACH MONTH</s:t>
        </s:is>
      </s:c>
      <s:c r="B20" s="123">
        <s:f>B19-B17</s:f>
        <s:v>-376.2994736842106</s:v>
      </s:c>
      <s:c r="C20" s="123">
        <s:f>B20*12</s:f>
        <s:v>-4515.5936842105275</s:v>
      </s:c>
      <s:c r="D20" s="124" t="inlineStr">
        <s:is>
          <s:t>Negative means the draw does not cover your life. Marketing is the swing factor.</s:t>
        </s:is>
      </s:c>
    </s:row>
    <s:row r="22">
      <s:c r="A22" s="82" t="inlineStr">
        <s:is>
          <s:t>Without marketing, left over is</s:t>
        </s:is>
      </s:c>
      <s:c r="B22" s="109">
        <s:f>B19-B15</s:f>
        <s:v>623.7005263157894</s:v>
      </s:c>
      <s:c r="D22" s="20" t="inlineStr">
        <s:is>
          <s:t>If Baxter funds marketing, this is your real monthly surplus.</s:t>
        </s:is>
      </s:c>
    </s:row>
  </s:sheetData>
  <s:mergeCells count="2">
    <s:mergeCell ref="A1:D1"/>
    <s:mergeCell ref="A2:D2"/>
  </s:mergeCells>
  <s:pageMargins left="0.75" right="0.75" top="1" bottom="1" header="0.5" footer="0.5"/>
</s:worksheet>
</file>

<file path=xl/worksheets/sheet14.xml><?xml version="1.0" encoding="utf-8"?>
<s:worksheet xmlns:r="http://schemas.openxmlformats.org/officeDocument/2006/relationships" xmlns:s="http://schemas.openxmlformats.org/spreadsheetml/2006/main">
  <s:sheetPr>
    <s:tabColor rgb="000F2B46"/>
    <s:outlinePr summaryBelow="1" summaryRight="1"/>
    <s:pageSetUpPr/>
  </s:sheetPr>
  <s:dimension ref="A1:I33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4" customWidth="1" min="2" max="2"/>
    <s:col width="13" customWidth="1" min="3" max="3"/>
    <s:col width="13" customWidth="1" min="4" max="4"/>
    <s:col width="13" customWidth="1" min="5" max="5"/>
    <s:col width="14" customWidth="1" min="6" max="6"/>
    <s:col width="15" customWidth="1" min="7" max="7"/>
    <s:col width="13" customWidth="1" min="8" max="8"/>
    <s:col width="30" customWidth="1" min="9" max="9"/>
  </s:cols>
  <s:sheetData>
    <s:row r="1" ht="26" customHeight="1">
      <s:c r="A1" s="1" t="inlineStr">
        <s:is>
          <s:t>CASH FLOW  —  what is left after the bills, month by month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</s:row>
    <s:row r="2" ht="16" customHeight="1">
      <s:c r="A2" s="3" t="inlineStr">
        <s:is>
          <s:t>Income comes from 'Draw Payback'. Costs come from 'Budget'. Negative months are shaded red.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</s:row>
    <s:row r="4">
      <s:c r="A4" s="12" t="inlineStr">
        <s:is>
          <s:t>Average monthly surplus, next 12 months</s:t>
        </s:is>
      </s:c>
      <s:c r="D4" s="32">
        <s:f>AVERAGE(F9:F20)</s:f>
        <s:v>306.2005263157894</s:v>
      </s:c>
      <s:c r="E4" s="12" t="inlineStr">
        <s:is>
          <s:t>Cash you will have built in 24 months</s:t>
        </s:is>
      </s:c>
      <s:c r="G4" s="31">
        <s:f>G32</s:f>
        <s:v>20218.812631578945</s:v>
      </s:c>
    </s:row>
    <s:row r="8" ht="30" customHeight="1">
      <s:c r="A8" s="16" t="inlineStr">
        <s:is>
          <s:t>Month</s:t>
        </s:is>
      </s:c>
      <s:c r="B8" s="16" t="inlineStr">
        <s:is>
          <s:t>Cash to you</s:t>
        </s:is>
      </s:c>
      <s:c r="C8" s="16" t="inlineStr">
        <s:is>
          <s:t>Living costs</s:t>
        </s:is>
      </s:c>
      <s:c r="D8" s="16" t="inlineStr">
        <s:is>
          <s:t>Marketing</s:t>
        </s:is>
      </s:c>
      <s:c r="E8" s="16" t="inlineStr">
        <s:is>
          <s:t>Total out</s:t>
        </s:is>
      </s:c>
      <s:c r="F8" s="16" t="inlineStr">
        <s:is>
          <s:t>SURPLUS</s:t>
        </s:is>
      </s:c>
      <s:c r="G8" s="16" t="inlineStr">
        <s:is>
          <s:t>Cumulative</s:t>
        </s:is>
      </s:c>
      <s:c r="H8" s="16" t="inlineStr">
        <s:is>
          <s:t>Cert transfer</s:t>
        </s:is>
      </s:c>
      <s:c r="I8" s="16" t="inlineStr">
        <s:is>
          <s:t>Note</s:t>
        </s:is>
      </s:c>
    </s:row>
    <s:row r="9">
      <s:c r="A9" s="125">
        <s:f>'Draw Payback'!A9</s:f>
        <s:v>46295.0</s:v>
      </s:c>
      <s:c r="B9" s="59">
        <s:f>'Draw Payback'!J9</s:f>
        <s:v>2463.16</s:v>
      </s:c>
      <s:c r="C9" s="59">
        <s:f>Budget!$B$15</s:f>
        <s:v>1839.4594736842105</s:v>
      </s:c>
      <s:c r="D9" s="59">
        <s:f>Budget!$B$16</s:f>
        <s:v>1000.0</s:v>
      </s:c>
      <s:c r="E9" s="83">
        <s:f>C9+D9</s:f>
        <s:v>2839.4594736842105</s:v>
      </s:c>
      <s:c r="F9" s="119">
        <s:f>B9-E9</s:f>
        <s:v>-376.2994736842106</s:v>
      </s:c>
      <s:c r="G9" s="114">
        <s:f>F9</s:f>
        <s:v>-376.2994736842106</s:v>
      </s:c>
      <s:c r="H9" s="59">
        <s:f>IF(MOD(0,3)=0,Inputs!$C$51,0)</s:f>
        <s:v>1250.0</s:v>
      </s:c>
      <s:c r="I9" s="115" t="str">
        <s:f>IF(F9&lt;0,"short - dipping into savings","")</s:f>
        <s:v>short - dipping into savings</s:v>
      </s:c>
    </s:row>
    <s:row r="10">
      <s:c r="A10" s="126">
        <s:f>'Draw Payback'!A10</s:f>
        <s:v>46326.0</s:v>
      </s:c>
      <s:c r="B10" s="69">
        <s:f>'Draw Payback'!J10</s:f>
        <s:v>2463.16</s:v>
      </s:c>
      <s:c r="C10" s="69">
        <s:f>Budget!$B$15</s:f>
        <s:v>1839.4594736842105</s:v>
      </s:c>
      <s:c r="D10" s="69">
        <s:f>Budget!$B$16</s:f>
        <s:v>1000.0</s:v>
      </s:c>
      <s:c r="E10" s="80">
        <s:f>C10+D10</s:f>
        <s:v>2839.4594736842105</s:v>
      </s:c>
      <s:c r="F10" s="119">
        <s:f>B10-E10</s:f>
        <s:v>-376.2994736842106</s:v>
      </s:c>
      <s:c r="G10" s="127">
        <s:f>G9+F10</s:f>
        <s:v>-752.5989473684212</s:v>
      </s:c>
      <s:c r="H10" s="69">
        <s:f>IF(MOD(1,3)=0,Inputs!$C$51,0)</s:f>
        <s:v>0.0</s:v>
      </s:c>
      <s:c r="I10" s="117" t="str">
        <s:f>IF(F10&lt;0,"short - dipping into savings","")</s:f>
        <s:v>short - dipping into savings</s:v>
      </s:c>
    </s:row>
    <s:row r="11">
      <s:c r="A11" s="125">
        <s:f>'Draw Payback'!A11</s:f>
        <s:v>46356.0</s:v>
      </s:c>
      <s:c r="B11" s="59">
        <s:f>'Draw Payback'!J11</s:f>
        <s:v>2463.16</s:v>
      </s:c>
      <s:c r="C11" s="59">
        <s:f>Budget!$B$15</s:f>
        <s:v>1839.4594736842105</s:v>
      </s:c>
      <s:c r="D11" s="59">
        <s:f>Budget!$B$16</s:f>
        <s:v>1000.0</s:v>
      </s:c>
      <s:c r="E11" s="83">
        <s:f>C11+D11</s:f>
        <s:v>2839.4594736842105</s:v>
      </s:c>
      <s:c r="F11" s="119">
        <s:f>B11-E11</s:f>
        <s:v>-376.2994736842106</s:v>
      </s:c>
      <s:c r="G11" s="114">
        <s:f>G10+F11</s:f>
        <s:v>-1128.8984210526319</s:v>
      </s:c>
      <s:c r="H11" s="59">
        <s:f>IF(MOD(2,3)=0,Inputs!$C$51,0)</s:f>
        <s:v>0.0</s:v>
      </s:c>
      <s:c r="I11" s="115" t="str">
        <s:f>IF(F11&lt;0,"short - dipping into savings","")</s:f>
        <s:v>short - dipping into savings</s:v>
      </s:c>
    </s:row>
    <s:row r="12">
      <s:c r="A12" s="126">
        <s:f>'Draw Payback'!A12</s:f>
        <s:v>46387.0</s:v>
      </s:c>
      <s:c r="B12" s="69">
        <s:f>'Draw Payback'!J12</s:f>
        <s:v>2463.16</s:v>
      </s:c>
      <s:c r="C12" s="69">
        <s:f>Budget!$B$15</s:f>
        <s:v>1839.4594736842105</s:v>
      </s:c>
      <s:c r="D12" s="69">
        <s:f>Budget!$B$16</s:f>
        <s:v>1000.0</s:v>
      </s:c>
      <s:c r="E12" s="80">
        <s:f>C12+D12</s:f>
        <s:v>2839.4594736842105</s:v>
      </s:c>
      <s:c r="F12" s="119">
        <s:f>B12-E12</s:f>
        <s:v>-376.2994736842106</s:v>
      </s:c>
      <s:c r="G12" s="127">
        <s:f>G11+F12</s:f>
        <s:v>-1505.1978947368425</s:v>
      </s:c>
      <s:c r="H12" s="69">
        <s:f>IF(MOD(3,3)=0,Inputs!$C$51,0)</s:f>
        <s:v>1250.0</s:v>
      </s:c>
      <s:c r="I12" s="117" t="str">
        <s:f>IF(F12&lt;0,"short - dipping into savings","")</s:f>
        <s:v>short - dipping into savings</s:v>
      </s:c>
    </s:row>
    <s:row r="13">
      <s:c r="A13" s="125">
        <s:f>'Draw Payback'!A13</s:f>
        <s:v>46418.0</s:v>
      </s:c>
      <s:c r="B13" s="59">
        <s:f>'Draw Payback'!J13</s:f>
        <s:v>2463.16</s:v>
      </s:c>
      <s:c r="C13" s="59">
        <s:f>Budget!$B$15</s:f>
        <s:v>1839.4594736842105</s:v>
      </s:c>
      <s:c r="D13" s="59">
        <s:f>Budget!$B$16</s:f>
        <s:v>1000.0</s:v>
      </s:c>
      <s:c r="E13" s="83">
        <s:f>C13+D13</s:f>
        <s:v>2839.4594736842105</s:v>
      </s:c>
      <s:c r="F13" s="119">
        <s:f>B13-E13</s:f>
        <s:v>-376.2994736842106</s:v>
      </s:c>
      <s:c r="G13" s="114">
        <s:f>G12+F13</s:f>
        <s:v>-1881.4973684210531</s:v>
      </s:c>
      <s:c r="H13" s="59">
        <s:f>IF(MOD(4,3)=0,Inputs!$C$51,0)</s:f>
        <s:v>0.0</s:v>
      </s:c>
      <s:c r="I13" s="115" t="str">
        <s:f>IF(F13&lt;0,"short - dipping into savings","")</s:f>
        <s:v>short - dipping into savings</s:v>
      </s:c>
    </s:row>
    <s:row r="14">
      <s:c r="A14" s="126">
        <s:f>'Draw Payback'!A14</s:f>
        <s:v>46446.0</s:v>
      </s:c>
      <s:c r="B14" s="69">
        <s:f>'Draw Payback'!J14</s:f>
        <s:v>2463.16</s:v>
      </s:c>
      <s:c r="C14" s="69">
        <s:f>Budget!$B$15</s:f>
        <s:v>1839.4594736842105</s:v>
      </s:c>
      <s:c r="D14" s="69">
        <s:f>Budget!$B$16</s:f>
        <s:v>1000.0</s:v>
      </s:c>
      <s:c r="E14" s="80">
        <s:f>C14+D14</s:f>
        <s:v>2839.4594736842105</s:v>
      </s:c>
      <s:c r="F14" s="119">
        <s:f>B14-E14</s:f>
        <s:v>-376.2994736842106</s:v>
      </s:c>
      <s:c r="G14" s="127">
        <s:f>G13+F14</s:f>
        <s:v>-2257.7968421052637</s:v>
      </s:c>
      <s:c r="H14" s="69">
        <s:f>IF(MOD(5,3)=0,Inputs!$C$51,0)</s:f>
        <s:v>0.0</s:v>
      </s:c>
      <s:c r="I14" s="117" t="str">
        <s:f>IF(F14&lt;0,"short - dipping into savings","")</s:f>
        <s:v>short - dipping into savings</s:v>
      </s:c>
    </s:row>
    <s:row r="15">
      <s:c r="A15" s="125">
        <s:f>'Draw Payback'!A15</s:f>
        <s:v>46477.0</s:v>
      </s:c>
      <s:c r="B15" s="59">
        <s:f>'Draw Payback'!J15</s:f>
        <s:v>2463.16</s:v>
      </s:c>
      <s:c r="C15" s="59">
        <s:f>Budget!$B$15</s:f>
        <s:v>1839.4594736842105</s:v>
      </s:c>
      <s:c r="D15" s="59">
        <s:f>Budget!$B$16</s:f>
        <s:v>1000.0</s:v>
      </s:c>
      <s:c r="E15" s="83">
        <s:f>C15+D15</s:f>
        <s:v>2839.4594736842105</s:v>
      </s:c>
      <s:c r="F15" s="119">
        <s:f>B15-E15</s:f>
        <s:v>-376.2994736842106</s:v>
      </s:c>
      <s:c r="G15" s="114">
        <s:f>G14+F15</s:f>
        <s:v>-2634.0963157894744</s:v>
      </s:c>
      <s:c r="H15" s="59">
        <s:f>IF(MOD(6,3)=0,Inputs!$C$51,0)</s:f>
        <s:v>1250.0</s:v>
      </s:c>
      <s:c r="I15" s="115" t="str">
        <s:f>IF(F15&lt;0,"short - dipping into savings","")</s:f>
        <s:v>short - dipping into savings</s:v>
      </s:c>
    </s:row>
    <s:row r="16">
      <s:c r="A16" s="126">
        <s:f>'Draw Payback'!A16</s:f>
        <s:v>46507.0</s:v>
      </s:c>
      <s:c r="B16" s="69">
        <s:f>'Draw Payback'!J16</s:f>
        <s:v>3633.16</s:v>
      </s:c>
      <s:c r="C16" s="69">
        <s:f>Budget!$B$15</s:f>
        <s:v>1839.4594736842105</s:v>
      </s:c>
      <s:c r="D16" s="69">
        <s:f>Budget!$B$16</s:f>
        <s:v>1000.0</s:v>
      </s:c>
      <s:c r="E16" s="80">
        <s:f>C16+D16</s:f>
        <s:v>2839.4594736842105</s:v>
      </s:c>
      <s:c r="F16" s="119">
        <s:f>B16-E16</s:f>
        <s:v>793.7005263157894</s:v>
      </s:c>
      <s:c r="G16" s="127">
        <s:f>G15+F16</s:f>
        <s:v>-1840.395789473685</s:v>
      </s:c>
      <s:c r="H16" s="69">
        <s:f>IF(MOD(7,3)=0,Inputs!$C$51,0)</s:f>
        <s:v>0.0</s:v>
      </s:c>
      <s:c r="I16" s="117" t="str">
        <s:f>IF(F16&lt;0,"short - dipping into savings","")</s:f>
        <s:v/>
      </s:c>
    </s:row>
    <s:row r="17">
      <s:c r="A17" s="125">
        <s:f>'Draw Payback'!A17</s:f>
        <s:v>46538.0</s:v>
      </s:c>
      <s:c r="B17" s="59">
        <s:f>'Draw Payback'!J17</s:f>
        <s:v>4218.16</s:v>
      </s:c>
      <s:c r="C17" s="59">
        <s:f>Budget!$B$15</s:f>
        <s:v>1839.4594736842105</s:v>
      </s:c>
      <s:c r="D17" s="59">
        <s:f>Budget!$B$16</s:f>
        <s:v>1000.0</s:v>
      </s:c>
      <s:c r="E17" s="83">
        <s:f>C17+D17</s:f>
        <s:v>2839.4594736842105</s:v>
      </s:c>
      <s:c r="F17" s="119">
        <s:f>B17-E17</s:f>
        <s:v>1378.7005263157894</s:v>
      </s:c>
      <s:c r="G17" s="114">
        <s:f>G16+F17</s:f>
        <s:v>-461.6952631578956</s:v>
      </s:c>
      <s:c r="H17" s="59">
        <s:f>IF(MOD(8,3)=0,Inputs!$C$51,0)</s:f>
        <s:v>0.0</s:v>
      </s:c>
      <s:c r="I17" s="115" t="str">
        <s:f>IF(F17&lt;0,"short - dipping into savings","")</s:f>
        <s:v/>
      </s:c>
    </s:row>
    <s:row r="18">
      <s:c r="A18" s="126">
        <s:f>'Draw Payback'!A18</s:f>
        <s:v>46568.0</s:v>
      </s:c>
      <s:c r="B18" s="69">
        <s:f>'Draw Payback'!J18</s:f>
        <s:v>4218.16</s:v>
      </s:c>
      <s:c r="C18" s="69">
        <s:f>Budget!$B$15</s:f>
        <s:v>1839.4594736842105</s:v>
      </s:c>
      <s:c r="D18" s="69">
        <s:f>Budget!$B$16</s:f>
        <s:v>1000.0</s:v>
      </s:c>
      <s:c r="E18" s="80">
        <s:f>C18+D18</s:f>
        <s:v>2839.4594736842105</s:v>
      </s:c>
      <s:c r="F18" s="119">
        <s:f>B18-E18</s:f>
        <s:v>1378.7005263157894</s:v>
      </s:c>
      <s:c r="G18" s="127">
        <s:f>G17+F18</s:f>
        <s:v>917.0052631578938</s:v>
      </s:c>
      <s:c r="H18" s="69">
        <s:f>IF(MOD(9,3)=0,Inputs!$C$51,0)</s:f>
        <s:v>1250.0</s:v>
      </s:c>
      <s:c r="I18" s="117" t="str">
        <s:f>IF(F18&lt;0,"short - dipping into savings","")</s:f>
        <s:v/>
      </s:c>
    </s:row>
    <s:row r="19">
      <s:c r="A19" s="125">
        <s:f>'Draw Payback'!A19</s:f>
        <s:v>46599.0</s:v>
      </s:c>
      <s:c r="B19" s="59">
        <s:f>'Draw Payback'!J19</s:f>
        <s:v>4218.16</s:v>
      </s:c>
      <s:c r="C19" s="59">
        <s:f>Budget!$B$15</s:f>
        <s:v>1839.4594736842105</s:v>
      </s:c>
      <s:c r="D19" s="59">
        <s:f>Budget!$B$16</s:f>
        <s:v>1000.0</s:v>
      </s:c>
      <s:c r="E19" s="83">
        <s:f>C19+D19</s:f>
        <s:v>2839.4594736842105</s:v>
      </s:c>
      <s:c r="F19" s="119">
        <s:f>B19-E19</s:f>
        <s:v>1378.7005263157894</s:v>
      </s:c>
      <s:c r="G19" s="114">
        <s:f>G18+F19</s:f>
        <s:v>2295.705789473683</s:v>
      </s:c>
      <s:c r="H19" s="59">
        <s:f>IF(MOD(10,3)=0,Inputs!$C$51,0)</s:f>
        <s:v>0.0</s:v>
      </s:c>
      <s:c r="I19" s="115" t="str">
        <s:f>IF(F19&lt;0,"short - dipping into savings","")</s:f>
        <s:v/>
      </s:c>
    </s:row>
    <s:row r="20">
      <s:c r="A20" s="126">
        <s:f>'Draw Payback'!A20</s:f>
        <s:v>46630.0</s:v>
      </s:c>
      <s:c r="B20" s="69">
        <s:f>'Draw Payback'!J20</s:f>
        <s:v>4218.16</s:v>
      </s:c>
      <s:c r="C20" s="69">
        <s:f>Budget!$B$15</s:f>
        <s:v>1839.4594736842105</s:v>
      </s:c>
      <s:c r="D20" s="69">
        <s:f>Budget!$B$16</s:f>
        <s:v>1000.0</s:v>
      </s:c>
      <s:c r="E20" s="80">
        <s:f>C20+D20</s:f>
        <s:v>2839.4594736842105</s:v>
      </s:c>
      <s:c r="F20" s="119">
        <s:f>B20-E20</s:f>
        <s:v>1378.7005263157894</s:v>
      </s:c>
      <s:c r="G20" s="127">
        <s:f>G19+F20</s:f>
        <s:v>3674.4063157894725</s:v>
      </s:c>
      <s:c r="H20" s="69">
        <s:f>IF(MOD(11,3)=0,Inputs!$C$51,0)</s:f>
        <s:v>0.0</s:v>
      </s:c>
      <s:c r="I20" s="117" t="str">
        <s:f>IF(F20&lt;0,"short - dipping into savings","")</s:f>
        <s:v/>
      </s:c>
    </s:row>
    <s:row r="21">
      <s:c r="A21" s="125">
        <s:f>'Draw Payback'!A21</s:f>
        <s:v>46660.0</s:v>
      </s:c>
      <s:c r="B21" s="59">
        <s:f>'Draw Payback'!J21</s:f>
        <s:v>4218.16</s:v>
      </s:c>
      <s:c r="C21" s="59">
        <s:f>Budget!$B$15</s:f>
        <s:v>1839.4594736842105</s:v>
      </s:c>
      <s:c r="D21" s="59">
        <s:f>Budget!$B$16</s:f>
        <s:v>1000.0</s:v>
      </s:c>
      <s:c r="E21" s="83">
        <s:f>C21+D21</s:f>
        <s:v>2839.4594736842105</s:v>
      </s:c>
      <s:c r="F21" s="119">
        <s:f>B21-E21</s:f>
        <s:v>1378.7005263157894</s:v>
      </s:c>
      <s:c r="G21" s="114">
        <s:f>G20+F21</s:f>
        <s:v>5053.106842105262</s:v>
      </s:c>
      <s:c r="H21" s="59">
        <s:f>IF(MOD(12,3)=0,Inputs!$C$51,0)</s:f>
        <s:v>1250.0</s:v>
      </s:c>
      <s:c r="I21" s="115" t="str">
        <s:f>IF(F21&lt;0,"short - dipping into savings","")</s:f>
        <s:v/>
      </s:c>
    </s:row>
    <s:row r="22">
      <s:c r="A22" s="126">
        <s:f>'Draw Payback'!A22</s:f>
        <s:v>46691.0</s:v>
      </s:c>
      <s:c r="B22" s="69">
        <s:f>'Draw Payback'!J22</s:f>
        <s:v>4218.16</s:v>
      </s:c>
      <s:c r="C22" s="69">
        <s:f>Budget!$B$15</s:f>
        <s:v>1839.4594736842105</s:v>
      </s:c>
      <s:c r="D22" s="69">
        <s:f>Budget!$B$16</s:f>
        <s:v>1000.0</s:v>
      </s:c>
      <s:c r="E22" s="80">
        <s:f>C22+D22</s:f>
        <s:v>2839.4594736842105</s:v>
      </s:c>
      <s:c r="F22" s="119">
        <s:f>B22-E22</s:f>
        <s:v>1378.7005263157894</s:v>
      </s:c>
      <s:c r="G22" s="127">
        <s:f>G21+F22</s:f>
        <s:v>6431.807368421052</s:v>
      </s:c>
      <s:c r="H22" s="69">
        <s:f>IF(MOD(13,3)=0,Inputs!$C$51,0)</s:f>
        <s:v>0.0</s:v>
      </s:c>
      <s:c r="I22" s="117" t="str">
        <s:f>IF(F22&lt;0,"short - dipping into savings","")</s:f>
        <s:v/>
      </s:c>
    </s:row>
    <s:row r="23">
      <s:c r="A23" s="125">
        <s:f>'Draw Payback'!A23</s:f>
        <s:v>46721.0</s:v>
      </s:c>
      <s:c r="B23" s="59">
        <s:f>'Draw Payback'!J23</s:f>
        <s:v>4218.16</s:v>
      </s:c>
      <s:c r="C23" s="59">
        <s:f>Budget!$B$15</s:f>
        <s:v>1839.4594736842105</s:v>
      </s:c>
      <s:c r="D23" s="59">
        <s:f>Budget!$B$16</s:f>
        <s:v>1000.0</s:v>
      </s:c>
      <s:c r="E23" s="83">
        <s:f>C23+D23</s:f>
        <s:v>2839.4594736842105</s:v>
      </s:c>
      <s:c r="F23" s="119">
        <s:f>B23-E23</s:f>
        <s:v>1378.7005263157894</s:v>
      </s:c>
      <s:c r="G23" s="114">
        <s:f>G22+F23</s:f>
        <s:v>7810.507894736842</s:v>
      </s:c>
      <s:c r="H23" s="59">
        <s:f>IF(MOD(14,3)=0,Inputs!$C$51,0)</s:f>
        <s:v>0.0</s:v>
      </s:c>
      <s:c r="I23" s="115" t="str">
        <s:f>IF(F23&lt;0,"short - dipping into savings","")</s:f>
        <s:v/>
      </s:c>
    </s:row>
    <s:row r="24">
      <s:c r="A24" s="126">
        <s:f>'Draw Payback'!A24</s:f>
        <s:v>46752.0</s:v>
      </s:c>
      <s:c r="B24" s="69">
        <s:f>'Draw Payback'!J24</s:f>
        <s:v>4218.16</s:v>
      </s:c>
      <s:c r="C24" s="69">
        <s:f>Budget!$B$15</s:f>
        <s:v>1839.4594736842105</s:v>
      </s:c>
      <s:c r="D24" s="69">
        <s:f>Budget!$B$16</s:f>
        <s:v>1000.0</s:v>
      </s:c>
      <s:c r="E24" s="80">
        <s:f>C24+D24</s:f>
        <s:v>2839.4594736842105</s:v>
      </s:c>
      <s:c r="F24" s="119">
        <s:f>B24-E24</s:f>
        <s:v>1378.7005263157894</s:v>
      </s:c>
      <s:c r="G24" s="127">
        <s:f>G23+F24</s:f>
        <s:v>9189.208421052632</s:v>
      </s:c>
      <s:c r="H24" s="69">
        <s:f>IF(MOD(15,3)=0,Inputs!$C$51,0)</s:f>
        <s:v>1250.0</s:v>
      </s:c>
      <s:c r="I24" s="117" t="str">
        <s:f>IF(F24&lt;0,"short - dipping into savings","")</s:f>
        <s:v/>
      </s:c>
    </s:row>
    <s:row r="25">
      <s:c r="A25" s="125">
        <s:f>'Draw Payback'!A25</s:f>
        <s:v>46783.0</s:v>
      </s:c>
      <s:c r="B25" s="59">
        <s:f>'Draw Payback'!J25</s:f>
        <s:v>4218.16</s:v>
      </s:c>
      <s:c r="C25" s="59">
        <s:f>Budget!$B$15</s:f>
        <s:v>1839.4594736842105</s:v>
      </s:c>
      <s:c r="D25" s="59">
        <s:f>Budget!$B$16</s:f>
        <s:v>1000.0</s:v>
      </s:c>
      <s:c r="E25" s="83">
        <s:f>C25+D25</s:f>
        <s:v>2839.4594736842105</s:v>
      </s:c>
      <s:c r="F25" s="119">
        <s:f>B25-E25</s:f>
        <s:v>1378.7005263157894</s:v>
      </s:c>
      <s:c r="G25" s="114">
        <s:f>G24+F25</s:f>
        <s:v>10567.908947368422</s:v>
      </s:c>
      <s:c r="H25" s="59">
        <s:f>IF(MOD(16,3)=0,Inputs!$C$51,0)</s:f>
        <s:v>0.0</s:v>
      </s:c>
      <s:c r="I25" s="115" t="str">
        <s:f>IF(F25&lt;0,"short - dipping into savings","")</s:f>
        <s:v/>
      </s:c>
    </s:row>
    <s:row r="26">
      <s:c r="A26" s="126">
        <s:f>'Draw Payback'!A26</s:f>
        <s:v>46812.0</s:v>
      </s:c>
      <s:c r="B26" s="69">
        <s:f>'Draw Payback'!J26</s:f>
        <s:v>4218.16</s:v>
      </s:c>
      <s:c r="C26" s="69">
        <s:f>Budget!$B$15</s:f>
        <s:v>1839.4594736842105</s:v>
      </s:c>
      <s:c r="D26" s="69">
        <s:f>Budget!$B$16</s:f>
        <s:v>1000.0</s:v>
      </s:c>
      <s:c r="E26" s="80">
        <s:f>C26+D26</s:f>
        <s:v>2839.4594736842105</s:v>
      </s:c>
      <s:c r="F26" s="119">
        <s:f>B26-E26</s:f>
        <s:v>1378.7005263157894</s:v>
      </s:c>
      <s:c r="G26" s="127">
        <s:f>G25+F26</s:f>
        <s:v>11946.609473684211</s:v>
      </s:c>
      <s:c r="H26" s="69">
        <s:f>IF(MOD(17,3)=0,Inputs!$C$51,0)</s:f>
        <s:v>0.0</s:v>
      </s:c>
      <s:c r="I26" s="117" t="str">
        <s:f>IF(F26&lt;0,"short - dipping into savings","")</s:f>
        <s:v/>
      </s:c>
    </s:row>
    <s:row r="27">
      <s:c r="A27" s="125">
        <s:f>'Draw Payback'!A27</s:f>
        <s:v>46843.0</s:v>
      </s:c>
      <s:c r="B27" s="59">
        <s:f>'Draw Payback'!J27</s:f>
        <s:v>4218.16</s:v>
      </s:c>
      <s:c r="C27" s="59">
        <s:f>Budget!$B$15</s:f>
        <s:v>1839.4594736842105</s:v>
      </s:c>
      <s:c r="D27" s="59">
        <s:f>Budget!$B$16</s:f>
        <s:v>1000.0</s:v>
      </s:c>
      <s:c r="E27" s="83">
        <s:f>C27+D27</s:f>
        <s:v>2839.4594736842105</s:v>
      </s:c>
      <s:c r="F27" s="119">
        <s:f>B27-E27</s:f>
        <s:v>1378.7005263157894</s:v>
      </s:c>
      <s:c r="G27" s="114">
        <s:f>G26+F27</s:f>
        <s:v>13325.310000000001</s:v>
      </s:c>
      <s:c r="H27" s="59">
        <s:f>IF(MOD(18,3)=0,Inputs!$C$51,0)</s:f>
        <s:v>1250.0</s:v>
      </s:c>
      <s:c r="I27" s="115" t="str">
        <s:f>IF(F27&lt;0,"short - dipping into savings","")</s:f>
        <s:v/>
      </s:c>
    </s:row>
    <s:row r="28">
      <s:c r="A28" s="126">
        <s:f>'Draw Payback'!A28</s:f>
        <s:v>46873.0</s:v>
      </s:c>
      <s:c r="B28" s="69">
        <s:f>'Draw Payback'!J28</s:f>
        <s:v>4218.16</s:v>
      </s:c>
      <s:c r="C28" s="69">
        <s:f>Budget!$B$15</s:f>
        <s:v>1839.4594736842105</s:v>
      </s:c>
      <s:c r="D28" s="69">
        <s:f>Budget!$B$16</s:f>
        <s:v>1000.0</s:v>
      </s:c>
      <s:c r="E28" s="80">
        <s:f>C28+D28</s:f>
        <s:v>2839.4594736842105</s:v>
      </s:c>
      <s:c r="F28" s="119">
        <s:f>B28-E28</s:f>
        <s:v>1378.7005263157894</s:v>
      </s:c>
      <s:c r="G28" s="127">
        <s:f>G27+F28</s:f>
        <s:v>14704.010526315791</s:v>
      </s:c>
      <s:c r="H28" s="69">
        <s:f>IF(MOD(19,3)=0,Inputs!$C$51,0)</s:f>
        <s:v>0.0</s:v>
      </s:c>
      <s:c r="I28" s="117" t="str">
        <s:f>IF(F28&lt;0,"short - dipping into savings","")</s:f>
        <s:v/>
      </s:c>
    </s:row>
    <s:row r="29">
      <s:c r="A29" s="125">
        <s:f>'Draw Payback'!A29</s:f>
        <s:v>46904.0</s:v>
      </s:c>
      <s:c r="B29" s="59">
        <s:f>'Draw Payback'!J29</s:f>
        <s:v>4218.16</s:v>
      </s:c>
      <s:c r="C29" s="59">
        <s:f>Budget!$B$15</s:f>
        <s:v>1839.4594736842105</s:v>
      </s:c>
      <s:c r="D29" s="59">
        <s:f>Budget!$B$16</s:f>
        <s:v>1000.0</s:v>
      </s:c>
      <s:c r="E29" s="83">
        <s:f>C29+D29</s:f>
        <s:v>2839.4594736842105</s:v>
      </s:c>
      <s:c r="F29" s="119">
        <s:f>B29-E29</s:f>
        <s:v>1378.7005263157894</s:v>
      </s:c>
      <s:c r="G29" s="114">
        <s:f>G28+F29</s:f>
        <s:v>16082.711052631581</s:v>
      </s:c>
      <s:c r="H29" s="59">
        <s:f>IF(MOD(20,3)=0,Inputs!$C$51,0)</s:f>
        <s:v>0.0</s:v>
      </s:c>
      <s:c r="I29" s="115" t="str">
        <s:f>IF(F29&lt;0,"short - dipping into savings","")</s:f>
        <s:v/>
      </s:c>
    </s:row>
    <s:row r="30">
      <s:c r="A30" s="126">
        <s:f>'Draw Payback'!A30</s:f>
        <s:v>46934.0</s:v>
      </s:c>
      <s:c r="B30" s="69">
        <s:f>'Draw Payback'!J30</s:f>
        <s:v>4218.16</s:v>
      </s:c>
      <s:c r="C30" s="69">
        <s:f>Budget!$B$15</s:f>
        <s:v>1839.4594736842105</s:v>
      </s:c>
      <s:c r="D30" s="69">
        <s:f>Budget!$B$16</s:f>
        <s:v>1000.0</s:v>
      </s:c>
      <s:c r="E30" s="80">
        <s:f>C30+D30</s:f>
        <s:v>2839.4594736842105</s:v>
      </s:c>
      <s:c r="F30" s="119">
        <s:f>B30-E30</s:f>
        <s:v>1378.7005263157894</s:v>
      </s:c>
      <s:c r="G30" s="127">
        <s:f>G29+F30</s:f>
        <s:v>17461.41157894737</s:v>
      </s:c>
      <s:c r="H30" s="69">
        <s:f>IF(MOD(21,3)=0,Inputs!$C$51,0)</s:f>
        <s:v>1250.0</s:v>
      </s:c>
      <s:c r="I30" s="117" t="str">
        <s:f>IF(F30&lt;0,"short - dipping into savings","")</s:f>
        <s:v/>
      </s:c>
    </s:row>
    <s:row r="31">
      <s:c r="A31" s="125">
        <s:f>'Draw Payback'!A31</s:f>
        <s:v>46965.0</s:v>
      </s:c>
      <s:c r="B31" s="59">
        <s:f>'Draw Payback'!J31</s:f>
        <s:v>4218.16</s:v>
      </s:c>
      <s:c r="C31" s="59">
        <s:f>Budget!$B$15</s:f>
        <s:v>1839.4594736842105</s:v>
      </s:c>
      <s:c r="D31" s="59">
        <s:f>Budget!$B$16</s:f>
        <s:v>1000.0</s:v>
      </s:c>
      <s:c r="E31" s="83">
        <s:f>C31+D31</s:f>
        <s:v>2839.4594736842105</s:v>
      </s:c>
      <s:c r="F31" s="119">
        <s:f>B31-E31</s:f>
        <s:v>1378.7005263157894</s:v>
      </s:c>
      <s:c r="G31" s="114">
        <s:f>G30+F31</s:f>
        <s:v>18840.112105263157</s:v>
      </s:c>
      <s:c r="H31" s="59">
        <s:f>IF(MOD(22,3)=0,Inputs!$C$51,0)</s:f>
        <s:v>0.0</s:v>
      </s:c>
      <s:c r="I31" s="115" t="str">
        <s:f>IF(F31&lt;0,"short - dipping into savings","")</s:f>
        <s:v/>
      </s:c>
    </s:row>
    <s:row r="32">
      <s:c r="A32" s="126">
        <s:f>'Draw Payback'!A32</s:f>
        <s:v>46996.0</s:v>
      </s:c>
      <s:c r="B32" s="69">
        <s:f>'Draw Payback'!J32</s:f>
        <s:v>4218.16</s:v>
      </s:c>
      <s:c r="C32" s="69">
        <s:f>Budget!$B$15</s:f>
        <s:v>1839.4594736842105</s:v>
      </s:c>
      <s:c r="D32" s="69">
        <s:f>Budget!$B$16</s:f>
        <s:v>1000.0</s:v>
      </s:c>
      <s:c r="E32" s="80">
        <s:f>C32+D32</s:f>
        <s:v>2839.4594736842105</s:v>
      </s:c>
      <s:c r="F32" s="119">
        <s:f>B32-E32</s:f>
        <s:v>1378.7005263157894</s:v>
      </s:c>
      <s:c r="G32" s="127">
        <s:f>G31+F32</s:f>
        <s:v>20218.812631578945</s:v>
      </s:c>
      <s:c r="H32" s="69">
        <s:f>IF(MOD(23,3)=0,Inputs!$C$51,0)</s:f>
        <s:v>0.0</s:v>
      </s:c>
      <s:c r="I32" s="117" t="str">
        <s:f>IF(F32&lt;0,"short - dipping into savings","")</s:f>
        <s:v/>
      </s:c>
    </s:row>
    <s:row r="33">
      <s:c r="A33" s="97" t="inlineStr">
        <s:is>
          <s:t>24-MONTH TOTAL</s:t>
        </s:is>
      </s:c>
      <s:c r="B33" s="118">
        <s:f>SUM(B9:B32)</s:f>
        <s:v>88365.84</s:v>
      </s:c>
      <s:c r="C33" s="118">
        <s:f>SUM(C9:C32)</s:f>
        <s:v>44147.027368421055</s:v>
      </s:c>
      <s:c r="D33" s="118">
        <s:f>SUM(D9:D32)</s:f>
        <s:v>24000.0</s:v>
      </s:c>
      <s:c r="E33" s="118">
        <s:f>SUM(E9:E32)</s:f>
        <s:v>68147.02736842106</s:v>
      </s:c>
      <s:c r="F33" s="118">
        <s:f>SUM(F9:F32)</s:f>
        <s:v>20218.812631578945</s:v>
      </s:c>
    </s:row>
  </s:sheetData>
  <s:mergeCells count="4">
    <s:mergeCell ref="A1:I1"/>
    <s:mergeCell ref="A4:C4"/>
    <s:mergeCell ref="E4:F4"/>
    <s:mergeCell ref="A2:I2"/>
  </s:mergeCells>
  <s:conditionalFormatting sqref="F9:F32">
    <s:cfRule type="cellIs" priority="1" operator="lessThan" dxfId="6">
      <s:formula>0</s:formula>
    </s:cfRule>
  </s:conditionalFormatting>
  <s:pageMargins left="0.75" right="0.75" top="1" bottom="1" header="0.5" footer="0.5"/>
  <s:legacyDrawing r:id="anysvml"/>
</s:worksheet>
</file>

<file path=xl/worksheets/sheet15.xml><?xml version="1.0" encoding="utf-8"?>
<s:worksheet xmlns:r="http://schemas.openxmlformats.org/officeDocument/2006/relationships" xmlns:s="http://schemas.openxmlformats.org/spreadsheetml/2006/main">
  <s:sheetPr>
    <s:tabColor rgb="001E7B4F"/>
    <s:outlinePr summaryBelow="1" summaryRight="1"/>
    <s:pageSetUpPr/>
  </s:sheetPr>
  <s:dimension ref="A1:J32"/>
  <s:sheetViews>
    <s:sheetView showGridLines="0" workbookViewId="0">
      <s:pane xSplit="1" ySplit="8" topLeftCell="B9" activePane="bottomRight" state="frozen"/>
      <s:selection pane="topRight"/>
      <s:selection pane="bottomLeft"/>
      <s:selection pane="bottomRight" activeCell="A1" sqref="A1"/>
    </s:sheetView>
  </s:sheetViews>
  <s:sheetFormatPr baseColWidth="8" defaultRowHeight="15"/>
  <s:cols>
    <s:col width="11" customWidth="1" min="1" max="1"/>
    <s:col width="13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5" customWidth="1" min="9" max="9"/>
    <s:col width="15" customWidth="1" min="10" max="10"/>
  </s:cols>
  <s:sheetData>
    <s:row r="1" ht="26" customHeight="1">
      <s:c r="A1" s="1" t="inlineStr">
        <s:is>
          <s:t>ACCOUNTS  —  where the money sits and how it grows</s:t>
        </s:is>
      </s:c>
      <s:c r="B1" s="2" t="n"/>
      <s:c r="C1" s="2" t="n"/>
      <s:c r="D1" s="2" t="n"/>
      <s:c r="E1" s="2" t="n"/>
      <s:c r="F1" s="2" t="n"/>
      <s:c r="G1" s="2" t="n"/>
      <s:c r="H1" s="2" t="n"/>
      <s:c r="I1" s="2" t="n"/>
      <s:c r="J1" s="2" t="n"/>
    </s:row>
    <s:row r="2" ht="16" customHeight="1">
      <s:c r="A2" s="3" t="inlineStr">
        <s:is>
          <s:t>Surplus flows in via the waterfall: checking cushion first, then emergency fund, then the split on 'Money Split'.</s:t>
        </s:is>
      </s:c>
      <s:c r="B2" s="2" t="n"/>
      <s:c r="C2" s="2" t="n"/>
      <s:c r="D2" s="2" t="n"/>
      <s:c r="E2" s="2" t="n"/>
      <s:c r="F2" s="2" t="n"/>
      <s:c r="G2" s="2" t="n"/>
      <s:c r="H2" s="2" t="n"/>
      <s:c r="I2" s="2" t="n"/>
      <s:c r="J2" s="2" t="n"/>
    </s:row>
    <s:row r="4">
      <s:c r="A4" s="12" t="inlineStr">
        <s:is>
          <s:t>Emergency fund target</s:t>
        </s:is>
      </s:c>
      <s:c r="B4" s="32">
        <s:f>Inputs!$C$60*Budget!B17</s:f>
        <s:v>17036.756842105264</s:v>
      </s:c>
      <s:c r="C4" s="56" t="str">
        <s:f>Inputs!$C$60&amp;" months of total costs"</s:f>
        <s:v>6 months of total costs</s:v>
      </s:c>
    </s:row>
    <s:row r="8" ht="30" customHeight="1">
      <s:c r="A8" s="16" t="inlineStr">
        <s:is>
          <s:t>Month</s:t>
        </s:is>
      </s:c>
      <s:c r="B8" s="16" t="inlineStr">
        <s:is>
          <s:t>Surplus</s:t>
        </s:is>
      </s:c>
      <s:c r="C8" s="16" t="inlineStr">
        <s:is>
          <s:t>Checking</s:t>
        </s:is>
      </s:c>
      <s:c r="D8" s="16" t="inlineStr">
        <s:is>
          <s:t>HYSA /
emergency</s:t>
        </s:is>
      </s:c>
      <s:c r="E8" s="16" t="inlineStr">
        <s:is>
          <s:t>Certificate</s:t>
        </s:is>
      </s:c>
      <s:c r="F8" s="16" t="inlineStr">
        <s:is>
          <s:t>Ring /
travel</s:t>
        </s:is>
      </s:c>
      <s:c r="G8" s="16" t="inlineStr">
        <s:is>
          <s:t>Roth IRA</s:t>
        </s:is>
      </s:c>
      <s:c r="H8" s="16" t="inlineStr">
        <s:is>
          <s:t>Auto loan</s:t>
        </s:is>
      </s:c>
      <s:c r="I8" s="16" t="inlineStr">
        <s:is>
          <s:t>TOTAL SAVED</s:t>
        </s:is>
      </s:c>
      <s:c r="J8" s="16" t="inlineStr">
        <s:is>
          <s:t>NET WORTH</s:t>
        </s:is>
      </s:c>
    </s:row>
    <s:row r="9">
      <s:c r="A9" s="125">
        <s:f>'Cash Flow'!A9</s:f>
        <s:v>46295.0</s:v>
      </s:c>
      <s:c r="B9" s="59">
        <s:f>'Cash Flow'!F9</s:f>
        <s:v>-376.2994736842106</s:v>
      </s:c>
      <s:c r="C9" s="114">
        <s:f>Inputs!$C$44+IF(B9&lt;0,B9,MIN(B9,Inputs!$C$45-Inputs!$C$44))</s:f>
        <s:v>19.100526315789352</s:v>
      </s:c>
      <s:c r="D9" s="114">
        <s:f>Inputs!$C$46*(1+Inputs!$C$47/12)+IF(Inputs!$C$46&lt;Inputs!$C$60*Budget!B17,MAX(0,B9-(C9-Inputs!$C$44)),MAX(0,B9-(C9-Inputs!$C$44))*0.30)-'Cash Flow'!H9</s:f>
        <s:v>7176.896333333334</s:v>
      </s:c>
      <s:c r="E9" s="114">
        <s:f>Inputs!$C$48*(1+Inputs!$C$49/12)+'Cash Flow'!H9</s:f>
        <s:v>7792.751026475</s:v>
      </s:c>
      <s:c r="F9" s="114">
        <s:f>Inputs!$C$52+IF(Inputs!$C$46&gt;=Inputs!$C$60*Budget!B17,MAX(0,B9-(C9-Inputs!$C$44))*0.25,0)</s:f>
        <s:v>0.0</s:v>
      </s:c>
      <s:c r="G9" s="114">
        <s:f>Inputs!$C$53+IF(Inputs!$C$46&gt;=Inputs!$C$60*Budget!B17,MAX(0,B9-(C9-Inputs!$C$44))*0.25,0)</s:f>
        <s:v>0.0</s:v>
      </s:c>
      <s:c r="H9" s="59">
        <s:f>'Car Loan'!F9</s:f>
        <s:v>24772.946024833334</s:v>
      </s:c>
      <s:c r="I9" s="109">
        <s:f>C9+D9+E9+F9+G9</s:f>
        <s:v>14988.747886124123</s:v>
      </s:c>
      <s:c r="J9" s="119">
        <s:f>I9-H9</s:f>
        <s:v>-9784.198138709211</s:v>
      </s:c>
    </s:row>
    <s:row r="10">
      <s:c r="A10" s="126">
        <s:f>'Cash Flow'!A10</s:f>
        <s:v>46326.0</s:v>
      </s:c>
      <s:c r="B10" s="69">
        <s:f>'Cash Flow'!F10</s:f>
        <s:v>-376.2994736842106</s:v>
      </s:c>
      <s:c r="C10" s="127">
        <s:f>C9+IF(B10&lt;0,B10,MIN(B10,Inputs!$C$45-C9))</s:f>
        <s:v>-357.1989473684213</s:v>
      </s:c>
      <s:c r="D10" s="127">
        <s:f>D9*(1+Inputs!$C$47/12)+IF(D9&lt;Inputs!$C$60*Budget!B17,MAX(0,B10-(C10-C9)),MAX(0,B10-(C10-C9))*0.30)-'Cash Flow'!H10</s:f>
        <s:v>7200.819321111112</s:v>
      </s:c>
      <s:c r="E10" s="127">
        <s:f>E9*(1+Inputs!$C$49/12)+'Cash Flow'!H10</s:f>
        <s:v>7816.694254003844</s:v>
      </s:c>
      <s:c r="F10" s="127">
        <s:f>F9+IF(D9&gt;=Inputs!$C$60*Budget!B17,MAX(0,B10-(C10-C9))*0.25,0)</s:f>
        <s:v>0.0</s:v>
      </s:c>
      <s:c r="G10" s="127">
        <s:f>G9*(1+0.08/12)+IF(D9&gt;=Inputs!$C$60*Budget!B17,MAX(0,B10-(C10-C9))*0.25,0)</s:f>
        <s:v>0.0</s:v>
      </s:c>
      <s:c r="H10" s="69">
        <s:f>'Car Loan'!F10</s:f>
        <s:v>24451.88049627167</s:v>
      </s:c>
      <s:c r="I10" s="109">
        <s:f>C10+D10+E10+F10+G10</s:f>
        <s:v>14660.314627746535</s:v>
      </s:c>
      <s:c r="J10" s="119">
        <s:f>I10-H10</s:f>
        <s:v>-9791.565868525136</s:v>
      </s:c>
    </s:row>
    <s:row r="11">
      <s:c r="A11" s="125">
        <s:f>'Cash Flow'!A11</s:f>
        <s:v>46356.0</s:v>
      </s:c>
      <s:c r="B11" s="59">
        <s:f>'Cash Flow'!F11</s:f>
        <s:v>-376.2994736842106</s:v>
      </s:c>
      <s:c r="C11" s="114">
        <s:f>C10+IF(B11&lt;0,B11,MIN(B11,Inputs!$C$45-C10))</s:f>
        <s:v>-733.4984210526319</s:v>
      </s:c>
      <s:c r="D11" s="114">
        <s:f>D10*(1+Inputs!$C$47/12)+IF(D10&lt;Inputs!$C$60*Budget!B17,MAX(0,B11-(C11-C10)),MAX(0,B11-(C11-C10))*0.30)-'Cash Flow'!H11</s:f>
        <s:v>7224.822052181483</s:v>
      </s:c>
      <s:c r="E11" s="114">
        <s:f>E10*(1+Inputs!$C$49/12)+'Cash Flow'!H11</s:f>
        <s:v>7840.711047099271</s:v>
      </s:c>
      <s:c r="F11" s="114">
        <s:f>F10+IF(D10&gt;=Inputs!$C$60*Budget!B17,MAX(0,B11-(C11-C10))*0.25,0)</s:f>
        <s:v>0.0</s:v>
      </s:c>
      <s:c r="G11" s="114">
        <s:f>G10*(1+0.08/12)+IF(D10&gt;=Inputs!$C$60*Budget!B17,MAX(0,B11-(C11-C10))*0.25,0)</s:f>
        <s:v>0.0</s:v>
      </s:c>
      <s:c r="H11" s="59">
        <s:f>'Car Loan'!F11</s:f>
        <s:v>24128.81098370257</s:v>
      </s:c>
      <s:c r="I11" s="109">
        <s:f>C11+D11+E11+F11+G11</s:f>
        <s:v>14332.034678228123</s:v>
      </s:c>
      <s:c r="J11" s="119">
        <s:f>I11-H11</s:f>
        <s:v>-9796.776305474446</s:v>
      </s:c>
    </s:row>
    <s:row r="12">
      <s:c r="A12" s="126">
        <s:f>'Cash Flow'!A12</s:f>
        <s:v>46387.0</s:v>
      </s:c>
      <s:c r="B12" s="69">
        <s:f>'Cash Flow'!F12</s:f>
        <s:v>-376.2994736842106</s:v>
      </s:c>
      <s:c r="C12" s="127">
        <s:f>C11+IF(B12&lt;0,B12,MIN(B12,Inputs!$C$45-C11))</s:f>
        <s:v>-1109.7978947368424</s:v>
      </s:c>
      <s:c r="D12" s="127">
        <s:f>D11*(1+Inputs!$C$47/12)+IF(D11&lt;Inputs!$C$60*Budget!B17,MAX(0,B12-(C12-C11)),MAX(0,B12-(C12-C11))*0.30)-'Cash Flow'!H12</s:f>
        <s:v>5998.904792355422</s:v>
      </s:c>
      <s:c r="E12" s="127">
        <s:f>E11*(1+Inputs!$C$49/12)+'Cash Flow'!H12</s:f>
        <s:v>9114.801631791484</s:v>
      </s:c>
      <s:c r="F12" s="127">
        <s:f>F11+IF(D11&gt;=Inputs!$C$60*Budget!B17,MAX(0,B12-(C12-C11))*0.25,0)</s:f>
        <s:v>0.0</s:v>
      </s:c>
      <s:c r="G12" s="127">
        <s:f>G11*(1+0.08/12)+IF(D11&gt;=Inputs!$C$60*Budget!B17,MAX(0,B12-(C12-C11))*0.25,0)</s:f>
        <s:v>0.0</s:v>
      </s:c>
      <s:c r="H12" s="69">
        <s:f>'Car Loan'!F12</s:f>
        <s:v>23803.72497892585</s:v>
      </s:c>
      <s:c r="I12" s="109">
        <s:f>C12+D12+E12+F12+G12</s:f>
        <s:v>14003.908529410064</s:v>
      </s:c>
      <s:c r="J12" s="119">
        <s:f>I12-H12</s:f>
        <s:v>-9799.816449515785</s:v>
      </s:c>
    </s:row>
    <s:row r="13">
      <s:c r="A13" s="125">
        <s:f>'Cash Flow'!A13</s:f>
        <s:v>46418.0</s:v>
      </s:c>
      <s:c r="B13" s="59">
        <s:f>'Cash Flow'!F13</s:f>
        <s:v>-376.2994736842106</s:v>
      </s:c>
      <s:c r="C13" s="114">
        <s:f>C12+IF(B13&lt;0,B13,MIN(B13,Inputs!$C$45-C12))</s:f>
        <s:v>-1486.097368421053</s:v>
      </s:c>
      <s:c r="D13" s="114">
        <s:f>D12*(1+Inputs!$C$47/12)+IF(D12&lt;Inputs!$C$60*Budget!B17,MAX(0,B13-(C13-C12)),MAX(0,B13-(C13-C12))*0.30)-'Cash Flow'!H13</s:f>
        <s:v>6018.901141663274</s:v>
      </s:c>
      <s:c r="E13" s="114">
        <s:f>E12*(1+Inputs!$C$49/12)+'Cash Flow'!H13</s:f>
        <s:v>9142.806859805163</s:v>
      </s:c>
      <s:c r="F13" s="114">
        <s:f>F12+IF(D12&gt;=Inputs!$C$60*Budget!B17,MAX(0,B13-(C13-C12))*0.25,0)</s:f>
        <s:v>0.0</s:v>
      </s:c>
      <s:c r="G13" s="114">
        <s:f>G12*(1+0.08/12)+IF(D12&gt;=Inputs!$C$60*Budget!B17,MAX(0,B13-(C13-C12))*0.25,0)</s:f>
        <s:v>0.0</s:v>
      </s:c>
      <s:c r="H13" s="59">
        <s:f>'Car Loan'!F13</s:f>
        <s:v>23476.609895669313</s:v>
      </s:c>
      <s:c r="I13" s="109">
        <s:f>C13+D13+E13+F13+G13</s:f>
        <s:v>13675.610633047385</s:v>
      </s:c>
      <s:c r="J13" s="119">
        <s:f>I13-H13</s:f>
        <s:v>-9800.999262621928</s:v>
      </s:c>
    </s:row>
    <s:row r="14">
      <s:c r="A14" s="126">
        <s:f>'Cash Flow'!A14</s:f>
        <s:v>46446.0</s:v>
      </s:c>
      <s:c r="B14" s="69">
        <s:f>'Cash Flow'!F14</s:f>
        <s:v>-376.2994736842106</s:v>
      </s:c>
      <s:c r="C14" s="127">
        <s:f>C13+IF(B14&lt;0,B14,MIN(B14,Inputs!$C$45-C13))</s:f>
        <s:v>-1862.3968421052637</s:v>
      </s:c>
      <s:c r="D14" s="127">
        <s:f>D13*(1+Inputs!$C$47/12)+IF(D13&lt;Inputs!$C$60*Budget!B17,MAX(0,B14-(C14-C13)),MAX(0,B14-(C14-C13))*0.30)-'Cash Flow'!H14</s:f>
        <s:v>6038.964145468819</s:v>
      </s:c>
      <s:c r="E14" s="127">
        <s:f>E13*(1+Inputs!$C$49/12)+'Cash Flow'!H14</s:f>
        <s:v>9170.898133881914</s:v>
      </s:c>
      <s:c r="F14" s="127">
        <s:f>F13+IF(D13&gt;=Inputs!$C$60*Budget!B17,MAX(0,B14-(C14-C13))*0.25,0)</s:f>
        <s:v>0.0</s:v>
      </s:c>
      <s:c r="G14" s="127">
        <s:f>G13*(1+0.08/12)+IF(D13&gt;=Inputs!$C$60*Budget!B17,MAX(0,B14-(C14-C13))*0.25,0)</s:f>
        <s:v>0.0</s:v>
      </s:c>
      <s:c r="H14" s="69">
        <s:f>'Car Loan'!F14</s:f>
        <s:v>23147.45306910145</s:v>
      </s:c>
      <s:c r="I14" s="109">
        <s:f>C14+D14+E14+F14+G14</s:f>
        <s:v>13347.46543724547</s:v>
      </s:c>
      <s:c r="J14" s="119">
        <s:f>I14-H14</s:f>
        <s:v>-9799.987631855982</s:v>
      </s:c>
    </s:row>
    <s:row r="15">
      <s:c r="A15" s="125">
        <s:f>'Cash Flow'!A15</s:f>
        <s:v>46477.0</s:v>
      </s:c>
      <s:c r="B15" s="59">
        <s:f>'Cash Flow'!F15</s:f>
        <s:v>-376.2994736842106</s:v>
      </s:c>
      <s:c r="C15" s="114">
        <s:f>C14+IF(B15&lt;0,B15,MIN(B15,Inputs!$C$45-C14))</s:f>
        <s:v>-2238.6963157894743</s:v>
      </s:c>
      <s:c r="D15" s="114">
        <s:f>D14*(1+Inputs!$C$47/12)+IF(D14&lt;Inputs!$C$60*Budget!B17,MAX(0,B15-(C15-C14)),MAX(0,B15-(C15-C14))*0.30)-'Cash Flow'!H15</s:f>
        <s:v>4809.094025953716</s:v>
      </s:c>
      <s:c r="E15" s="114">
        <s:f>E14*(1+Inputs!$C$49/12)+'Cash Flow'!H15</s:f>
        <s:v>10449.075718398266</s:v>
      </s:c>
      <s:c r="F15" s="114">
        <s:f>F14+IF(D14&gt;=Inputs!$C$60*Budget!B17,MAX(0,B15-(C15-C14))*0.25,0)</s:f>
        <s:v>0.0</s:v>
      </s:c>
      <s:c r="G15" s="114">
        <s:f>G14*(1+0.08/12)+IF(D14&gt;=Inputs!$C$60*Budget!B17,MAX(0,B15-(C15-C14))*0.25,0)</s:f>
        <s:v>0.0</s:v>
      </s:c>
      <s:c r="H15" s="59">
        <s:f>'Car Loan'!F15</s:f>
        <s:v>22816.241755341096</s:v>
      </s:c>
      <s:c r="I15" s="109">
        <s:f>C15+D15+E15+F15+G15</s:f>
        <s:v>13019.473428562507</s:v>
      </s:c>
      <s:c r="J15" s="119">
        <s:f>I15-H15</s:f>
        <s:v>-9796.768326778589</s:v>
      </s:c>
    </s:row>
    <s:row r="16">
      <s:c r="A16" s="126">
        <s:f>'Cash Flow'!A16</s:f>
        <s:v>46507.0</s:v>
      </s:c>
      <s:c r="B16" s="69">
        <s:f>'Cash Flow'!F16</s:f>
        <s:v>793.7005263157894</s:v>
      </s:c>
      <s:c r="C16" s="127">
        <s:f>C15+IF(B16&lt;0,B16,MIN(B16,Inputs!$C$45-C15))</s:f>
        <s:v>-1444.995789473685</s:v>
      </s:c>
      <s:c r="D16" s="127">
        <s:f>D15*(1+Inputs!$C$47/12)+IF(D15&lt;Inputs!$C$60*Budget!B17,MAX(0,B16-(C16-C15)),MAX(0,B16-(C16-C15))*0.30)-'Cash Flow'!H16</s:f>
        <s:v>4825.124339373561</s:v>
      </s:c>
      <s:c r="E16" s="127">
        <s:f>E15*(1+Inputs!$C$49/12)+'Cash Flow'!H16</s:f>
        <s:v>10481.180503543044</s:v>
      </s:c>
      <s:c r="F16" s="127">
        <s:f>F15+IF(D15&gt;=Inputs!$C$60*Budget!B17,MAX(0,B16-(C16-C15))*0.25,0)</s:f>
        <s:v>0.0</s:v>
      </s:c>
      <s:c r="G16" s="127">
        <s:f>G15*(1+0.08/12)+IF(D15&gt;=Inputs!$C$60*Budget!B17,MAX(0,B16-(C16-C15))*0.25,0)</s:f>
        <s:v>0.0</s:v>
      </s:c>
      <s:c r="H16" s="69">
        <s:f>'Car Loan'!F16</s:f>
        <s:v>22482.963130964017</s:v>
      </s:c>
      <s:c r="I16" s="109">
        <s:f>C16+D16+E16+F16+G16</s:f>
        <s:v>13861.309053442921</s:v>
      </s:c>
      <s:c r="J16" s="119">
        <s:f>I16-H16</s:f>
        <s:v>-8621.654077521096</s:v>
      </s:c>
    </s:row>
    <s:row r="17">
      <s:c r="A17" s="125">
        <s:f>'Cash Flow'!A17</s:f>
        <s:v>46538.0</s:v>
      </s:c>
      <s:c r="B17" s="59">
        <s:f>'Cash Flow'!F17</s:f>
        <s:v>1378.7005263157894</s:v>
      </s:c>
      <s:c r="C17" s="114">
        <s:f>C16+IF(B17&lt;0,B17,MIN(B17,Inputs!$C$45-C16))</s:f>
        <s:v>-66.29526315789553</s:v>
      </s:c>
      <s:c r="D17" s="114">
        <s:f>D16*(1+Inputs!$C$47/12)+IF(D16&lt;Inputs!$C$60*Budget!B17,MAX(0,B17-(C17-C16)),MAX(0,B17-(C17-C16))*0.30)-'Cash Flow'!H17</s:f>
        <s:v>4841.208087171473</s:v>
      </s:c>
      <s:c r="E17" s="114">
        <s:f>E16*(1+Inputs!$C$49/12)+'Cash Flow'!H17</s:f>
        <s:v>10513.38393064018</s:v>
      </s:c>
      <s:c r="F17" s="114">
        <s:f>F16+IF(D16&gt;=Inputs!$C$60*Budget!B17,MAX(0,B17-(C17-C16))*0.25,0)</s:f>
        <s:v>0.0</s:v>
      </s:c>
      <s:c r="G17" s="114">
        <s:f>G16*(1+0.08/12)+IF(D16&gt;=Inputs!$C$60*Budget!B17,MAX(0,B17-(C17-C16))*0.25,0)</s:f>
        <s:v>0.0</s:v>
      </s:c>
      <s:c r="H17" s="59">
        <s:f>'Car Loan'!F17</s:f>
        <s:v>22147.604292506454</s:v>
      </s:c>
      <s:c r="I17" s="109">
        <s:f>C17+D17+E17+F17+G17</s:f>
        <s:v>15288.296754653758</s:v>
      </s:c>
      <s:c r="J17" s="119">
        <s:f>I17-H17</s:f>
        <s:v>-6859.3075378526955</s:v>
      </s:c>
    </s:row>
    <s:row r="18">
      <s:c r="A18" s="126">
        <s:f>'Cash Flow'!A18</s:f>
        <s:v>46568.0</s:v>
      </s:c>
      <s:c r="B18" s="69">
        <s:f>'Cash Flow'!F18</s:f>
        <s:v>1378.7005263157894</s:v>
      </s:c>
      <s:c r="C18" s="127">
        <s:f>C17+IF(B18&lt;0,B18,MIN(B18,Inputs!$C$45-C17))</s:f>
        <s:v>1312.4052631578938</s:v>
      </s:c>
      <s:c r="D18" s="127">
        <s:f>D17*(1+Inputs!$C$47/12)+IF(D17&lt;Inputs!$C$60*Budget!B17,MAX(0,B18-(C18-C17)),MAX(0,B18-(C18-C17))*0.30)-'Cash Flow'!H18</s:f>
        <s:v>3607.3454474620457</s:v>
      </s:c>
      <s:c r="E18" s="127">
        <s:f>E17*(1+Inputs!$C$49/12)+'Cash Flow'!H18</s:f>
        <s:v>11795.686302767073</s:v>
      </s:c>
      <s:c r="F18" s="127">
        <s:f>F17+IF(D17&gt;=Inputs!$C$60*Budget!B17,MAX(0,B18-(C18-C17))*0.25,0)</s:f>
        <s:v>0.0</s:v>
      </s:c>
      <s:c r="G18" s="127">
        <s:f>G17*(1+0.08/12)+IF(D17&gt;=Inputs!$C$60*Budget!B17,MAX(0,B18-(C18-C17))*0.25,0)</s:f>
        <s:v>0.0</s:v>
      </s:c>
      <s:c r="H18" s="69">
        <s:f>'Car Loan'!F18</s:f>
        <s:v>21810.152255965517</s:v>
      </s:c>
      <s:c r="I18" s="109">
        <s:f>C18+D18+E18+F18+G18</s:f>
        <s:v>16715.43701338701</s:v>
      </s:c>
      <s:c r="J18" s="119">
        <s:f>I18-H18</s:f>
        <s:v>-5094.715242578506</s:v>
      </s:c>
    </s:row>
    <s:row r="19">
      <s:c r="A19" s="125">
        <s:f>'Cash Flow'!A19</s:f>
        <s:v>46599.0</s:v>
      </s:c>
      <s:c r="B19" s="59">
        <s:f>'Cash Flow'!F19</s:f>
        <s:v>1378.7005263157894</s:v>
      </s:c>
      <s:c r="C19" s="114">
        <s:f>C18+IF(B19&lt;0,B19,MIN(B19,Inputs!$C$45-C18))</s:f>
        <s:v>2000.0</s:v>
      </s:c>
      <s:c r="D19" s="114">
        <s:f>D18*(1+Inputs!$C$47/12)+IF(D18&lt;Inputs!$C$60*Budget!B17,MAX(0,B19-(C19-C18)),MAX(0,B19-(C19-C18))*0.30)-'Cash Flow'!H19</s:f>
        <s:v>4310.475721760603</s:v>
      </s:c>
      <s:c r="E19" s="114">
        <s:f>E18*(1+Inputs!$C$49/12)+'Cash Flow'!H19</s:f>
        <s:v>11831.928548932325</s:v>
      </s:c>
      <s:c r="F19" s="114">
        <s:f>F18+IF(D18&gt;=Inputs!$C$60*Budget!B17,MAX(0,B19-(C19-C18))*0.25,0)</s:f>
        <s:v>0.0</s:v>
      </s:c>
      <s:c r="G19" s="114">
        <s:f>G18*(1+0.08/12)+IF(D18&gt;=Inputs!$C$60*Budget!B17,MAX(0,B19-(C19-C18))*0.25,0)</s:f>
        <s:v>0.0</s:v>
      </s:c>
      <s:c r="H19" s="59">
        <s:f>'Car Loan'!F19</s:f>
        <s:v>21470.593956296503</s:v>
      </s:c>
      <s:c r="I19" s="109">
        <s:f>C19+D19+E19+F19+G19</s:f>
        <s:v>18142.40427069293</s:v>
      </s:c>
      <s:c r="J19" s="119">
        <s:f>I19-H19</s:f>
        <s:v>-3328.1896856035746</s:v>
      </s:c>
    </s:row>
    <s:row r="20">
      <s:c r="A20" s="126">
        <s:f>'Cash Flow'!A20</s:f>
        <s:v>46630.0</s:v>
      </s:c>
      <s:c r="B20" s="69">
        <s:f>'Cash Flow'!F20</s:f>
        <s:v>1378.7005263157894</s:v>
      </s:c>
      <s:c r="C20" s="127">
        <s:f>C19+IF(B20&lt;0,B20,MIN(B20,Inputs!$C$45-C19))</s:f>
        <s:v>2000.0</s:v>
      </s:c>
      <s:c r="D20" s="127">
        <s:f>D19*(1+Inputs!$C$47/12)+IF(D19&lt;Inputs!$C$60*Budget!B17,MAX(0,B20-(C20-C19)),MAX(0,B20-(C20-C19))*0.30)-'Cash Flow'!H20</s:f>
        <s:v>5703.544500482261</s:v>
      </s:c>
      <s:c r="E20" s="127">
        <s:f>E19*(1+Inputs!$C$49/12)+'Cash Flow'!H20</s:f>
        <s:v>11868.28214939892</s:v>
      </s:c>
      <s:c r="F20" s="127">
        <s:f>F19+IF(D19&gt;=Inputs!$C$60*Budget!B17,MAX(0,B20-(C20-C19))*0.25,0)</s:f>
        <s:v>0.0</s:v>
      </s:c>
      <s:c r="G20" s="127">
        <s:f>G19*(1+0.08/12)+IF(D19&gt;=Inputs!$C$60*Budget!B17,MAX(0,B20-(C20-C19))*0.25,0)</s:f>
        <s:v>0.0</s:v>
      </s:c>
      <s:c r="H20" s="69">
        <s:f>'Car Loan'!F20</s:f>
        <s:v>21128.916246907054</s:v>
      </s:c>
      <s:c r="I20" s="109">
        <s:f>C20+D20+E20+F20+G20</s:f>
        <s:v>19571.82664988118</s:v>
      </s:c>
      <s:c r="J20" s="119">
        <s:f>I20-H20</s:f>
        <s:v>-1557.0895970258753</s:v>
      </s:c>
    </s:row>
    <s:row r="21">
      <s:c r="A21" s="125">
        <s:f>'Cash Flow'!A21</s:f>
        <s:v>46660.0</s:v>
      </s:c>
      <s:c r="B21" s="59">
        <s:f>'Cash Flow'!F21</s:f>
        <s:v>1378.7005263157894</s:v>
      </s:c>
      <s:c r="C21" s="114">
        <s:f>C20+IF(B21&lt;0,B21,MIN(B21,Inputs!$C$45-C20))</s:f>
        <s:v>2000.0</s:v>
      </s:c>
      <s:c r="D21" s="114">
        <s:f>D20*(1+Inputs!$C$47/12)+IF(D20&lt;Inputs!$C$60*Budget!B17,MAX(0,B21-(C21-C20)),MAX(0,B21-(C21-C20))*0.30)-'Cash Flow'!H21</s:f>
        <s:v>5851.256841799659</s:v>
      </s:c>
      <s:c r="E21" s="114">
        <s:f>E20*(1+Inputs!$C$49/12)+'Cash Flow'!H21</s:f>
        <s:v>13154.747446302948</s:v>
      </s:c>
      <s:c r="F21" s="114">
        <s:f>F20+IF(D20&gt;=Inputs!$C$60*Budget!B17,MAX(0,B21-(C21-C20))*0.25,0)</s:f>
        <s:v>0.0</s:v>
      </s:c>
      <s:c r="G21" s="114">
        <s:f>G20*(1+0.08/12)+IF(D20&gt;=Inputs!$C$60*Budget!B17,MAX(0,B21-(C21-C20))*0.25,0)</s:f>
        <s:v>0.0</s:v>
      </s:c>
      <s:c r="H21" s="59">
        <s:f>'Car Loan'!F21</s:f>
        <s:v>20785.105899148166</s:v>
      </s:c>
      <s:c r="I21" s="109">
        <s:f>C21+D21+E21+F21+G21</s:f>
        <s:v>21006.00428810261</s:v>
      </s:c>
      <s:c r="J21" s="119">
        <s:f>I21-H21</s:f>
        <s:v>220.89838895444336</s:v>
      </s:c>
    </s:row>
    <s:row r="22">
      <s:c r="A22" s="126">
        <s:f>'Cash Flow'!A22</s:f>
        <s:v>46691.0</s:v>
      </s:c>
      <s:c r="B22" s="69">
        <s:f>'Cash Flow'!F22</s:f>
        <s:v>1378.7005263157894</s:v>
      </s:c>
      <s:c r="C22" s="127">
        <s:f>C21+IF(B22&lt;0,B22,MIN(B22,Inputs!$C$45-C21))</s:f>
        <s:v>2000.0</s:v>
      </s:c>
      <s:c r="D22" s="127">
        <s:f>D21*(1+Inputs!$C$47/12)+IF(D21&lt;Inputs!$C$60*Budget!B17,MAX(0,B22-(C22-C21)),MAX(0,B22-(C22-C21))*0.30)-'Cash Flow'!H22</s:f>
        <s:v>7249.461557588114</s:v>
      </s:c>
      <s:c r="E22" s="127">
        <s:f>E21*(1+Inputs!$C$49/12)+'Cash Flow'!H22</s:f>
        <s:v>13195.165407831715</s:v>
      </s:c>
      <s:c r="F22" s="127">
        <s:f>F21+IF(D21&gt;=Inputs!$C$60*Budget!B17,MAX(0,B22-(C22-C21))*0.25,0)</s:f>
        <s:v>0.0</s:v>
      </s:c>
      <s:c r="G22" s="127">
        <s:f>G21*(1+0.08/12)+IF(D21&gt;=Inputs!$C$60*Budget!B17,MAX(0,B22-(C22-C21))*0.25,0)</s:f>
        <s:v>0.0</s:v>
      </s:c>
      <s:c r="H22" s="69">
        <s:f>'Car Loan'!F22</s:f>
        <s:v>20439.149601802015</s:v>
      </s:c>
      <s:c r="I22" s="109">
        <s:f>C22+D22+E22+F22+G22</s:f>
        <s:v>22444.62696541983</s:v>
      </s:c>
      <s:c r="J22" s="119">
        <s:f>I22-H22</s:f>
        <s:v>2005.4773636178143</s:v>
      </s:c>
    </s:row>
    <s:row r="23">
      <s:c r="A23" s="125">
        <s:f>'Cash Flow'!A23</s:f>
        <s:v>46721.0</s:v>
      </s:c>
      <s:c r="B23" s="59">
        <s:f>'Cash Flow'!F23</s:f>
        <s:v>1378.7005263157894</s:v>
      </s:c>
      <s:c r="C23" s="114">
        <s:f>C22+IF(B23&lt;0,B23,MIN(B23,Inputs!$C$45-C22))</s:f>
        <s:v>2000.0</s:v>
      </s:c>
      <s:c r="D23" s="114">
        <s:f>D22*(1+Inputs!$C$47/12)+IF(D22&lt;Inputs!$C$60*Budget!B17,MAX(0,B23-(C23-C22)),MAX(0,B23-(C23-C22))*0.30)-'Cash Flow'!H23</s:f>
        <s:v>8652.326955762532</s:v>
      </s:c>
      <s:c r="E23" s="114">
        <s:f>E22*(1+Inputs!$C$49/12)+'Cash Flow'!H23</s:f>
        <s:v>13235.707553547278</s:v>
      </s:c>
      <s:c r="F23" s="114">
        <s:f>F22+IF(D22&gt;=Inputs!$C$60*Budget!B17,MAX(0,B23-(C23-C22))*0.25,0)</s:f>
        <s:v>0.0</s:v>
      </s:c>
      <s:c r="G23" s="114">
        <s:f>G22*(1+0.08/12)+IF(D22&gt;=Inputs!$C$60*Budget!B17,MAX(0,B23-(C23-C22))*0.25,0)</s:f>
        <s:v>0.0</s:v>
      </s:c>
      <s:c r="H23" s="59">
        <s:f>'Car Loan'!F23</s:f>
        <s:v>20091.033960566598</s:v>
      </s:c>
      <s:c r="I23" s="109">
        <s:f>C23+D23+E23+F23+G23</s:f>
        <s:v>23888.034509309808</s:v>
      </s:c>
      <s:c r="J23" s="119">
        <s:f>I23-H23</s:f>
        <s:v>3797.00054874321</s:v>
      </s:c>
    </s:row>
    <s:row r="24">
      <s:c r="A24" s="126">
        <s:f>'Cash Flow'!A24</s:f>
        <s:v>46752.0</s:v>
      </s:c>
      <s:c r="B24" s="69">
        <s:f>'Cash Flow'!F24</s:f>
        <s:v>1378.7005263157894</s:v>
      </s:c>
      <s:c r="C24" s="127">
        <s:f>C23+IF(B24&lt;0,B24,MIN(B24,Inputs!$C$45-C23))</s:f>
        <s:v>2000.0</s:v>
      </s:c>
      <s:c r="D24" s="127">
        <s:f>D23*(1+Inputs!$C$47/12)+IF(D23&lt;Inputs!$C$60*Budget!B17,MAX(0,B24-(C24-C23)),MAX(0,B24-(C24-C23))*0.30)-'Cash Flow'!H24</s:f>
        <s:v>8809.868571930863</s:v>
      </s:c>
      <s:c r="E24" s="127">
        <s:f>E23*(1+Inputs!$C$49/12)+'Cash Flow'!H24</s:f>
        <s:v>14526.374265005552</s:v>
      </s:c>
      <s:c r="F24" s="127">
        <s:f>F23+IF(D23&gt;=Inputs!$C$60*Budget!B17,MAX(0,B24-(C24-C23))*0.25,0)</s:f>
        <s:v>0.0</s:v>
      </s:c>
      <s:c r="G24" s="127">
        <s:f>G23*(1+0.08/12)+IF(D23&gt;=Inputs!$C$60*Budget!B17,MAX(0,B24-(C24-C23))*0.25,0)</s:f>
        <s:v>0.0</s:v>
      </s:c>
      <s:c r="H24" s="69">
        <s:f>'Car Loan'!F24</s:f>
        <s:v>19740.745497537137</s:v>
      </s:c>
      <s:c r="I24" s="109">
        <s:f>C24+D24+E24+F24+G24</s:f>
        <s:v>25336.242836936413</s:v>
      </s:c>
      <s:c r="J24" s="119">
        <s:f>I24-H24</s:f>
        <s:v>5595.497339399277</s:v>
      </s:c>
    </s:row>
    <s:row r="25">
      <s:c r="A25" s="125">
        <s:f>'Cash Flow'!A25</s:f>
        <s:v>46783.0</s:v>
      </s:c>
      <s:c r="B25" s="59">
        <s:f>'Cash Flow'!F25</s:f>
        <s:v>1378.7005263157894</s:v>
      </s:c>
      <s:c r="C25" s="114">
        <s:f>C24+IF(B25&lt;0,B25,MIN(B25,Inputs!$C$45-C24))</s:f>
        <s:v>2000.0</s:v>
      </s:c>
      <s:c r="D25" s="114">
        <s:f>D24*(1+Inputs!$C$47/12)+IF(D24&lt;Inputs!$C$60*Budget!B17,MAX(0,B25-(C25-C24)),MAX(0,B25-(C25-C24))*0.30)-'Cash Flow'!H25</s:f>
        <s:v>10217.935326819757</s:v>
      </s:c>
      <s:c r="E25" s="114">
        <s:f>E24*(1+Inputs!$C$49/12)+'Cash Flow'!H25</s:f>
        <s:v>14571.006549934782</s:v>
      </s:c>
      <s:c r="F25" s="114">
        <s:f>F24+IF(D24&gt;=Inputs!$C$60*Budget!B17,MAX(0,B25-(C25-C24))*0.25,0)</s:f>
        <s:v>0.0</s:v>
      </s:c>
      <s:c r="G25" s="114">
        <s:f>G24*(1+0.08/12)+IF(D24&gt;=Inputs!$C$60*Budget!B17,MAX(0,B25-(C25-C24))*0.25,0)</s:f>
        <s:v>0.0</s:v>
      </s:c>
      <s:c r="H25" s="59">
        <s:f>'Car Loan'!F25</s:f>
        <s:v>19388.270650684266</s:v>
      </s:c>
      <s:c r="I25" s="109">
        <s:f>C25+D25+E25+F25+G25</s:f>
        <s:v>26788.94187675454</s:v>
      </s:c>
      <s:c r="J25" s="119">
        <s:f>I25-H25</s:f>
        <s:v>7400.671226070273</s:v>
      </s:c>
    </s:row>
    <s:row r="26">
      <s:c r="A26" s="126">
        <s:f>'Cash Flow'!A26</s:f>
        <s:v>46812.0</s:v>
      </s:c>
      <s:c r="B26" s="69">
        <s:f>'Cash Flow'!F26</s:f>
        <s:v>1378.7005263157894</s:v>
      </s:c>
      <s:c r="C26" s="127">
        <s:f>C25+IF(B26&lt;0,B26,MIN(B26,Inputs!$C$45-C25))</s:f>
        <s:v>2000.0</s:v>
      </s:c>
      <s:c r="D26" s="127">
        <s:f>D25*(1+Inputs!$C$47/12)+IF(D25&lt;Inputs!$C$60*Budget!B17,MAX(0,B26-(C26-C25)),MAX(0,B26-(C26-C25))*0.30)-'Cash Flow'!H26</s:f>
        <s:v>11630.695637558281</s:v>
      </s:c>
      <s:c r="E26" s="127">
        <s:f>E25*(1+Inputs!$C$49/12)+'Cash Flow'!H26</s:f>
        <s:v>14615.775967559457</s:v>
      </s:c>
      <s:c r="F26" s="127">
        <s:f>F25+IF(D25&gt;=Inputs!$C$60*Budget!B17,MAX(0,B26-(C26-C25))*0.25,0)</s:f>
        <s:v>0.0</s:v>
      </s:c>
      <s:c r="G26" s="127">
        <s:f>G25*(1+0.08/12)+IF(D25&gt;=Inputs!$C$60*Budget!B17,MAX(0,B26-(C26-C25))*0.25,0)</s:f>
        <s:v>0.0</s:v>
      </s:c>
      <s:c r="H26" s="69">
        <s:f>'Car Loan'!F26</s:f>
        <s:v>19033.595773328954</s:v>
      </s:c>
      <s:c r="I26" s="109">
        <s:f>C26+D26+E26+F26+G26</s:f>
        <s:v>28246.47160511774</s:v>
      </s:c>
      <s:c r="J26" s="119">
        <s:f>I26-H26</s:f>
        <s:v>9212.875831788784</s:v>
      </s:c>
    </s:row>
    <s:row r="27">
      <s:c r="A27" s="125">
        <s:f>'Cash Flow'!A27</s:f>
        <s:v>46843.0</s:v>
      </s:c>
      <s:c r="B27" s="59">
        <s:f>'Cash Flow'!F27</s:f>
        <s:v>1378.7005263157894</s:v>
      </s:c>
      <s:c r="C27" s="114">
        <s:f>C26+IF(B27&lt;0,B27,MIN(B27,Inputs!$C$45-C26))</s:f>
        <s:v>2000.0</s:v>
      </s:c>
      <s:c r="D27" s="114">
        <s:f>D26*(1+Inputs!$C$47/12)+IF(D26&lt;Inputs!$C$60*Budget!B17,MAX(0,B27-(C27-C26)),MAX(0,B27-(C27-C26))*0.30)-'Cash Flow'!H27</s:f>
        <s:v>11798.165149332599</s:v>
      </s:c>
      <s:c r="E27" s="114">
        <s:f>E26*(1+Inputs!$C$49/12)+'Cash Flow'!H27</s:f>
        <s:v>15910.682939219783</s:v>
      </s:c>
      <s:c r="F27" s="114">
        <s:f>F26+IF(D26&gt;=Inputs!$C$60*Budget!B17,MAX(0,B27-(C27-C26))*0.25,0)</s:f>
        <s:v>0.0</s:v>
      </s:c>
      <s:c r="G27" s="114">
        <s:f>G26*(1+0.08/12)+IF(D26&gt;=Inputs!$C$60*Budget!B17,MAX(0,B27-(C27-C26))*0.25,0)</s:f>
        <s:v>0.0</s:v>
      </s:c>
      <s:c r="H27" s="59">
        <s:f>'Car Loan'!F27</s:f>
        <s:v>18676.70713361415</s:v>
      </s:c>
      <s:c r="I27" s="109">
        <s:f>C27+D27+E27+F27+G27</s:f>
        <s:v>29708.848088552382</s:v>
      </s:c>
      <s:c r="J27" s="119">
        <s:f>I27-H27</s:f>
        <s:v>11032.140954938233</s:v>
      </s:c>
    </s:row>
    <s:row r="28">
      <s:c r="A28" s="126">
        <s:f>'Cash Flow'!A28</s:f>
        <s:v>46873.0</s:v>
      </s:c>
      <s:c r="B28" s="69">
        <s:f>'Cash Flow'!F28</s:f>
        <s:v>1378.7005263157894</s:v>
      </s:c>
      <s:c r="C28" s="127">
        <s:f>C27+IF(B28&lt;0,B28,MIN(B28,Inputs!$C$45-C27))</s:f>
        <s:v>2000.0</s:v>
      </s:c>
      <s:c r="D28" s="127">
        <s:f>D27*(1+Inputs!$C$47/12)+IF(D27&lt;Inputs!$C$60*Budget!B17,MAX(0,B28-(C28-C27)),MAX(0,B28-(C28-C27))*0.30)-'Cash Flow'!H28</s:f>
        <s:v>13216.19289281283</s:v>
      </s:c>
      <s:c r="E28" s="127">
        <s:f>E27*(1+Inputs!$C$49/12)+'Cash Flow'!H28</s:f>
        <s:v>15959.568512550537</s:v>
      </s:c>
      <s:c r="F28" s="127">
        <s:f>F27+IF(D27&gt;=Inputs!$C$60*Budget!B17,MAX(0,B28-(C28-C27))*0.25,0)</s:f>
        <s:v>0.0</s:v>
      </s:c>
      <s:c r="G28" s="127">
        <s:f>G27*(1+0.08/12)+IF(D27&gt;=Inputs!$C$60*Budget!B17,MAX(0,B28-(C28-C27))*0.25,0)</s:f>
        <s:v>0.0</s:v>
      </s:c>
      <s:c r="H28" s="69">
        <s:f>'Car Loan'!F28</s:f>
        <s:v>18317.590913973127</s:v>
      </s:c>
      <s:c r="I28" s="109">
        <s:f>C28+D28+E28+F28+G28</s:f>
        <s:v>31175.761405363366</s:v>
      </s:c>
      <s:c r="J28" s="119">
        <s:f>I28-H28</s:f>
        <s:v>12858.17049139024</s:v>
      </s:c>
    </s:row>
    <s:row r="29">
      <s:c r="A29" s="125">
        <s:f>'Cash Flow'!A29</s:f>
        <s:v>46904.0</s:v>
      </s:c>
      <s:c r="B29" s="59">
        <s:f>'Cash Flow'!F29</s:f>
        <s:v>1378.7005263157894</s:v>
      </s:c>
      <s:c r="C29" s="114">
        <s:f>C28+IF(B29&lt;0,B29,MIN(B29,Inputs!$C$45-C28))</s:f>
        <s:v>2000.0</s:v>
      </s:c>
      <s:c r="D29" s="114">
        <s:f>D28*(1+Inputs!$C$47/12)+IF(D28&lt;Inputs!$C$60*Budget!B17,MAX(0,B29-(C29-C28)),MAX(0,B29-(C29-C28))*0.30)-'Cash Flow'!H29</s:f>
        <s:v>14638.947395437997</s:v>
      </s:c>
      <s:c r="E29" s="114">
        <s:f>E28*(1+Inputs!$C$49/12)+'Cash Flow'!H29</s:f>
        <s:v>16008.604286805348</s:v>
      </s:c>
      <s:c r="F29" s="114">
        <s:f>F28+IF(D28&gt;=Inputs!$C$60*Budget!B17,MAX(0,B29-(C29-C28))*0.25,0)</s:f>
        <s:v>0.0</s:v>
      </s:c>
      <s:c r="G29" s="114">
        <s:f>G28*(1+0.08/12)+IF(D28&gt;=Inputs!$C$60*Budget!B17,MAX(0,B29-(C29-C28))*0.25,0)</s:f>
        <s:v>0.0</s:v>
      </s:c>
      <s:c r="H29" s="59">
        <s:f>'Car Loan'!F29</s:f>
        <s:v>17956.23321059451</s:v>
      </s:c>
      <s:c r="I29" s="109">
        <s:f>C29+D29+E29+F29+G29</s:f>
        <s:v>32647.551682243346</s:v>
      </s:c>
      <s:c r="J29" s="119">
        <s:f>I29-H29</s:f>
        <s:v>14691.318471648836</s:v>
      </s:c>
    </s:row>
    <s:row r="30">
      <s:c r="A30" s="126">
        <s:f>'Cash Flow'!A30</s:f>
        <s:v>46934.0</s:v>
      </s:c>
      <s:c r="B30" s="69">
        <s:f>'Cash Flow'!F30</s:f>
        <s:v>1378.7005263157894</s:v>
      </s:c>
      <s:c r="C30" s="127">
        <s:f>C29+IF(B30&lt;0,B30,MIN(B30,Inputs!$C$45-C29))</s:f>
        <s:v>2000.0</s:v>
      </s:c>
      <s:c r="D30" s="127">
        <s:f>D29*(1+Inputs!$C$47/12)+IF(D29&lt;Inputs!$C$60*Budget!B17,MAX(0,B30-(C30-C29)),MAX(0,B30-(C30-C29))*0.30)-'Cash Flow'!H30</s:f>
        <s:v>14816.444413071915</s:v>
      </s:c>
      <s:c r="E30" s="127">
        <s:f>E29*(1+Inputs!$C$49/12)+'Cash Flow'!H30</s:f>
        <s:v>17307.79072347656</s:v>
      </s:c>
      <s:c r="F30" s="127">
        <s:f>F29+IF(D29&gt;=Inputs!$C$60*Budget!B17,MAX(0,B30-(C30-C29))*0.25,0)</s:f>
        <s:v>0.0</s:v>
      </s:c>
      <s:c r="G30" s="127">
        <s:f>G29*(1+0.08/12)+IF(D29&gt;=Inputs!$C$60*Budget!B17,MAX(0,B30-(C30-C29))*0.25,0)</s:f>
        <s:v>0.0</s:v>
      </s:c>
      <s:c r="H30" s="69">
        <s:f>'Car Loan'!F30</s:f>
        <s:v>17592.620032883973</s:v>
      </s:c>
      <s:c r="I30" s="109">
        <s:f>C30+D30+E30+F30+G30</s:f>
        <s:v>34124.23513654847</s:v>
      </s:c>
      <s:c r="J30" s="119">
        <s:f>I30-H30</s:f>
        <s:v>16531.6151036645</s:v>
      </s:c>
    </s:row>
    <s:row r="31">
      <s:c r="A31" s="125">
        <s:f>'Cash Flow'!A31</s:f>
        <s:v>46965.0</s:v>
      </s:c>
      <s:c r="B31" s="59">
        <s:f>'Cash Flow'!F31</s:f>
        <s:v>1378.7005263157894</s:v>
      </s:c>
      <s:c r="C31" s="114">
        <s:f>C30+IF(B31&lt;0,B31,MIN(B31,Inputs!$C$45-C30))</s:f>
        <s:v>2000.0</s:v>
      </s:c>
      <s:c r="D31" s="114">
        <s:f>D30*(1+Inputs!$C$47/12)+IF(D30&lt;Inputs!$C$60*Budget!B17,MAX(0,B31-(C31-C30)),MAX(0,B31-(C31-C30))*0.30)-'Cash Flow'!H31</s:f>
        <s:v>16244.533087431279</s:v>
      </s:c>
      <s:c r="E31" s="114">
        <s:f>E30*(1+Inputs!$C$49/12)+'Cash Flow'!H31</s:f>
        <s:v>17360.968910474443</s:v>
      </s:c>
      <s:c r="F31" s="114">
        <s:f>F30+IF(D30&gt;=Inputs!$C$60*Budget!B17,MAX(0,B31-(C31-C30))*0.25,0)</s:f>
        <s:v>0.0</s:v>
      </s:c>
      <s:c r="G31" s="114">
        <s:f>G30*(1+0.08/12)+IF(D30&gt;=Inputs!$C$60*Budget!B17,MAX(0,B31-(C31-C30))*0.25,0)</s:f>
        <s:v>0.0</s:v>
      </s:c>
      <s:c r="H31" s="59">
        <s:f>'Car Loan'!F31</s:f>
        <s:v>17226.73730292256</s:v>
      </s:c>
      <s:c r="I31" s="109">
        <s:f>C31+D31+E31+F31+G31</s:f>
        <s:v>35605.501997905725</s:v>
      </s:c>
      <s:c r="J31" s="119">
        <s:f>I31-H31</s:f>
        <s:v>18378.764694983165</s:v>
      </s:c>
    </s:row>
    <s:row r="32">
      <s:c r="A32" s="126">
        <s:f>'Cash Flow'!A32</s:f>
        <s:v>46996.0</s:v>
      </s:c>
      <s:c r="B32" s="69">
        <s:f>'Cash Flow'!F32</s:f>
        <s:v>1378.7005263157894</s:v>
      </s:c>
      <s:c r="C32" s="127">
        <s:f>C31+IF(B32&lt;0,B32,MIN(B32,Inputs!$C$45-C31))</s:f>
        <s:v>2000.0</s:v>
      </s:c>
      <s:c r="D32" s="127">
        <s:f>D31*(1+Inputs!$C$47/12)+IF(D31&lt;Inputs!$C$60*Budget!B17,MAX(0,B32-(C32-C31)),MAX(0,B32-(C32-C31))*0.30)-'Cash Flow'!H32</s:f>
        <s:v>17677.38205737184</s:v>
      </s:c>
      <s:c r="E32" s="127">
        <s:f>E31*(1+Inputs!$C$49/12)+'Cash Flow'!H32</s:f>
        <s:v>17414.310487451876</s:v>
      </s:c>
      <s:c r="F32" s="127">
        <s:f>F31+IF(D31&gt;=Inputs!$C$60*Budget!B17,MAX(0,B32-(C32-C31))*0.25,0)</s:f>
        <s:v>0.0</s:v>
      </s:c>
      <s:c r="G32" s="127">
        <s:f>G31*(1+0.08/12)+IF(D31&gt;=Inputs!$C$60*Budget!B17,MAX(0,B32-(C32-C31))*0.25,0)</s:f>
        <s:v>0.0</s:v>
      </s:c>
      <s:c r="H32" s="69">
        <s:f>'Car Loan'!F32</s:f>
        <s:v>16858.570854921636</s:v>
      </s:c>
      <s:c r="I32" s="109">
        <s:f>C32+D32+E32+F32+G32</s:f>
        <s:v>37091.692544823716</s:v>
      </s:c>
      <s:c r="J32" s="119">
        <s:f>I32-H32</s:f>
        <s:v>20233.12168990208</s:v>
      </s:c>
    </s:row>
  </s:sheetData>
  <s:mergeCells count="3">
    <s:mergeCell ref="C4:F4"/>
    <s:mergeCell ref="A1:J1"/>
    <s:mergeCell ref="A2:J2"/>
  </s:mergeCells>
  <s:pageMargins left="0.75" right="0.75" top="1" bottom="1" header="0.5" footer="0.5"/>
  <s:legacyDrawing r:id="anysvml"/>
</s:worksheet>
</file>

<file path=xl/worksheets/sheet16.xml><?xml version="1.0" encoding="utf-8"?>
<s:worksheet xmlns:s="http://schemas.openxmlformats.org/spreadsheetml/2006/main">
  <s:sheetPr>
    <s:tabColor rgb="001E7B4F"/>
    <s:outlinePr summaryBelow="1" summaryRight="1"/>
    <s:pageSetUpPr/>
  </s:sheetPr>
  <s:dimension ref="A1:E19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34" customWidth="1" min="1" max="1"/>
    <s:col width="15" customWidth="1" min="2" max="2"/>
    <s:col width="15" customWidth="1" min="3" max="3"/>
    <s:col width="4" customWidth="1" min="4" max="4"/>
    <s:col width="58" customWidth="1" min="5" max="5"/>
  </s:cols>
  <s:sheetData>
    <s:row r="1" ht="26" customHeight="1">
      <s:c r="A1" s="1" t="inlineStr">
        <s:is>
          <s:t>MONEY SPLIT  —  what to do the day money lands</s:t>
        </s:is>
      </s:c>
      <s:c r="B1" s="2" t="n"/>
      <s:c r="C1" s="2" t="n"/>
      <s:c r="D1" s="2" t="n"/>
      <s:c r="E1" s="2" t="n"/>
    </s:row>
    <s:row r="2" ht="16" customHeight="1">
      <s:c r="A2" s="3" t="inlineStr">
        <s:is>
          <s:t>Two situations: while the draw balance is still being worked through, and after it clears. You are in the first one.</s:t>
        </s:is>
      </s:c>
      <s:c r="B2" s="2" t="n"/>
      <s:c r="C2" s="2" t="n"/>
      <s:c r="D2" s="2" t="n"/>
      <s:c r="E2" s="2" t="n"/>
    </s:row>
    <s:row r="4">
      <s:c r="A4" s="128" t="inlineStr">
        <s:is>
          <s:t>WHILE YOU ARE WORKING THROUGH THE DRAW BALANCE</s:t>
        </s:is>
      </s:c>
    </s:row>
    <s:row r="5" ht="30" customHeight="1">
      <s:c r="A5" s="42" t="str">
        <s:f>"Your paycheck is "&amp;TEXT(Inputs!$C$10,"$#,##0.00")&amp;" a month, every month, no matter what closes. Commission never touches your bank - it goes straight to the balance. So the only lever you have right now is spending, and the plan is simple:"</s:f>
        <s:v>Your paycheck is $2,463.16 a month, every month, no matter what closes. Commission never touches your bank - it goes straight to the balance. So the only lever you have right now is spending, and the plan is simple:</s:v>
      </s:c>
    </s:row>
    <s:row r="6" ht="28" customHeight="1">
      <s:c r="A6" s="8" t="inlineStr">
        <s:is>
          <s:t>1. Checking to $2,000</s:t>
        </s:is>
      </s:c>
      <s:c r="B6" s="119">
        <s:f>MAX(0,Inputs!$C$45-Inputs!$C$44)</s:f>
        <s:v>1604.6</s:v>
      </s:c>
      <s:c r="E6" s="20" t="inlineStr">
        <s:is>
          <s:t>You're at $395.40 with $865.84 due by 10/14. Nothing else matters until this is fixed.</s:t>
        </s:is>
      </s:c>
    </s:row>
    <s:row r="7" ht="28" customHeight="1">
      <s:c r="A7" s="21" t="inlineStr">
        <s:is>
          <s:t>2. Everything spare to the emergency fund</s:t>
        </s:is>
      </s:c>
      <s:c r="B7" s="119">
        <s:f>MAX(0,Budget!B20)</s:f>
        <s:v>0.0</s:v>
      </s:c>
      <s:c r="E7" s="24" t="inlineStr">
        <s:is>
          <s:t>Whatever the budget leaves over. If that is negative, cut marketing first - it is the only truly optional line.</s:t>
        </s:is>
      </s:c>
    </s:row>
    <s:row r="8" ht="28" customHeight="1">
      <s:c r="A8" s="8" t="inlineStr">
        <s:is>
          <s:t>3. Open the Roth and the ring account now</s:t>
        </s:is>
      </s:c>
      <s:c r="B8" s="119">
        <s:f>0</s:f>
        <s:v>0.0</s:v>
      </s:c>
      <s:c r="E8" s="20" t="inlineStr">
        <s:is>
          <s:t>Even at $25/month. Opening them is the hard part; funding them is easy later.</s:t>
        </s:is>
      </s:c>
    </s:row>
    <s:row r="10">
      <s:c r="A10" s="129" t="inlineStr">
        <s:is>
          <s:t>AFTER THE ADVANCE CLEARS  —  when a real commission check arrives</s:t>
        </s:is>
      </s:c>
    </s:row>
    <s:row r="11">
      <s:c r="A11" s="8" t="inlineStr">
        <s:is>
          <s:t>Commission check (gross)</s:t>
        </s:is>
      </s:c>
      <s:c r="B11" s="43" t="n">
        <s:v>4500</s:v>
      </s:c>
      <s:c r="C11" s="56" t="inlineStr">
        <s:is>
          <s:t>&lt;- type it here</s:t>
        </s:is>
      </s:c>
    </s:row>
    <s:row r="12" ht="20" customHeight="1">
      <s:c r="A12" s="16" t="inlineStr">
        <s:is>
          <s:t>Step</s:t>
        </s:is>
      </s:c>
      <s:c r="B12" s="16" t="inlineStr">
        <s:is>
          <s:t>Amount</s:t>
        </s:is>
      </s:c>
      <s:c r="C12" s="16" t="inlineStr">
        <s:is>
          <s:t>Running left</s:t>
        </s:is>
      </s:c>
      <s:c r="D12" s="16" t="inlineStr"/>
      <s:c r="E12" s="16" t="inlineStr">
        <s:is>
          <s:t>Why</s:t>
        </s:is>
      </s:c>
    </s:row>
    <s:row r="13" ht="30" customHeight="1">
      <s:c r="A13" s="8" t="inlineStr">
        <s:is>
          <s:t>Withholding (taken before you see it)</s:t>
        </s:is>
      </s:c>
      <s:c r="B13" s="119">
        <s:f>$B$11*Inputs!$C$13</s:f>
        <s:v>990.0</s:v>
      </s:c>
      <s:c r="C13" s="83">
        <s:f>$B$11-B13</s:f>
        <s:v>3510.0</s:v>
      </s:c>
      <s:c r="E13" s="20" t="inlineStr">
        <s:is>
          <s:t>22% federal supplemental plus state. Already gone - just don't count it as yours.</s:t>
        </s:is>
      </s:c>
    </s:row>
    <s:row r="14" ht="30" customHeight="1">
      <s:c r="A14" s="21" t="inlineStr">
        <s:is>
          <s:t>1. Top checking back to the cushion</s:t>
        </s:is>
      </s:c>
      <s:c r="B14" s="119">
        <s:f>MIN(C13,MAX(0,Inputs!$C$45-Inputs!$C$44))</s:f>
        <s:v>1604.6</s:v>
      </s:c>
      <s:c r="C14" s="80">
        <s:f>C13-B14</s:f>
        <s:v>1905.4</s:v>
      </s:c>
      <s:c r="E14" s="24" t="inlineStr">
        <s:is>
          <s:t>Every single time. It is the buffer that stops a slow month becoming credit card debt.</s:t>
        </s:is>
      </s:c>
    </s:row>
    <s:row r="15" ht="30" customHeight="1">
      <s:c r="A15" s="8" t="inlineStr">
        <s:is>
          <s:t>2. Emergency fund until full</s:t>
        </s:is>
      </s:c>
      <s:c r="B15" s="119">
        <s:f>MIN(C14,MAX(0,Accounts!$B$4-Inputs!$C$46))</s:f>
        <s:v>1905.4</s:v>
      </s:c>
      <s:c r="C15" s="83">
        <s:f>C14-B15</s:f>
        <s:v>0.0</s:v>
      </s:c>
      <s:c r="E15" s="20" t="inlineStr">
        <s:is>
          <s:t>6 months of costs. Your income has no floor above the draw, so this is your only shock absorber.</s:t>
        </s:is>
      </s:c>
    </s:row>
    <s:row r="16" ht="30" customHeight="1">
      <s:c r="A16" s="21" t="inlineStr">
        <s:is>
          <s:t>3. Roth IRA</s:t>
        </s:is>
      </s:c>
      <s:c r="B16" s="119">
        <s:f>C15*0.30</s:f>
        <s:v>0.0</s:v>
      </s:c>
      <s:c r="C16" s="80">
        <s:f>C15-B16</s:f>
        <s:v>0.0</s:v>
      </s:c>
      <s:c r="E16" s="24" t="inlineStr">
        <s:is>
          <s:t>You're 25 with $0 invested. $7,000/yr at 8% to age 65 is about $1.8M. One year of delay costs roughly $145,000.</s:t>
        </s:is>
      </s:c>
    </s:row>
    <s:row r="17" ht="30" customHeight="1">
      <s:c r="A17" s="8" t="inlineStr">
        <s:is>
          <s:t>4. Ring / travel</s:t>
        </s:is>
      </s:c>
      <s:c r="B17" s="119">
        <s:f>C16*0.30</s:f>
        <s:v>0.0</s:v>
      </s:c>
      <s:c r="C17" s="83">
        <s:f>C16-B17</s:f>
        <s:v>0.0</s:v>
      </s:c>
      <s:c r="E17" s="20" t="inlineStr">
        <s:is>
          <s:t>Dated goal ~2 years out. Cash only - never invest money you need inside three years.</s:t>
        </s:is>
      </s:c>
    </s:row>
    <s:row r="18" ht="30" customHeight="1">
      <s:c r="A18" s="21" t="inlineStr">
        <s:is>
          <s:t>5. House fund</s:t>
        </s:is>
      </s:c>
      <s:c r="B18" s="119">
        <s:f>C17*0.25</s:f>
        <s:v>0.0</s:v>
      </s:c>
      <s:c r="C18" s="80">
        <s:f>C17-B18</s:f>
        <s:v>0.0</s:v>
      </s:c>
      <s:c r="E18" s="24" t="inlineStr">
        <s:is>
          <s:t>Separate account so you can watch both clocks.</s:t>
        </s:is>
      </s:c>
    </s:row>
    <s:row r="19" ht="30" customHeight="1">
      <s:c r="A19" s="8" t="inlineStr">
        <s:is>
          <s:t>6. Guilt-free</s:t>
        </s:is>
      </s:c>
      <s:c r="B19" s="119">
        <s:f>C18*1.00</s:f>
        <s:v>0.0</s:v>
      </s:c>
      <s:c r="C19" s="83">
        <s:f>C18-B19</s:f>
        <s:v>0.0</s:v>
      </s:c>
      <s:c r="E19" s="20" t="inlineStr">
        <s:is>
          <s:t>Non-negotiable. A budget with no fun in it gets abandoned in about six weeks.</s:t>
        </s:is>
      </s:c>
    </s:row>
  </s:sheetData>
  <s:mergeCells count="5">
    <s:mergeCell ref="A4:E4"/>
    <s:mergeCell ref="A2:E2"/>
    <s:mergeCell ref="A10:E10"/>
    <s:mergeCell ref="A1:E1"/>
    <s:mergeCell ref="A5:E5"/>
  </s:mergeCells>
  <s:pageMargins left="0.75" right="0.75" top="1" bottom="1" header="0.5" footer="0.5"/>
</s:worksheet>
</file>

<file path=xl/worksheets/sheet17.xml><?xml version="1.0" encoding="utf-8"?>
<s:worksheet xmlns:s="http://schemas.openxmlformats.org/spreadsheetml/2006/main">
  <s:sheetPr>
    <s:tabColor rgb="00FFF2CC"/>
    <s:outlinePr summaryBelow="1" summaryRight="1"/>
    <s:pageSetUpPr/>
  </s:sheetPr>
  <s:dimension ref="A1:G14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24" customWidth="1" min="1" max="1"/>
    <s:col width="14" customWidth="1" min="2" max="2"/>
    <s:col width="13" customWidth="1" min="3" max="3"/>
    <s:col width="9" customWidth="1" min="4" max="4"/>
    <s:col width="13" customWidth="1" min="5" max="5"/>
    <s:col width="14" customWidth="1" min="6" max="6"/>
    <s:col width="46" customWidth="1" min="7" max="7"/>
  </s:cols>
  <s:sheetData>
    <s:row r="1" ht="26" customHeight="1">
      <s:c r="A1" s="1" t="inlineStr">
        <s:is>
          <s:t>GOALS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Set the target and the date; it tells you the monthly cost. The GAP row is the honest bit.</s:t>
        </s:is>
      </s:c>
      <s:c r="B2" s="2" t="n"/>
      <s:c r="C2" s="2" t="n"/>
      <s:c r="D2" s="2" t="n"/>
      <s:c r="E2" s="2" t="n"/>
      <s:c r="F2" s="2" t="n"/>
      <s:c r="G2" s="2" t="n"/>
    </s:row>
    <s:row r="5" ht="30" customHeight="1">
      <s:c r="A5" s="16" t="inlineStr">
        <s:is>
          <s:t>Goal</s:t>
        </s:is>
      </s:c>
      <s:c r="B5" s="16" t="inlineStr">
        <s:is>
          <s:t>Target</s:t>
        </s:is>
      </s:c>
      <s:c r="C5" s="16" t="inlineStr">
        <s:is>
          <s:t>By when</s:t>
        </s:is>
      </s:c>
      <s:c r="D5" s="16" t="inlineStr">
        <s:is>
          <s:t>Months</s:t>
        </s:is>
      </s:c>
      <s:c r="E5" s="16" t="inlineStr">
        <s:is>
          <s:t>Have now</s:t>
        </s:is>
      </s:c>
      <s:c r="F5" s="16" t="inlineStr">
        <s:is>
          <s:t>Need/month</s:t>
        </s:is>
      </s:c>
      <s:c r="G5" s="16" t="inlineStr">
        <s:is>
          <s:t>Note</s:t>
        </s:is>
      </s:c>
    </s:row>
    <s:row r="6" ht="30" customHeight="1">
      <s:c r="A6" s="8" t="inlineStr">
        <s:is>
          <s:t>Work through the draw balance</s:t>
        </s:is>
      </s:c>
      <s:c r="B6" s="83">
        <s:f>Inputs!$C$17</s:f>
        <s:v>16500.0</s:v>
      </s:c>
      <s:c r="C6" s="63">
        <s:f>EDATE(Inputs!$C$59,12)</s:f>
        <s:v>46640.0</s:v>
      </s:c>
      <s:c r="D6" s="61">
        <s:f>MAX(1,ROUND((C6-Inputs!$C$59)/30.44,0))</s:f>
        <s:v>12.0</s:v>
      </s:c>
      <s:c r="E6" s="59">
        <s:f>0</s:f>
        <s:v>0.0</s:v>
      </s:c>
      <s:c r="F6" s="119">
        <s:f>MAX(0,B6-E6)/D6</s:f>
        <s:v>1375.0</s:v>
      </s:c>
      <s:c r="G6" s="20" t="inlineStr">
        <s:is>
          <s:t>Comes out of commission, not your budget. Not a debt - just the gate before extra money reaches you.</s:t>
        </s:is>
      </s:c>
    </s:row>
    <s:row r="7" ht="30" customHeight="1">
      <s:c r="A7" s="21" t="inlineStr">
        <s:is>
          <s:t>Checking cushion</s:t>
        </s:is>
      </s:c>
      <s:c r="B7" s="80">
        <s:f>Inputs!$C$45</s:f>
        <s:v>2000.0</s:v>
      </s:c>
      <s:c r="C7" s="73">
        <s:f>EDATE(Inputs!$C$59,2)</s:f>
        <s:v>46336.0</s:v>
      </s:c>
      <s:c r="D7" s="71">
        <s:f>MAX(1,ROUND((C7-Inputs!$C$59)/30.44,0))</s:f>
        <s:v>2.0</s:v>
      </s:c>
      <s:c r="E7" s="69">
        <s:f>Inputs!$C$44</s:f>
        <s:v>395.4</s:v>
      </s:c>
      <s:c r="F7" s="119">
        <s:f>MAX(0,B7-E7)/D7</s:f>
        <s:v>802.3</s:v>
      </s:c>
      <s:c r="G7" s="24" t="inlineStr">
        <s:is>
          <s:t>Most urgent thing on this page.</s:t>
        </s:is>
      </s:c>
    </s:row>
    <s:row r="8" ht="30" customHeight="1">
      <s:c r="A8" s="8" t="inlineStr">
        <s:is>
          <s:t>Emergency fund</s:t>
        </s:is>
      </s:c>
      <s:c r="B8" s="83">
        <s:f>Inputs!$C$60*Budget!B17</s:f>
        <s:v>17036.756842105264</s:v>
      </s:c>
      <s:c r="C8" s="63">
        <s:f>EDATE(Inputs!$C$59,18)</s:f>
        <s:v>46822.0</s:v>
      </s:c>
      <s:c r="D8" s="61">
        <s:f>MAX(1,ROUND((C8-Inputs!$C$59)/30.44,0))</s:f>
        <s:v>18.0</s:v>
      </s:c>
      <s:c r="E8" s="59">
        <s:f>Inputs!$C$46</s:f>
        <s:v>8398.9</s:v>
      </s:c>
      <s:c r="F8" s="119">
        <s:f>MAX(0,B8-E8)/D8</s:f>
        <s:v>479.8809356725147</s:v>
      </s:c>
      <s:c r="G8" s="20" t="inlineStr">
        <s:is>
          <s:t>Your HYSA already covers a lot of this.</s:t>
        </s:is>
      </s:c>
    </s:row>
    <s:row r="9" ht="30" customHeight="1">
      <s:c r="A9" s="21" t="inlineStr">
        <s:is>
          <s:t>Roth IRA (this year)</s:t>
        </s:is>
      </s:c>
      <s:c r="B9" s="80">
        <s:f>7000</s:f>
        <s:v>7000.0</s:v>
      </s:c>
      <s:c r="C9" s="73">
        <s:f>DATE(YEAR(Inputs!$C$59)+1,4,15)</s:f>
        <s:v>46492.0</s:v>
      </s:c>
      <s:c r="D9" s="71">
        <s:f>MAX(1,ROUND((C9-Inputs!$C$59)/30.44,0))</s:f>
        <s:v>7.0</s:v>
      </s:c>
      <s:c r="E9" s="69">
        <s:f>Inputs!$C$53</s:f>
        <s:v>0.0</s:v>
      </s:c>
      <s:c r="F9" s="119">
        <s:f>MAX(0,B9-E9)/D9</s:f>
        <s:v>1000.0</s:v>
      </s:c>
      <s:c r="G9" s="24" t="inlineStr">
        <s:is>
          <s:t>You have until tax day of the following year to fund the prior year. Verify the 2026 limit.</s:t>
        </s:is>
      </s:c>
    </s:row>
    <s:row r="10" ht="30" customHeight="1">
      <s:c r="A10" s="8" t="inlineStr">
        <s:is>
          <s:t>Ring + proposal</s:t>
        </s:is>
      </s:c>
      <s:c r="B10" s="83">
        <s:f>Inputs!$C$61</s:f>
        <s:v>12000.0</s:v>
      </s:c>
      <s:c r="C10" s="63">
        <s:f>Inputs!$C$62</s:f>
        <s:v>46997.0</s:v>
      </s:c>
      <s:c r="D10" s="61">
        <s:f>MAX(1,ROUND((C10-Inputs!$C$59)/30.44,0))</s:f>
        <s:v>24.0</s:v>
      </s:c>
      <s:c r="E10" s="59">
        <s:f>Inputs!$C$52</s:f>
        <s:v>0.0</s:v>
      </s:c>
      <s:c r="F10" s="119">
        <s:f>MAX(0,B10-E10)/D10</s:f>
        <s:v>500.0</s:v>
      </s:c>
      <s:c r="G10" s="20" t="inlineStr">
        <s:is>
          <s:t>Cash only.</s:t>
        </s:is>
      </s:c>
    </s:row>
    <s:row r="11" ht="30" customHeight="1">
      <s:c r="A11" s="21" t="inlineStr">
        <s:is>
          <s:t>House down payment</s:t>
        </s:is>
      </s:c>
      <s:c r="B11" s="80">
        <s:f>Inputs!$C$63*Inputs!$C$64+Inputs!$C$63*0.03</s:f>
        <s:v>32000.0</s:v>
      </s:c>
      <s:c r="C11" s="73">
        <s:f>Inputs!$C$65</s:f>
        <s:v>47178.0</s:v>
      </s:c>
      <s:c r="D11" s="71">
        <s:f>MAX(1,ROUND((C11-Inputs!$C$59)/30.44,0))</s:f>
        <s:v>30.0</s:v>
      </s:c>
      <s:c r="E11" s="69">
        <s:f>0</s:f>
        <s:v>0.0</s:v>
      </s:c>
      <s:c r="F11" s="119">
        <s:f>MAX(0,B11-E11)/D11</s:f>
        <s:v>1066.6666666666667</s:v>
      </s:c>
      <s:c r="G11" s="24" t="inlineStr">
        <s:is>
          <s:t>5% down + 3% costs. FHA at 3.5% cuts this.</s:t>
        </s:is>
      </s:c>
    </s:row>
    <s:row r="12">
      <s:c r="A12" s="97" t="inlineStr">
        <s:is>
          <s:t>TOTAL NEEDED PER MONTH</s:t>
        </s:is>
      </s:c>
      <s:c r="F12" s="120">
        <s:f>SUM(F7:F11)</s:f>
        <s:v>3848.8476023391813</s:v>
      </s:c>
    </s:row>
    <s:row r="13">
      <s:c r="A13" s="8" t="inlineStr">
        <s:is>
          <s:t>Your surplus per month</s:t>
        </s:is>
      </s:c>
      <s:c r="F13" s="119">
        <s:f>Budget!B20</s:f>
        <s:v>-376.2994736842106</s:v>
      </s:c>
    </s:row>
    <s:row r="14" ht="46" customHeight="1">
      <s:c r="A14" s="97" t="inlineStr">
        <s:is>
          <s:t>GAP</s:t>
        </s:is>
      </s:c>
      <s:c r="F14" s="123">
        <s:f>F13-F12</s:f>
        <s:v>-4225.1470760233915</s:v>
      </s:c>
      <s:c r="G14" s="124" t="inlineStr">
        <s:is>
          <s:t>Negative means these do not all fit yet. That is not a budgeting failure - it is the sheet telling you the answer is more closings, or a later date. Row 7 is excluded from your budget on purpose: the balance is offset by commission, not paid from your paycheck.</s:t>
        </s:is>
      </s:c>
    </s:row>
  </s:sheetData>
  <s:mergeCells count="2">
    <s:mergeCell ref="A2:G2"/>
    <s:mergeCell ref="A1:G1"/>
  </s:mergeCells>
  <s:pageMargins left="0.75" right="0.75" top="1" bottom="1" header="0.5" footer="0.5"/>
</s:worksheet>
</file>

<file path=xl/worksheets/sheet18.xml><?xml version="1.0" encoding="utf-8"?>
<s:worksheet xmlns:s="http://schemas.openxmlformats.org/spreadsheetml/2006/main">
  <s:sheetPr>
    <s:tabColor rgb="001F4E79"/>
    <s:outlinePr summaryBelow="1" summaryRight="1"/>
    <s:pageSetUpPr/>
  </s:sheetPr>
  <s:dimension ref="A1:F41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6" customWidth="1" min="2" max="2"/>
    <s:col width="16" customWidth="1" min="3" max="3"/>
    <s:col width="16" customWidth="1" min="4" max="4"/>
    <s:col width="4" customWidth="1" min="5" max="5"/>
    <s:col width="62" customWidth="1" min="6" max="6"/>
  </s:cols>
  <s:sheetData>
    <s:row r="1" ht="26" customHeight="1">
      <s:c r="A1" s="1" t="inlineStr">
        <s:is>
          <s:t>CREDIT &amp; HOME</s:t>
        </s:is>
      </s:c>
      <s:c r="B1" s="2" t="n"/>
      <s:c r="C1" s="2" t="n"/>
      <s:c r="D1" s="2" t="n"/>
      <s:c r="E1" s="2" t="n"/>
      <s:c r="F1" s="2" t="n"/>
    </s:row>
    <s:row r="2" ht="16" customHeight="1">
      <s:c r="A2" s="3" t="inlineStr">
        <s:is>
          <s:t>You asked whether to pay the card in full. Yes - but WHEN you pay changes your score. Then: what you can actually qualify for.</s:t>
        </s:is>
      </s:c>
      <s:c r="B2" s="2" t="n"/>
      <s:c r="C2" s="2" t="n"/>
      <s:c r="D2" s="2" t="n"/>
      <s:c r="E2" s="2" t="n"/>
      <s:c r="F2" s="2" t="n"/>
    </s:row>
    <s:row r="5" ht="19" customHeight="1">
      <s:c r="A5" s="4" t="inlineStr">
        <s:is>
          <s:t xml:space="preserve">  A.  THE CARD  —  pay in full, but pay twice</s:t>
        </s:is>
      </s:c>
      <s:c r="B5" s="5" t="n"/>
      <s:c r="C5" s="5" t="n"/>
      <s:c r="D5" s="5" t="n"/>
      <s:c r="E5" s="5" t="n"/>
      <s:c r="F5" s="5" t="n"/>
    </s:row>
    <s:row r="6" ht="30" customHeight="1">
      <s:c r="B6" s="130" t="inlineStr">
        <s:is>
          <s:t>The myth</s:t>
        </s:is>
      </s:c>
      <s:c r="C6" s="9" t="inlineStr">
        <s:is>
          <s:t>Carrying a balance 'builds credit'. It does not. It costs you interest and does nothing for your score.</s:t>
        </s:is>
      </s:c>
      <s:c r="D6" s="14" t="n"/>
      <s:c r="E6" s="14" t="n"/>
      <s:c r="F6" s="15" t="n"/>
    </s:row>
    <s:row r="7" ht="30" customHeight="1">
      <s:c r="B7" s="130" t="inlineStr">
        <s:is>
          <s:t>The mechanic</s:t>
        </s:is>
      </s:c>
      <s:c r="C7" s="9" t="inlineStr">
        <s:is>
          <s:t>Your issuer reports your balance on the STATEMENT CLOSING date, not the due date. Whatever the statement says is what the bureaus see for the next 30 days.</s:t>
        </s:is>
      </s:c>
      <s:c r="D7" s="14" t="n"/>
      <s:c r="E7" s="14" t="n"/>
      <s:c r="F7" s="15" t="n"/>
    </s:row>
    <s:row r="8" ht="30" customHeight="1">
      <s:c r="B8" s="130" t="inlineStr">
        <s:is>
          <s:t>So do this</s:t>
        </s:is>
      </s:c>
      <s:c r="C8" s="9" t="inlineStr">
        <s:is>
          <s:t>Pay it down to about 5% of your limit a few days BEFORE the statement closes. Let that small balance report. Then pay the remainder in full by the 7th. Zero interest, near-perfect utilization.</s:t>
        </s:is>
      </s:c>
      <s:c r="D8" s="14" t="n"/>
      <s:c r="E8" s="14" t="n"/>
      <s:c r="F8" s="15" t="n"/>
    </s:row>
    <s:row r="9" ht="30" customHeight="1">
      <s:c r="B9" s="130" t="inlineStr">
        <s:is>
          <s:t>Why not $0?</s:t>
        </s:is>
      </s:c>
      <s:c r="C9" s="9" t="inlineStr">
        <s:is>
          <s:t>Reporting all zeros can actually score slightly lower than one small balance. Let one card report 1-9% and everything else zero.</s:t>
        </s:is>
      </s:c>
      <s:c r="D9" s="14" t="n"/>
      <s:c r="E9" s="14" t="n"/>
      <s:c r="F9" s="15" t="n"/>
    </s:row>
    <s:row r="10" ht="30" customHeight="1">
      <s:c r="B10" s="130" t="inlineStr">
        <s:is>
          <s:t>On a $5,000 limit</s:t>
        </s:is>
      </s:c>
      <s:c r="C10" s="9" t="inlineStr">
        <s:is>
          <s:t>Let about $250 report, then clear it. That is the whole trick.</s:t>
        </s:is>
      </s:c>
      <s:c r="D10" s="14" t="n"/>
      <s:c r="E10" s="14" t="n"/>
      <s:c r="F10" s="15" t="n"/>
    </s:row>
    <s:row r="12" ht="19" customHeight="1">
      <s:c r="A12" s="4" t="inlineStr">
        <s:is>
          <s:t xml:space="preserve">  B.  YOU HAVE 2 LINES. HERE IS THE ORDER.</s:t>
        </s:is>
      </s:c>
      <s:c r="B12" s="5" t="n"/>
      <s:c r="C12" s="5" t="n"/>
      <s:c r="D12" s="5" t="n"/>
      <s:c r="E12" s="5" t="n"/>
      <s:c r="F12" s="5" t="n"/>
    </s:row>
    <s:row r="13" ht="30" customHeight="1">
      <s:c r="A13" s="16" t="inlineStr"/>
      <s:c r="B13" s="16" t="inlineStr">
        <s:is>
          <s:t>When</s:t>
        </s:is>
      </s:c>
      <s:c r="C13" s="16" t="inlineStr">
        <s:is>
          <s:t>Do this</s:t>
        </s:is>
      </s:c>
      <s:c r="D13" s="16" t="inlineStr"/>
      <s:c r="E13" s="16" t="inlineStr"/>
      <s:c r="F13" s="16" t="inlineStr">
        <s:is>
          <s:t>Why</s:t>
        </s:is>
      </s:c>
    </s:row>
    <s:row r="14" ht="30" customHeight="1">
      <s:c r="B14" s="8" t="inlineStr">
        <s:is>
          <s:t>Now</s:t>
        </s:is>
      </s:c>
      <s:c r="C14" s="9" t="inlineStr">
        <s:is>
          <s:t>Ask your issuer for a credit-limit increase.</s:t>
        </s:is>
      </s:c>
      <s:c r="D14" s="14" t="n"/>
      <s:c r="E14" s="15" t="n"/>
      <s:c r="F14" s="20" t="inlineStr">
        <s:is>
          <s:t>Usually a soft pull. Instantly lowers utilization. Free points.</s:t>
        </s:is>
      </s:c>
    </s:row>
    <s:row r="15" ht="30" customHeight="1">
      <s:c r="B15" s="21" t="inlineStr">
        <s:is>
          <s:t>Now</s:t>
        </s:is>
      </s:c>
      <s:c r="C15" s="96" t="inlineStr">
        <s:is>
          <s:t>Get added as an authorized user on a parent's oldest card.</s:t>
        </s:is>
      </s:c>
      <s:c r="D15" s="14" t="n"/>
      <s:c r="E15" s="15" t="n"/>
      <s:c r="F15" s="24" t="inlineStr">
        <s:is>
          <s:t>You inherit its age and limit. Nothing moves a thin file faster, and you live at home - just ask.</s:t>
        </s:is>
      </s:c>
    </s:row>
    <s:row r="16" ht="30" customHeight="1">
      <s:c r="B16" s="8" t="inlineStr">
        <s:is>
          <s:t>Q4 2026</s:t>
        </s:is>
      </s:c>
      <s:c r="C16" s="9" t="inlineStr">
        <s:is>
          <s:t>Open card #2 - one that pays 3-4% on gas.</s:t>
        </s:is>
      </s:c>
      <s:c r="D16" s="14" t="n"/>
      <s:c r="E16" s="15" t="n"/>
      <s:c r="F16" s="20" t="inlineStr">
        <s:is>
          <s:t>You spend ~$216/mo on fuel. That is ~$78/yr back, plus a third line.</s:t>
        </s:is>
      </s:c>
    </s:row>
    <s:row r="17" ht="30" customHeight="1">
      <s:c r="B17" s="21" t="inlineStr">
        <s:is>
          <s:t>Mid 2027</s:t>
        </s:is>
      </s:c>
      <s:c r="C17" s="96" t="inlineStr">
        <s:is>
          <s:t>Open card #3 or a small credit-builder loan.</s:t>
        </s:is>
      </s:c>
      <s:c r="D17" s="14" t="n"/>
      <s:c r="E17" s="15" t="n"/>
      <s:c r="F17" s="24" t="inlineStr">
        <s:is>
          <s:t>Gets you to 4-5 lines with real history before you apply.</s:t>
        </s:is>
      </s:c>
    </s:row>
    <s:row r="18" ht="30" customHeight="1">
      <s:c r="B18" s="6" t="inlineStr">
        <s:is>
          <s:t>From ~Mar 2028</s:t>
        </s:is>
      </s:c>
      <s:c r="C18" s="9" t="inlineStr">
        <s:is>
          <s:t>STOP. No new accounts, no new car.</s:t>
        </s:is>
      </s:c>
      <s:c r="D18" s="14" t="n"/>
      <s:c r="E18" s="15" t="n"/>
      <s:c r="F18" s="20" t="inlineStr">
        <s:is>
          <s:t>HARD RULE. New accounts within 12 months of a mortgage application lower your average age and add inquiries exactly when pricing matters.</s:t>
        </s:is>
      </s:c>
    </s:row>
    <s:row r="19" ht="30" customHeight="1">
      <s:c r="B19" s="21" t="inlineStr">
        <s:is>
          <s:t>Always</s:t>
        </s:is>
      </s:c>
      <s:c r="C19" s="96" t="inlineStr">
        <s:is>
          <s:t>Never miss a payment by even a day.</s:t>
        </s:is>
      </s:c>
      <s:c r="D19" s="14" t="n"/>
      <s:c r="E19" s="15" t="n"/>
      <s:c r="F19" s="24" t="inlineStr">
        <s:is>
          <s:t>35% of your score. One 30-day late can cost 60-100 points and takes 7 years to age off.</s:t>
        </s:is>
      </s:c>
    </s:row>
    <s:row r="21" ht="19" customHeight="1">
      <s:c r="A21" s="4" t="inlineStr">
        <s:is>
          <s:t xml:space="preserve">  C.  THE HOUSE  —  your real constraint is income history, not savings</s:t>
        </s:is>
      </s:c>
      <s:c r="B21" s="5" t="n"/>
      <s:c r="C21" s="5" t="n"/>
      <s:c r="D21" s="5" t="n"/>
      <s:c r="E21" s="5" t="n"/>
      <s:c r="F21" s="5" t="n"/>
    </s:row>
    <s:row r="22" ht="30" customHeight="1">
      <s:c r="B22" s="131" t="inlineStr">
        <s:is>
          <s:t>Commission income normally needs a 2-year history to count as qualifying income. You started 3/31/2026, so your first clean 2-year look is around APRIL 2028. Note: while the balance is being worked through your W-2 shows the draw only. A lender looks at documented income - and right now that is about $36,000 gross. Verify against current agency guidelines and your AUS findings.</s:t>
        </s:is>
      </s:c>
    </s:row>
    <s:row r="23"/>
    <s:row r="24"/>
    <s:row r="26" ht="30" customHeight="1">
      <s:c r="A26" s="16" t="inlineStr"/>
      <s:c r="B26" s="16" t="inlineStr">
        <s:is>
          <s:t>Input</s:t>
        </s:is>
      </s:c>
      <s:c r="C26" s="16" t="inlineStr">
        <s:is>
          <s:t>Value</s:t>
        </s:is>
      </s:c>
      <s:c r="D26" s="16" t="inlineStr"/>
      <s:c r="E26" s="16" t="inlineStr"/>
      <s:c r="F26" s="16" t="inlineStr">
        <s:is>
          <s:t>Note</s:t>
        </s:is>
      </s:c>
    </s:row>
    <s:row r="27">
      <s:c r="B27" s="82" t="inlineStr">
        <s:is>
          <s:t>Qualifying monthly income</s:t>
        </s:is>
      </s:c>
      <s:c r="C27" s="132">
        <s:f>Inputs!$C$9</s:f>
        <s:v>3000.0</s:v>
      </s:c>
      <s:c r="F27" s="20" t="inlineStr">
        <s:is>
          <s:t>Gross draw. Once you have 2 years of history this becomes the average of draw + commission.</s:t>
        </s:is>
      </s:c>
    </s:row>
    <s:row r="28">
      <s:c r="B28" s="79" t="inlineStr">
        <s:is>
          <s:t>Max back-end DTI</s:t>
        </s:is>
      </s:c>
      <s:c r="C28" s="55" t="n">
        <s:v>0.45</s:v>
      </s:c>
      <s:c r="F28" s="24" t="inlineStr">
        <s:is>
          <s:t>45% conventional; AUS sometimes stretches further.</s:t>
        </s:is>
      </s:c>
    </s:row>
    <s:row r="29">
      <s:c r="B29" s="82" t="inlineStr">
        <s:is>
          <s:t>Auto payment</s:t>
        </s:is>
      </s:c>
      <s:c r="C29" s="132">
        <s:f>Inputs!$C$27</s:f>
        <s:v>475.69</s:v>
      </s:c>
      <s:c r="F29" s="20" t="inlineStr">
        <s:is>
          <s:t>This one payment is eating a big share of your buying power.</s:t>
        </s:is>
      </s:c>
    </s:row>
    <s:row r="30">
      <s:c r="B30" s="79" t="inlineStr">
        <s:is>
          <s:t>Credit card minimum</s:t>
        </s:is>
      </s:c>
      <s:c r="C30" s="132">
        <s:f>MAX(25,Inputs!$C$54*0.03)</s:f>
        <s:v>25.0</s:v>
      </s:c>
      <s:c r="F30" s="24" t="inlineStr">
        <s:is>
          <s:t>Counted even though you pay in full.</s:t>
        </s:is>
      </s:c>
    </s:row>
    <s:row r="31">
      <s:c r="B31" s="82" t="inlineStr">
        <s:is>
          <s:t>Mortgage rate</s:t>
        </s:is>
      </s:c>
      <s:c r="C31" s="46" t="n">
        <s:v>0.065</s:v>
      </s:c>
      <s:c r="F31" s="20" t="inlineStr">
        <s:is>
          <s:t>Use your live pricing.</s:t>
        </s:is>
      </s:c>
    </s:row>
    <s:row r="32">
      <s:c r="B32" s="79" t="inlineStr">
        <s:is>
          <s:t>Property tax rate</s:t>
        </s:is>
      </s:c>
      <s:c r="C32" s="46" t="n">
        <s:v>0.012</s:v>
      </s:c>
      <s:c r="F32" s="24" t="inlineStr">
        <s:is>
          <s:t>Maine mill rates vary a lot by town.</s:t>
        </s:is>
      </s:c>
    </s:row>
    <s:row r="33">
      <s:c r="B33" s="82" t="inlineStr">
        <s:is>
          <s:t>Insurance rate</s:t>
        </s:is>
      </s:c>
      <s:c r="C33" s="46" t="n">
        <s:v>0.0035</s:v>
      </s:c>
      <s:c r="F33" s="20" t="inlineStr">
        <s:is>
          <s:t>Annual, % of price.</s:t>
        </s:is>
      </s:c>
    </s:row>
    <s:row r="34">
      <s:c r="B34" s="79" t="inlineStr">
        <s:is>
          <s:t>PMI rate</s:t>
        </s:is>
      </s:c>
      <s:c r="C34" s="46" t="n">
        <s:v>0.005</s:v>
      </s:c>
      <s:c r="F34" s="24" t="inlineStr">
        <s:is>
          <s:t>Conventional under 20% down.</s:t>
        </s:is>
      </s:c>
    </s:row>
    <s:row r="35">
      <s:c r="B35" s="8" t="inlineStr">
        <s:is>
          <s:t>Max PITI available</s:t>
        </s:is>
      </s:c>
      <s:c r="C35" s="45">
        <s:f>MAX(0,C27*C28-C29-C30)</s:f>
        <s:v>849.31</s:v>
      </s:c>
    </s:row>
    <s:row r="37" ht="30" customHeight="1">
      <s:c r="A37" s="16" t="inlineStr"/>
      <s:c r="B37" s="16" t="inlineStr">
        <s:is>
          <s:t>Loan program</s:t>
        </s:is>
      </s:c>
      <s:c r="C37" s="16" t="inlineStr">
        <s:is>
          <s:t>Down</s:t>
        </s:is>
      </s:c>
      <s:c r="D37" s="16" t="inlineStr">
        <s:is>
          <s:t>Max purchase price</s:t>
        </s:is>
      </s:c>
      <s:c r="E37" s="16" t="inlineStr">
        <s:is>
          <s:t>Cash to close</s:t>
        </s:is>
      </s:c>
      <s:c r="F37" s="16" t="inlineStr">
        <s:is>
          <s:t>Note</s:t>
        </s:is>
      </s:c>
    </s:row>
    <s:row r="38">
      <s:c r="B38" s="82" t="inlineStr">
        <s:is>
          <s:t>Conventional 5%</s:t>
        </s:is>
      </s:c>
      <s:c r="C38" s="55" t="n">
        <s:v>0.05</s:v>
      </s:c>
      <s:c r="D38" s="133">
        <s:f>IFERROR($C$35/((1-C38)*(C31/12)/(1-(1+C31/12)^-360)+C32/12+C33/12+IF(C38&lt;0.2,(1-C38)*C34/12*1,0)),0)</s:f>
        <s:v>110412.61766973247</s:v>
      </s:c>
      <s:c r="E38" s="25">
        <s:f>D38*C38+D38*0.03</s:f>
        <s:v>8833.009413578598</s:v>
      </s:c>
      <s:c r="F38" s="20" t="inlineStr">
        <s:is>
          <s:t>PMI until 78% LTV.</s:t>
        </s:is>
      </s:c>
    </s:row>
    <s:row r="39">
      <s:c r="B39" s="79" t="inlineStr">
        <s:is>
          <s:t>FHA 3.5%</s:t>
        </s:is>
      </s:c>
      <s:c r="C39" s="55" t="n">
        <s:v>0.035</s:v>
      </s:c>
      <s:c r="D39" s="133">
        <s:f>IFERROR($C$35/((1-C39)*(C31/12)/(1-(1+C31/12)^-360)+C32/12+C33/12+IF(C39&lt;0.2,(1-C39)*C34/12*1,0)),0)</s:f>
        <s:v>108980.81655959178</s:v>
      </s:c>
      <s:c r="E39" s="22">
        <s:f>D39*C39+D39*0.03</s:f>
        <s:v>7083.753076373467</s:v>
      </s:c>
      <s:c r="F39" s="24" t="inlineStr">
        <s:is>
          <s:t>Easier DTI; MIP generally for the life of the loan.</s:t>
        </s:is>
      </s:c>
    </s:row>
    <s:row r="40">
      <s:c r="B40" s="82" t="inlineStr">
        <s:is>
          <s:t>USDA 0%</s:t>
        </s:is>
      </s:c>
      <s:c r="C40" s="55" t="n">
        <s:v>0</s:v>
      </s:c>
      <s:c r="D40" s="133">
        <s:f>IFERROR($C$35/((1-C40)*(C31/12)/(1-(1+C31/12)^-360)+C32/12+C33/12+IF(C40&lt;0.2,(1-C40)*C34/12*0,0)),0)</s:f>
        <s:v>111570.05992749732</s:v>
      </s:c>
      <s:c r="E40" s="25">
        <s:f>D40*C40+D40*0.03</s:f>
        <s:v>3347.1017978249197</s:v>
      </s:c>
      <s:c r="F40" s="20" t="inlineStr">
        <s:is>
          <s:t>Big in Maine - most of the state outside the Portland/Bangor cores qualifies. Income limits apply.</s:t>
        </s:is>
      </s:c>
    </s:row>
    <s:row r="41">
      <s:c r="B41" s="79" t="inlineStr">
        <s:is>
          <s:t>MaineHousing First Home</s:t>
        </s:is>
      </s:c>
      <s:c r="C41" s="55" t="n">
        <s:v>0.035</s:v>
      </s:c>
      <s:c r="D41" s="133">
        <s:f>IFERROR($C$35/((1-C41)*(C31/12)/(1-(1+C31/12)^-360)+C32/12+C33/12+IF(C41&lt;0.2,(1-C41)*C34/12*1,0)),0)</s:f>
        <s:v>108980.81655959178</s:v>
      </s:c>
      <s:c r="E41" s="22">
        <s:f>D41*C41+D41*0.03</s:f>
        <s:v>7083.753076373467</s:v>
      </s:c>
      <s:c r="F41" s="24" t="inlineStr">
        <s:is>
          <s:t>Below-market rate plus the Advantage down-payment grant. You sell these - use one. Verify current limits.</s:t>
        </s:is>
      </s:c>
    </s:row>
  </s:sheetData>
  <s:mergeCells count="17">
    <s:mergeCell ref="C16:E16"/>
    <s:mergeCell ref="A2:F2"/>
    <s:mergeCell ref="C9:F9"/>
    <s:mergeCell ref="B22:F24"/>
    <s:mergeCell ref="C14:E14"/>
    <s:mergeCell ref="C19:E19"/>
    <s:mergeCell ref="C8:F8"/>
    <s:mergeCell ref="A1:F1"/>
    <s:mergeCell ref="A5:F5"/>
    <s:mergeCell ref="C6:F6"/>
    <s:mergeCell ref="C7:F7"/>
    <s:mergeCell ref="C18:E18"/>
    <s:mergeCell ref="C17:E17"/>
    <s:mergeCell ref="A12:F12"/>
    <s:mergeCell ref="C10:F10"/>
    <s:mergeCell ref="A21:F21"/>
    <s:mergeCell ref="C15:E15"/>
  </s:mergeCells>
  <s:pageMargins left="0.75" right="0.75" top="1" bottom="1" header="0.5" footer="0.5"/>
</s:worksheet>
</file>

<file path=xl/worksheets/sheet19.xml><?xml version="1.0" encoding="utf-8"?>
<s:worksheet xmlns:s="http://schemas.openxmlformats.org/spreadsheetml/2006/main">
  <s:sheetPr>
    <s:tabColor rgb="007F6000"/>
    <s:outlinePr summaryBelow="1" summaryRight="1"/>
    <s:pageSetUpPr/>
  </s:sheetPr>
  <s:dimension ref="A1:G23"/>
  <s:sheetViews>
    <s:sheetView showGridLines="0" workbookViewId="0">
      <s:pane ySplit="5" topLeftCell="A6" activePane="bottomLeft" state="frozen"/>
      <s:selection pane="bottomLeft" activeCell="A1" sqref="A1"/>
    </s:sheetView>
  </s:sheetViews>
  <s:sheetFormatPr baseColWidth="8" defaultRowHeight="15"/>
  <s:cols>
    <s:col width="4" customWidth="1" min="1" max="1"/>
    <s:col width="34" customWidth="1" min="2" max="2"/>
    <s:col width="15" customWidth="1" min="3" max="3"/>
    <s:col width="15" customWidth="1" min="4" max="4"/>
    <s:col width="15" customWidth="1" min="5" max="5"/>
    <s:col width="4" customWidth="1" min="6" max="6"/>
    <s:col width="56" customWidth="1" min="7" max="7"/>
  </s:cols>
  <s:sheetData>
    <s:row r="1" ht="26" customHeight="1">
      <s:c r="A1" s="1" t="inlineStr">
        <s:is>
          <s:t>SAVINGS &amp; RETIREMENT</s:t>
        </s:is>
      </s:c>
      <s:c r="B1" s="2" t="n"/>
      <s:c r="C1" s="2" t="n"/>
      <s:c r="D1" s="2" t="n"/>
      <s:c r="E1" s="2" t="n"/>
      <s:c r="F1" s="2" t="n"/>
      <s:c r="G1" s="2" t="n"/>
    </s:row>
    <s:row r="2" ht="16" customHeight="1">
      <s:c r="A2" s="3" t="inlineStr">
        <s:is>
          <s:t>Two questions: is your certificate the right account, and what does starting a Roth at 25 actually do?</s:t>
        </s:is>
      </s:c>
      <s:c r="B2" s="2" t="n"/>
      <s:c r="C2" s="2" t="n"/>
      <s:c r="D2" s="2" t="n"/>
      <s:c r="E2" s="2" t="n"/>
      <s:c r="F2" s="2" t="n"/>
      <s:c r="G2" s="2" t="n"/>
    </s:row>
    <s:row r="5" ht="19" customHeight="1">
      <s:c r="A5" s="4" t="inlineStr">
        <s:is>
          <s:t xml:space="preserve">  A.  IS THE CERTIFICATE WORTH IT?</s:t>
        </s:is>
      </s:c>
      <s:c r="B5" s="5" t="n"/>
      <s:c r="C5" s="5" t="n"/>
      <s:c r="D5" s="5" t="n"/>
      <s:c r="E5" s="5" t="n"/>
      <s:c r="F5" s="5" t="n"/>
      <s:c r="G5" s="5" t="n"/>
    </s:row>
    <s:row r="6" ht="30" customHeight="1">
      <s:c r="A6" s="16" t="inlineStr"/>
      <s:c r="B6" s="16" t="inlineStr"/>
      <s:c r="C6" s="16" t="inlineStr">
        <s:is>
          <s:t>Certificate</s:t>
        </s:is>
      </s:c>
      <s:c r="D6" s="16" t="inlineStr">
        <s:is>
          <s:t>If it stayed in savings</s:t>
        </s:is>
      </s:c>
      <s:c r="E6" s="16" t="inlineStr">
        <s:is>
          <s:t>Difference</s:t>
        </s:is>
      </s:c>
      <s:c r="F6" s="16" t="inlineStr"/>
      <s:c r="G6" s="16" t="inlineStr">
        <s:is>
          <s:t>Note</s:t>
        </s:is>
      </s:c>
    </s:row>
    <s:row r="7">
      <s:c r="B7" s="82" t="inlineStr">
        <s:is>
          <s:t>Rate</s:t>
        </s:is>
      </s:c>
      <s:c r="C7" s="134">
        <s:f>Inputs!$C$49</s:f>
        <s:v>0.03687</s:v>
      </s:c>
      <s:c r="D7" s="135">
        <s:f>Inputs!$C$47</s:f>
        <s:v>0.04</s:v>
      </s:c>
      <s:c r="E7" s="136">
        <s:f>C7-D7</s:f>
        <s:v>-0.003130000000000001</s:v>
      </s:c>
      <s:c r="G7" s="20" t="inlineStr">
        <s:is>
          <s:t>If the savings rate is HIGHER, the auto-roll is moving money to the worse account AND locking it for 3 months.</s:t>
        </s:is>
      </s:c>
    </s:row>
    <s:row r="8">
      <s:c r="B8" s="82" t="inlineStr">
        <s:is>
          <s:t>Value in 2 years</s:t>
        </s:is>
      </s:c>
      <s:c r="C8" s="114">
        <s:f>FV(Inputs!$C$49/4,8,-Inputs!$C$51,-Inputs!$C$48)</s:f>
        <s:v>17348.130074097193</s:v>
      </s:c>
      <s:c r="D8" s="114">
        <s:f>FV(Inputs!$C$47/4,8,-Inputs!$C$51,-Inputs!$C$48)</s:f>
        <s:v>17420.24846587736</s:v>
      </s:c>
      <s:c r="E8" s="137">
        <s:f>C8-D8</s:f>
        <s:v>-72.11839178016817</s:v>
      </s:c>
      <s:c r="G8" s="20" t="inlineStr">
        <s:is>
          <s:t>Same money, same $1,250 every quarter, both ways. Negative difference = stop the auto-roll.</s:t>
        </s:is>
      </s:c>
    </s:row>
    <s:row r="10" ht="19" customHeight="1">
      <s:c r="A10" s="4" t="inlineStr">
        <s:is>
          <s:t xml:space="preserve">  B.  THE ROTH  —  the one number that makes the case</s:t>
        </s:is>
      </s:c>
      <s:c r="B10" s="5" t="n"/>
      <s:c r="C10" s="5" t="n"/>
      <s:c r="D10" s="5" t="n"/>
      <s:c r="E10" s="5" t="n"/>
      <s:c r="F10" s="5" t="n"/>
      <s:c r="G10" s="5" t="n"/>
    </s:row>
    <s:row r="11">
      <s:c r="B11" s="82" t="inlineStr">
        <s:is>
          <s:t>Annual contribution</s:t>
        </s:is>
      </s:c>
      <s:c r="C11" s="40" t="n">
        <s:v>7000</s:v>
      </s:c>
      <s:c r="G11" s="56" t="inlineStr">
        <s:is>
          <s:t>VERIFY the 2026 limit - it was $7,000 for 2025 and the IRS indexes it.</s:t>
        </s:is>
      </s:c>
    </s:row>
    <s:row r="12">
      <s:c r="B12" s="82" t="inlineStr">
        <s:is>
          <s:t>Expected return</s:t>
        </s:is>
      </s:c>
      <s:c r="C12" s="55" t="n">
        <s:v>0.08</s:v>
      </s:c>
      <s:c r="G12" s="56" t="inlineStr">
        <s:is>
          <s:t>Deliberately conservative; long-run US equity average is nearer 10% nominal.</s:t>
        </s:is>
      </s:c>
    </s:row>
    <s:row r="13">
      <s:c r="B13" s="82" t="inlineStr">
        <s:is>
          <s:t>Years to 65</s:t>
        </s:is>
      </s:c>
      <s:c r="C13" s="88">
        <s:f>65-25</s:f>
        <s:v>40.0</s:v>
      </s:c>
    </s:row>
    <s:row r="14">
      <s:c r="B14" s="8" t="inlineStr">
        <s:is>
          <s:t>VALUE AT 65 IF YOU START NOW</s:t>
        </s:is>
      </s:c>
      <s:c r="C14" s="33">
        <s:f>FV(C12,C13,-C11,0)</s:f>
        <s:v>1813395.6309699914</s:v>
      </s:c>
    </s:row>
    <s:row r="15">
      <s:c r="B15" s="82" t="inlineStr">
        <s:is>
          <s:t>...of which growth you never pay tax on</s:t>
        </s:is>
      </s:c>
      <s:c r="C15" s="138">
        <s:f>C14-C11*C13</s:f>
        <s:v>1533395.6309699914</s:v>
      </s:c>
    </s:row>
    <s:row r="17" ht="30" customHeight="1">
      <s:c r="A17" s="16" t="inlineStr"/>
      <s:c r="B17" s="16" t="inlineStr">
        <s:is>
          <s:t>Start at age</s:t>
        </s:is>
      </s:c>
      <s:c r="C17" s="16" t="inlineStr">
        <s:is>
          <s:t>Years</s:t>
        </s:is>
      </s:c>
      <s:c r="D17" s="16" t="inlineStr">
        <s:is>
          <s:t>Value at 65</s:t>
        </s:is>
      </s:c>
      <s:c r="E17" s="16" t="inlineStr">
        <s:is>
          <s:t>Cost of waiting</s:t>
        </s:is>
      </s:c>
      <s:c r="F17" s="16" t="inlineStr"/>
      <s:c r="G17" s="16" t="inlineStr">
        <s:is>
          <s:t>Note</s:t>
        </s:is>
      </s:c>
    </s:row>
    <s:row r="18">
      <s:c r="B18" s="139" t="n">
        <s:v>25</s:v>
      </s:c>
      <s:c r="C18" s="61">
        <s:f>65-B18</s:f>
        <s:v>40.0</s:v>
      </s:c>
      <s:c r="D18" s="133">
        <s:f>FV($C$12,C18,-$C$11,0)</s:f>
        <s:v>1813395.6309699914</s:v>
      </s:c>
      <s:c r="E18" s="140">
        <s:f>$D$18-D18</s:f>
        <s:v>0.0</s:v>
      </s:c>
      <s:c r="G18" s="20" t="inlineStr">
        <s:is>
          <s:t>Waiting ONE year is the most expensive year in this table, because the year you skip is the one that would have compounded longest.</s:t>
        </s:is>
      </s:c>
    </s:row>
    <s:row r="19">
      <s:c r="B19" s="71" t="n">
        <s:v>26</s:v>
      </s:c>
      <s:c r="C19" s="71">
        <s:f>65-B19</s:f>
        <s:v>39.0</s:v>
      </s:c>
      <s:c r="D19" s="141">
        <s:f>FV($C$12,C19,-$C$11,0)</s:f>
        <s:v>1672588.547194436</s:v>
      </s:c>
      <s:c r="E19" s="142">
        <s:f>$D$18-D19</s:f>
        <s:v>140807.08377555548</s:v>
      </s:c>
    </s:row>
    <s:row r="20">
      <s:c r="B20" s="61" t="n">
        <s:v>27</s:v>
      </s:c>
      <s:c r="C20" s="61">
        <s:f>65-B20</s:f>
        <s:v>38.0</s:v>
      </s:c>
      <s:c r="D20" s="140">
        <s:f>FV($C$12,C20,-$C$11,0)</s:f>
        <s:v>1542211.6177726262</s:v>
      </s:c>
      <s:c r="E20" s="142">
        <s:f>$D$18-D20</s:f>
        <s:v>271184.0131973652</s:v>
      </s:c>
    </s:row>
    <s:row r="21">
      <s:c r="B21" s="71" t="n">
        <s:v>30</s:v>
      </s:c>
      <s:c r="C21" s="71">
        <s:f>65-B21</s:f>
        <s:v>35.0</s:v>
      </s:c>
      <s:c r="D21" s="141">
        <s:f>FV($C$12,C21,-$C$11,0)</s:f>
        <s:v>1206217.6257530497</s:v>
      </s:c>
      <s:c r="E21" s="142">
        <s:f>$D$18-D21</s:f>
        <s:v>607178.0052169417</s:v>
      </s:c>
    </s:row>
    <s:row r="23">
      <s:c r="B23" s="143" t="inlineStr">
        <s:is>
          <s:t>Also ask: does Baxter offer a 401(k) with a match? If yes, it outranks everything here - a match is an instant 50-100% return.</s:t>
        </s:is>
      </s:c>
    </s:row>
  </s:sheetData>
  <s:mergeCells count="5">
    <s:mergeCell ref="A1:G1"/>
    <s:mergeCell ref="B23:G23"/>
    <s:mergeCell ref="A2:G2"/>
    <s:mergeCell ref="A10:G10"/>
    <s:mergeCell ref="A5:G5"/>
  </s:mergeCells>
  <s:pageMargins left="0.75" right="0.75" top="1" bottom="1" header="0.5" footer="0.5"/>
</s:worksheet>
</file>

<file path=xl/worksheets/sheet20.xml><?xml version="1.0" encoding="utf-8"?>
<s:worksheet xmlns:s="http://schemas.openxmlformats.org/spreadsheetml/2006/main">
  <s:sheetPr>
    <s:tabColor rgb="00C00000"/>
    <s:outlinePr summaryBelow="1" summaryRight="1"/>
    <s:pageSetUpPr/>
  </s:sheetPr>
  <s:dimension ref="A1:H32"/>
  <s:sheetViews>
    <s:sheetView showGridLines="0" workbookViewId="0">
      <s:pane ySplit="8" topLeftCell="A9" activePane="bottomLeft" state="frozen"/>
      <s:selection pane="bottomLeft" activeCell="A1" sqref="A1"/>
    </s:sheetView>
  </s:sheetViews>
  <s:sheetFormatPr baseColWidth="8" defaultRowHeight="15"/>
  <s:cols>
    <s:col width="6" customWidth="1" min="1" max="1"/>
    <s:col width="12" customWidth="1" min="2" max="2"/>
    <s:col width="13" customWidth="1" min="3" max="3"/>
    <s:col width="12" customWidth="1" min="4" max="4"/>
    <s:col width="12" customWidth="1" min="5" max="5"/>
    <s:col width="13" customWidth="1" min="6" max="6"/>
    <s:col width="13" customWidth="1" min="7" max="7"/>
    <s:col width="36" customWidth="1" min="8" max="8"/>
  </s:cols>
  <s:sheetData>
    <s:row r="1" ht="26" customHeight="1">
      <s:c r="A1" s="1" t="inlineStr">
        <s:is>
          <s:t>AUTO LOAN</s:t>
        </s:is>
      </s:c>
      <s:c r="B1" s="2" t="n"/>
      <s:c r="C1" s="2" t="n"/>
      <s:c r="D1" s="2" t="n"/>
      <s:c r="E1" s="2" t="n"/>
      <s:c r="F1" s="2" t="n"/>
      <s:c r="G1" s="2" t="n"/>
      <s:c r="H1" s="2" t="n"/>
    </s:row>
    <s:row r="2" ht="16" customHeight="1">
      <s:c r="A2" s="3" t="inlineStr">
        <s:is>
          <s:t>Put the real APR on Inputs - it was not provided, so the payoff date is only as good as that cell.</s:t>
        </s:is>
      </s:c>
      <s:c r="B2" s="2" t="n"/>
      <s:c r="C2" s="2" t="n"/>
      <s:c r="D2" s="2" t="n"/>
      <s:c r="E2" s="2" t="n"/>
      <s:c r="F2" s="2" t="n"/>
      <s:c r="G2" s="2" t="n"/>
      <s:c r="H2" s="2" t="n"/>
    </s:row>
    <s:row r="4">
      <s:c r="A4" s="12" t="inlineStr">
        <s:is>
          <s:t>Extra principal per month</s:t>
        </s:is>
      </s:c>
      <s:c r="C4" s="43" t="n">
        <s:v>0</s:v>
      </s:c>
      <s:c r="D4" s="56" t="inlineStr">
        <s:is>
          <s:t>&lt;- try a number</s:t>
        </s:is>
      </s:c>
      <s:c r="E4" s="12" t="inlineStr">
        <s:is>
          <s:t>Months to payoff</s:t>
        </s:is>
      </s:c>
      <s:c r="F4" s="26">
        <s:f>IFERROR(NPER(Inputs!$C$57/12,-(Inputs!$C$27+C4),Inputs!$C$56),0)</s:f>
        <s:v>64.17971701350336</s:v>
      </s:c>
    </s:row>
    <s:row r="5">
      <s:c r="A5" s="12" t="inlineStr">
        <s:is>
          <s:t>Total interest you will pay</s:t>
        </s:is>
      </s:c>
      <s:c r="C5" s="29">
        <s:f>(Inputs!$C$27+C4)*F4-Inputs!$C$56</s:f>
        <s:v>5437.629586153416</s:v>
      </s:c>
      <s:c r="E5" s="12" t="inlineStr">
        <s:is>
          <s:t>Payoff date</s:t>
        </s:is>
      </s:c>
      <s:c r="F5" s="27">
        <s:f>EDATE(Inputs!$C$59,ROUNDUP(F4,0))</s:f>
        <s:v>48254.0</s:v>
      </s:c>
    </s:row>
    <s:row r="7">
      <s:c r="A7" s="56" t="inlineStr">
        <s:is>
          <s:t>Prepay only if the APR beats your savings rate. But pay it OFF before a mortgage application either way - see 'Credit &amp; Home'.</s:t>
        </s:is>
      </s:c>
    </s:row>
    <s:row r="8" ht="30" customHeight="1">
      <s:c r="A8" s="16" t="inlineStr">
        <s:is>
          <s:t>#</s:t>
        </s:is>
      </s:c>
      <s:c r="B8" s="16" t="inlineStr">
        <s:is>
          <s:t>Date</s:t>
        </s:is>
      </s:c>
      <s:c r="C8" s="16" t="inlineStr">
        <s:is>
          <s:t>Opening</s:t>
        </s:is>
      </s:c>
      <s:c r="D8" s="16" t="inlineStr">
        <s:is>
          <s:t>Payment</s:t>
        </s:is>
      </s:c>
      <s:c r="E8" s="16" t="inlineStr">
        <s:is>
          <s:t>Interest</s:t>
        </s:is>
      </s:c>
      <s:c r="F8" s="16" t="inlineStr">
        <s:is>
          <s:t>Closing</s:t>
        </s:is>
      </s:c>
      <s:c r="G8" s="16" t="inlineStr">
        <s:is>
          <s:t>Cum. interest</s:t>
        </s:is>
      </s:c>
      <s:c r="H8" s="16" t="inlineStr">
        <s:is>
          <s:t>Note</s:t>
        </s:is>
      </s:c>
    </s:row>
    <s:row r="9">
      <s:c r="A9" s="61" t="n">
        <s:v>1</s:v>
      </s:c>
      <s:c r="B9" s="63">
        <s:f>EDATE(Inputs!$C$59,1)</s:f>
        <s:v>46305.0</s:v>
      </s:c>
      <s:c r="C9" s="59">
        <s:f>Inputs!$C$56</s:f>
        <s:v>25092.02</s:v>
      </s:c>
      <s:c r="D9" s="83">
        <s:f>IF(C9&lt;=0,0,MIN(Inputs!$C$27+$C$4,C9+E9))</s:f>
        <s:v>475.69</s:v>
      </s:c>
      <s:c r="E9" s="83">
        <s:f>IF(C9&lt;=0,0,C9*Inputs!$C$57/12)</s:f>
        <s:v>156.61602483333334</s:v>
      </s:c>
      <s:c r="F9" s="114">
        <s:f>MAX(0,C9+E9-D9)</s:f>
        <s:v>24772.946024833334</s:v>
      </s:c>
      <s:c r="G9" s="83">
        <s:f>E9</s:f>
        <s:v>156.61602483333334</s:v>
      </s:c>
      <s:c r="H9" s="144" t="str">
        <s:f>IF(AND(F9=0,C9&gt;0),"PAID OFF","")</s:f>
        <s:v/>
      </s:c>
    </s:row>
    <s:row r="10">
      <s:c r="A10" s="71" t="n">
        <s:v>2</s:v>
      </s:c>
      <s:c r="B10" s="73">
        <s:f>EDATE(B9,1)</s:f>
        <s:v>46336.0</s:v>
      </s:c>
      <s:c r="C10" s="80">
        <s:f>F9</s:f>
        <s:v>24772.946024833334</s:v>
      </s:c>
      <s:c r="D10" s="80">
        <s:f>IF(C10&lt;=0,0,MIN(Inputs!$C$27+$C$4,C10+E10))</s:f>
        <s:v>475.69</s:v>
      </s:c>
      <s:c r="E10" s="80">
        <s:f>IF(C10&lt;=0,0,C10*Inputs!$C$57/12)</s:f>
        <s:v>154.62447143833472</s:v>
      </s:c>
      <s:c r="F10" s="127">
        <s:f>MAX(0,C10+E10-D10)</s:f>
        <s:v>24451.88049627167</s:v>
      </s:c>
      <s:c r="G10" s="80">
        <s:f>G9+E10</s:f>
        <s:v>311.24049627166806</s:v>
      </s:c>
      <s:c r="H10" s="145" t="str">
        <s:f>IF(AND(F10=0,C10&gt;0),"PAID OFF","")</s:f>
        <s:v/>
      </s:c>
    </s:row>
    <s:row r="11">
      <s:c r="A11" s="61" t="n">
        <s:v>3</s:v>
      </s:c>
      <s:c r="B11" s="63">
        <s:f>EDATE(B10,1)</s:f>
        <s:v>46366.0</s:v>
      </s:c>
      <s:c r="C11" s="83">
        <s:f>F10</s:f>
        <s:v>24451.88049627167</s:v>
      </s:c>
      <s:c r="D11" s="83">
        <s:f>IF(C11&lt;=0,0,MIN(Inputs!$C$27+$C$4,C11+E11))</s:f>
        <s:v>475.69</s:v>
      </s:c>
      <s:c r="E11" s="83">
        <s:f>IF(C11&lt;=0,0,C11*Inputs!$C$57/12)</s:f>
        <s:v>152.62048743089568</s:v>
      </s:c>
      <s:c r="F11" s="114">
        <s:f>MAX(0,C11+E11-D11)</s:f>
        <s:v>24128.81098370257</s:v>
      </s:c>
      <s:c r="G11" s="83">
        <s:f>G10+E11</s:f>
        <s:v>463.8609837025638</s:v>
      </s:c>
      <s:c r="H11" s="144" t="str">
        <s:f>IF(AND(F11=0,C11&gt;0),"PAID OFF","")</s:f>
        <s:v/>
      </s:c>
    </s:row>
    <s:row r="12">
      <s:c r="A12" s="71" t="n">
        <s:v>4</s:v>
      </s:c>
      <s:c r="B12" s="73">
        <s:f>EDATE(B11,1)</s:f>
        <s:v>46397.0</s:v>
      </s:c>
      <s:c r="C12" s="80">
        <s:f>F11</s:f>
        <s:v>24128.81098370257</s:v>
      </s:c>
      <s:c r="D12" s="80">
        <s:f>IF(C12&lt;=0,0,MIN(Inputs!$C$27+$C$4,C12+E12))</s:f>
        <s:v>475.69</s:v>
      </s:c>
      <s:c r="E12" s="80">
        <s:f>IF(C12&lt;=0,0,C12*Inputs!$C$57/12)</s:f>
        <s:v>150.60399522327685</s:v>
      </s:c>
      <s:c r="F12" s="127">
        <s:f>MAX(0,C12+E12-D12)</s:f>
        <s:v>23803.72497892585</s:v>
      </s:c>
      <s:c r="G12" s="80">
        <s:f>G11+E12</s:f>
        <s:v>614.4649789258406</s:v>
      </s:c>
      <s:c r="H12" s="145" t="str">
        <s:f>IF(AND(F12=0,C12&gt;0),"PAID OFF","")</s:f>
        <s:v/>
      </s:c>
    </s:row>
    <s:row r="13">
      <s:c r="A13" s="61" t="n">
        <s:v>5</s:v>
      </s:c>
      <s:c r="B13" s="63">
        <s:f>EDATE(B12,1)</s:f>
        <s:v>46428.0</s:v>
      </s:c>
      <s:c r="C13" s="83">
        <s:f>F12</s:f>
        <s:v>23803.72497892585</s:v>
      </s:c>
      <s:c r="D13" s="83">
        <s:f>IF(C13&lt;=0,0,MIN(Inputs!$C$27+$C$4,C13+E13))</s:f>
        <s:v>475.69</s:v>
      </s:c>
      <s:c r="E13" s="83">
        <s:f>IF(C13&lt;=0,0,C13*Inputs!$C$57/12)</s:f>
        <s:v>148.57491674346218</s:v>
      </s:c>
      <s:c r="F13" s="114">
        <s:f>MAX(0,C13+E13-D13)</s:f>
        <s:v>23476.609895669313</s:v>
      </s:c>
      <s:c r="G13" s="83">
        <s:f>G12+E13</s:f>
        <s:v>763.0398956693027</s:v>
      </s:c>
      <s:c r="H13" s="144" t="str">
        <s:f>IF(AND(F13=0,C13&gt;0),"PAID OFF","")</s:f>
        <s:v/>
      </s:c>
    </s:row>
    <s:row r="14">
      <s:c r="A14" s="71" t="n">
        <s:v>6</s:v>
      </s:c>
      <s:c r="B14" s="73">
        <s:f>EDATE(B13,1)</s:f>
        <s:v>46456.0</s:v>
      </s:c>
      <s:c r="C14" s="80">
        <s:f>F13</s:f>
        <s:v>23476.609895669313</s:v>
      </s:c>
      <s:c r="D14" s="80">
        <s:f>IF(C14&lt;=0,0,MIN(Inputs!$C$27+$C$4,C14+E14))</s:f>
        <s:v>475.69</s:v>
      </s:c>
      <s:c r="E14" s="80">
        <s:f>IF(C14&lt;=0,0,C14*Inputs!$C$57/12)</s:f>
        <s:v>146.53317343213595</s:v>
      </s:c>
      <s:c r="F14" s="127">
        <s:f>MAX(0,C14+E14-D14)</s:f>
        <s:v>23147.45306910145</s:v>
      </s:c>
      <s:c r="G14" s="80">
        <s:f>G13+E14</s:f>
        <s:v>909.5730691014387</s:v>
      </s:c>
      <s:c r="H14" s="145" t="str">
        <s:f>IF(AND(F14=0,C14&gt;0),"PAID OFF","")</s:f>
        <s:v/>
      </s:c>
    </s:row>
    <s:row r="15">
      <s:c r="A15" s="61" t="n">
        <s:v>7</s:v>
      </s:c>
      <s:c r="B15" s="63">
        <s:f>EDATE(B14,1)</s:f>
        <s:v>46487.0</s:v>
      </s:c>
      <s:c r="C15" s="83">
        <s:f>F14</s:f>
        <s:v>23147.45306910145</s:v>
      </s:c>
      <s:c r="D15" s="83">
        <s:f>IF(C15&lt;=0,0,MIN(Inputs!$C$27+$C$4,C15+E15))</s:f>
        <s:v>475.69</s:v>
      </s:c>
      <s:c r="E15" s="83">
        <s:f>IF(C15&lt;=0,0,C15*Inputs!$C$57/12)</s:f>
        <s:v>144.47868623964155</s:v>
      </s:c>
      <s:c r="F15" s="114">
        <s:f>MAX(0,C15+E15-D15)</s:f>
        <s:v>22816.241755341096</s:v>
      </s:c>
      <s:c r="G15" s="83">
        <s:f>G14+E15</s:f>
        <s:v>1054.0517553410803</s:v>
      </s:c>
      <s:c r="H15" s="144" t="str">
        <s:f>IF(AND(F15=0,C15&gt;0),"PAID OFF","")</s:f>
        <s:v/>
      </s:c>
    </s:row>
    <s:row r="16">
      <s:c r="A16" s="71" t="n">
        <s:v>8</s:v>
      </s:c>
      <s:c r="B16" s="73">
        <s:f>EDATE(B15,1)</s:f>
        <s:v>46517.0</s:v>
      </s:c>
      <s:c r="C16" s="80">
        <s:f>F15</s:f>
        <s:v>22816.241755341096</s:v>
      </s:c>
      <s:c r="D16" s="80">
        <s:f>IF(C16&lt;=0,0,MIN(Inputs!$C$27+$C$4,C16+E16))</s:f>
        <s:v>475.69</s:v>
      </s:c>
      <s:c r="E16" s="80">
        <s:f>IF(C16&lt;=0,0,C16*Inputs!$C$57/12)</s:f>
        <s:v>142.41137562292067</s:v>
      </s:c>
      <s:c r="F16" s="127">
        <s:f>MAX(0,C16+E16-D16)</s:f>
        <s:v>22482.963130964017</s:v>
      </s:c>
      <s:c r="G16" s="80">
        <s:f>G15+E16</s:f>
        <s:v>1196.4631309640008</s:v>
      </s:c>
      <s:c r="H16" s="145" t="str">
        <s:f>IF(AND(F16=0,C16&gt;0),"PAID OFF","")</s:f>
        <s:v/>
      </s:c>
    </s:row>
    <s:row r="17">
      <s:c r="A17" s="61" t="n">
        <s:v>9</s:v>
      </s:c>
      <s:c r="B17" s="63">
        <s:f>EDATE(B16,1)</s:f>
        <s:v>46548.0</s:v>
      </s:c>
      <s:c r="C17" s="83">
        <s:f>F16</s:f>
        <s:v>22482.963130964017</s:v>
      </s:c>
      <s:c r="D17" s="83">
        <s:f>IF(C17&lt;=0,0,MIN(Inputs!$C$27+$C$4,C17+E17))</s:f>
        <s:v>475.69</s:v>
      </s:c>
      <s:c r="E17" s="83">
        <s:f>IF(C17&lt;=0,0,C17*Inputs!$C$57/12)</s:f>
        <s:v>140.33116154243373</s:v>
      </s:c>
      <s:c r="F17" s="114">
        <s:f>MAX(0,C17+E17-D17)</s:f>
        <s:v>22147.604292506454</s:v>
      </s:c>
      <s:c r="G17" s="83">
        <s:f>G16+E17</s:f>
        <s:v>1336.7942925064344</s:v>
      </s:c>
      <s:c r="H17" s="144" t="str">
        <s:f>IF(AND(F17=0,C17&gt;0),"PAID OFF","")</s:f>
        <s:v/>
      </s:c>
    </s:row>
    <s:row r="18">
      <s:c r="A18" s="71" t="n">
        <s:v>10</s:v>
      </s:c>
      <s:c r="B18" s="73">
        <s:f>EDATE(B17,1)</s:f>
        <s:v>46578.0</s:v>
      </s:c>
      <s:c r="C18" s="80">
        <s:f>F17</s:f>
        <s:v>22147.604292506454</s:v>
      </s:c>
      <s:c r="D18" s="80">
        <s:f>IF(C18&lt;=0,0,MIN(Inputs!$C$27+$C$4,C18+E18))</s:f>
        <s:v>475.69</s:v>
      </s:c>
      <s:c r="E18" s="80">
        <s:f>IF(C18&lt;=0,0,C18*Inputs!$C$57/12)</s:f>
        <s:v>138.2379634590611</s:v>
      </s:c>
      <s:c r="F18" s="127">
        <s:f>MAX(0,C18+E18-D18)</s:f>
        <s:v>21810.152255965517</s:v>
      </s:c>
      <s:c r="G18" s="80">
        <s:f>G17+E18</s:f>
        <s:v>1475.0322559654956</s:v>
      </s:c>
      <s:c r="H18" s="145" t="str">
        <s:f>IF(AND(F18=0,C18&gt;0),"PAID OFF","")</s:f>
        <s:v/>
      </s:c>
    </s:row>
    <s:row r="19">
      <s:c r="A19" s="61" t="n">
        <s:v>11</s:v>
      </s:c>
      <s:c r="B19" s="63">
        <s:f>EDATE(B18,1)</s:f>
        <s:v>46609.0</s:v>
      </s:c>
      <s:c r="C19" s="83">
        <s:f>F18</s:f>
        <s:v>21810.152255965517</s:v>
      </s:c>
      <s:c r="D19" s="83">
        <s:f>IF(C19&lt;=0,0,MIN(Inputs!$C$27+$C$4,C19+E19))</s:f>
        <s:v>475.69</s:v>
      </s:c>
      <s:c r="E19" s="83">
        <s:f>IF(C19&lt;=0,0,C19*Inputs!$C$57/12)</s:f>
        <s:v>136.13170033098476</s:v>
      </s:c>
      <s:c r="F19" s="114">
        <s:f>MAX(0,C19+E19-D19)</s:f>
        <s:v>21470.593956296503</s:v>
      </s:c>
      <s:c r="G19" s="83">
        <s:f>G18+E19</s:f>
        <s:v>1611.1639562964804</s:v>
      </s:c>
      <s:c r="H19" s="144" t="str">
        <s:f>IF(AND(F19=0,C19&gt;0),"PAID OFF","")</s:f>
        <s:v/>
      </s:c>
    </s:row>
    <s:row r="20">
      <s:c r="A20" s="71" t="n">
        <s:v>12</s:v>
      </s:c>
      <s:c r="B20" s="73">
        <s:f>EDATE(B19,1)</s:f>
        <s:v>46640.0</s:v>
      </s:c>
      <s:c r="C20" s="80">
        <s:f>F19</s:f>
        <s:v>21470.593956296503</s:v>
      </s:c>
      <s:c r="D20" s="80">
        <s:f>IF(C20&lt;=0,0,MIN(Inputs!$C$27+$C$4,C20+E20))</s:f>
        <s:v>475.69</s:v>
      </s:c>
      <s:c r="E20" s="80">
        <s:f>IF(C20&lt;=0,0,C20*Inputs!$C$57/12)</s:f>
        <s:v>134.01229061055065</s:v>
      </s:c>
      <s:c r="F20" s="127">
        <s:f>MAX(0,C20+E20-D20)</s:f>
        <s:v>21128.916246907054</s:v>
      </s:c>
      <s:c r="G20" s="80">
        <s:f>G19+E20</s:f>
        <s:v>1745.176246907031</s:v>
      </s:c>
      <s:c r="H20" s="145" t="str">
        <s:f>IF(AND(F20=0,C20&gt;0),"PAID OFF","")</s:f>
        <s:v/>
      </s:c>
    </s:row>
    <s:row r="21">
      <s:c r="A21" s="61" t="n">
        <s:v>13</s:v>
      </s:c>
      <s:c r="B21" s="63">
        <s:f>EDATE(B20,1)</s:f>
        <s:v>46670.0</s:v>
      </s:c>
      <s:c r="C21" s="83">
        <s:f>F20</s:f>
        <s:v>21128.916246907054</s:v>
      </s:c>
      <s:c r="D21" s="83">
        <s:f>IF(C21&lt;=0,0,MIN(Inputs!$C$27+$C$4,C21+E21))</s:f>
        <s:v>475.69</s:v>
      </s:c>
      <s:c r="E21" s="83">
        <s:f>IF(C21&lt;=0,0,C21*Inputs!$C$57/12)</s:f>
        <s:v>131.87965224111153</s:v>
      </s:c>
      <s:c r="F21" s="114">
        <s:f>MAX(0,C21+E21-D21)</s:f>
        <s:v>20785.105899148166</s:v>
      </s:c>
      <s:c r="G21" s="83">
        <s:f>G20+E21</s:f>
        <s:v>1877.0558991481425</s:v>
      </s:c>
      <s:c r="H21" s="144" t="str">
        <s:f>IF(AND(F21=0,C21&gt;0),"PAID OFF","")</s:f>
        <s:v/>
      </s:c>
    </s:row>
    <s:row r="22">
      <s:c r="A22" s="71" t="n">
        <s:v>14</s:v>
      </s:c>
      <s:c r="B22" s="73">
        <s:f>EDATE(B21,1)</s:f>
        <s:v>46701.0</s:v>
      </s:c>
      <s:c r="C22" s="80">
        <s:f>F21</s:f>
        <s:v>20785.105899148166</s:v>
      </s:c>
      <s:c r="D22" s="80">
        <s:f>IF(C22&lt;=0,0,MIN(Inputs!$C$27+$C$4,C22+E22))</s:f>
        <s:v>475.69</s:v>
      </s:c>
      <s:c r="E22" s="80">
        <s:f>IF(C22&lt;=0,0,C22*Inputs!$C$57/12)</s:f>
        <s:v>129.7337026538498</s:v>
      </s:c>
      <s:c r="F22" s="127">
        <s:f>MAX(0,C22+E22-D22)</s:f>
        <s:v>20439.149601802015</s:v>
      </s:c>
      <s:c r="G22" s="80">
        <s:f>G21+E22</s:f>
        <s:v>2006.7896018019924</s:v>
      </s:c>
      <s:c r="H22" s="145" t="str">
        <s:f>IF(AND(F22=0,C22&gt;0),"PAID OFF","")</s:f>
        <s:v/>
      </s:c>
    </s:row>
    <s:row r="23">
      <s:c r="A23" s="61" t="n">
        <s:v>15</s:v>
      </s:c>
      <s:c r="B23" s="63">
        <s:f>EDATE(B22,1)</s:f>
        <s:v>46731.0</s:v>
      </s:c>
      <s:c r="C23" s="83">
        <s:f>F22</s:f>
        <s:v>20439.149601802015</s:v>
      </s:c>
      <s:c r="D23" s="83">
        <s:f>IF(C23&lt;=0,0,MIN(Inputs!$C$27+$C$4,C23+E23))</s:f>
        <s:v>475.69</s:v>
      </s:c>
      <s:c r="E23" s="83">
        <s:f>IF(C23&lt;=0,0,C23*Inputs!$C$57/12)</s:f>
        <s:v>127.5743587645809</s:v>
      </s:c>
      <s:c r="F23" s="114">
        <s:f>MAX(0,C23+E23-D23)</s:f>
        <s:v>20091.033960566598</s:v>
      </s:c>
      <s:c r="G23" s="83">
        <s:f>G22+E23</s:f>
        <s:v>2134.363960566573</s:v>
      </s:c>
      <s:c r="H23" s="144" t="str">
        <s:f>IF(AND(F23=0,C23&gt;0),"PAID OFF","")</s:f>
        <s:v/>
      </s:c>
    </s:row>
    <s:row r="24">
      <s:c r="A24" s="71" t="n">
        <s:v>16</s:v>
      </s:c>
      <s:c r="B24" s="73">
        <s:f>EDATE(B23,1)</s:f>
        <s:v>46762.0</s:v>
      </s:c>
      <s:c r="C24" s="80">
        <s:f>F23</s:f>
        <s:v>20091.033960566598</s:v>
      </s:c>
      <s:c r="D24" s="80">
        <s:f>IF(C24&lt;=0,0,MIN(Inputs!$C$27+$C$4,C24+E24))</s:f>
        <s:v>475.69</s:v>
      </s:c>
      <s:c r="E24" s="80">
        <s:f>IF(C24&lt;=0,0,C24*Inputs!$C$57/12)</s:f>
        <s:v>125.4015369705365</s:v>
      </s:c>
      <s:c r="F24" s="127">
        <s:f>MAX(0,C24+E24-D24)</s:f>
        <s:v>19740.745497537137</s:v>
      </s:c>
      <s:c r="G24" s="80">
        <s:f>G23+E24</s:f>
        <s:v>2259.7654975371097</s:v>
      </s:c>
      <s:c r="H24" s="145" t="str">
        <s:f>IF(AND(F24=0,C24&gt;0),"PAID OFF","")</s:f>
        <s:v/>
      </s:c>
    </s:row>
    <s:row r="25">
      <s:c r="A25" s="61" t="n">
        <s:v>17</s:v>
      </s:c>
      <s:c r="B25" s="63">
        <s:f>EDATE(B24,1)</s:f>
        <s:v>46793.0</s:v>
      </s:c>
      <s:c r="C25" s="83">
        <s:f>F24</s:f>
        <s:v>19740.745497537137</s:v>
      </s:c>
      <s:c r="D25" s="83">
        <s:f>IF(C25&lt;=0,0,MIN(Inputs!$C$27+$C$4,C25+E25))</s:f>
        <s:v>475.69</s:v>
      </s:c>
      <s:c r="E25" s="83">
        <s:f>IF(C25&lt;=0,0,C25*Inputs!$C$57/12)</s:f>
        <s:v>123.21515314712762</s:v>
      </s:c>
      <s:c r="F25" s="114">
        <s:f>MAX(0,C25+E25-D25)</s:f>
        <s:v>19388.270650684266</s:v>
      </s:c>
      <s:c r="G25" s="83">
        <s:f>G24+E25</s:f>
        <s:v>2382.9806506842374</s:v>
      </s:c>
      <s:c r="H25" s="144" t="str">
        <s:f>IF(AND(F25=0,C25&gt;0),"PAID OFF","")</s:f>
        <s:v/>
      </s:c>
    </s:row>
    <s:row r="26">
      <s:c r="A26" s="71" t="n">
        <s:v>18</s:v>
      </s:c>
      <s:c r="B26" s="73">
        <s:f>EDATE(B25,1)</s:f>
        <s:v>46822.0</s:v>
      </s:c>
      <s:c r="C26" s="80">
        <s:f>F25</s:f>
        <s:v>19388.270650684266</s:v>
      </s:c>
      <s:c r="D26" s="80">
        <s:f>IF(C26&lt;=0,0,MIN(Inputs!$C$27+$C$4,C26+E26))</s:f>
        <s:v>475.69</s:v>
      </s:c>
      <s:c r="E26" s="80">
        <s:f>IF(C26&lt;=0,0,C26*Inputs!$C$57/12)</s:f>
        <s:v>121.01512264468762</s:v>
      </s:c>
      <s:c r="F26" s="127">
        <s:f>MAX(0,C26+E26-D26)</s:f>
        <s:v>19033.595773328954</s:v>
      </s:c>
      <s:c r="G26" s="80">
        <s:f>G25+E26</s:f>
        <s:v>2503.995773328925</s:v>
      </s:c>
      <s:c r="H26" s="145" t="str">
        <s:f>IF(AND(F26=0,C26&gt;0),"PAID OFF","")</s:f>
        <s:v/>
      </s:c>
    </s:row>
    <s:row r="27">
      <s:c r="A27" s="61" t="n">
        <s:v>19</s:v>
      </s:c>
      <s:c r="B27" s="63">
        <s:f>EDATE(B26,1)</s:f>
        <s:v>46853.0</s:v>
      </s:c>
      <s:c r="C27" s="83">
        <s:f>F26</s:f>
        <s:v>19033.595773328954</s:v>
      </s:c>
      <s:c r="D27" s="83">
        <s:f>IF(C27&lt;=0,0,MIN(Inputs!$C$27+$C$4,C27+E27))</s:f>
        <s:v>475.69</s:v>
      </s:c>
      <s:c r="E27" s="83">
        <s:f>IF(C27&lt;=0,0,C27*Inputs!$C$57/12)</s:f>
        <s:v>118.80136028519489</s:v>
      </s:c>
      <s:c r="F27" s="114">
        <s:f>MAX(0,C27+E27-D27)</s:f>
        <s:v>18676.70713361415</s:v>
      </s:c>
      <s:c r="G27" s="83">
        <s:f>G26+E27</s:f>
        <s:v>2622.79713361412</s:v>
      </s:c>
      <s:c r="H27" s="144" t="str">
        <s:f>IF(AND(F27=0,C27&gt;0),"PAID OFF","")</s:f>
        <s:v/>
      </s:c>
    </s:row>
    <s:row r="28">
      <s:c r="A28" s="71" t="n">
        <s:v>20</s:v>
      </s:c>
      <s:c r="B28" s="73">
        <s:f>EDATE(B27,1)</s:f>
        <s:v>46883.0</s:v>
      </s:c>
      <s:c r="C28" s="80">
        <s:f>F27</s:f>
        <s:v>18676.70713361415</s:v>
      </s:c>
      <s:c r="D28" s="80">
        <s:f>IF(C28&lt;=0,0,MIN(Inputs!$C$27+$C$4,C28+E28))</s:f>
        <s:v>475.69</s:v>
      </s:c>
      <s:c r="E28" s="80">
        <s:f>IF(C28&lt;=0,0,C28*Inputs!$C$57/12)</s:f>
        <s:v>116.57378035897496</s:v>
      </s:c>
      <s:c r="F28" s="127">
        <s:f>MAX(0,C28+E28-D28)</s:f>
        <s:v>18317.590913973127</s:v>
      </s:c>
      <s:c r="G28" s="80">
        <s:f>G27+E28</s:f>
        <s:v>2739.370913973095</s:v>
      </s:c>
      <s:c r="H28" s="145" t="str">
        <s:f>IF(AND(F28=0,C28&gt;0),"PAID OFF","")</s:f>
        <s:v/>
      </s:c>
    </s:row>
    <s:row r="29">
      <s:c r="A29" s="61" t="n">
        <s:v>21</s:v>
      </s:c>
      <s:c r="B29" s="63">
        <s:f>EDATE(B28,1)</s:f>
        <s:v>46914.0</s:v>
      </s:c>
      <s:c r="C29" s="83">
        <s:f>F28</s:f>
        <s:v>18317.590913973127</s:v>
      </s:c>
      <s:c r="D29" s="83">
        <s:f>IF(C29&lt;=0,0,MIN(Inputs!$C$27+$C$4,C29+E29))</s:f>
        <s:v>475.69</s:v>
      </s:c>
      <s:c r="E29" s="83">
        <s:f>IF(C29&lt;=0,0,C29*Inputs!$C$57/12)</s:f>
        <s:v>114.33229662138227</s:v>
      </s:c>
      <s:c r="F29" s="114">
        <s:f>MAX(0,C29+E29-D29)</s:f>
        <s:v>17956.23321059451</s:v>
      </s:c>
      <s:c r="G29" s="83">
        <s:f>G28+E29</s:f>
        <s:v>2853.7032105944772</s:v>
      </s:c>
      <s:c r="H29" s="144" t="str">
        <s:f>IF(AND(F29=0,C29&gt;0),"PAID OFF","")</s:f>
        <s:v/>
      </s:c>
    </s:row>
    <s:row r="30">
      <s:c r="A30" s="71" t="n">
        <s:v>22</s:v>
      </s:c>
      <s:c r="B30" s="73">
        <s:f>EDATE(B29,1)</s:f>
        <s:v>46944.0</s:v>
      </s:c>
      <s:c r="C30" s="80">
        <s:f>F29</s:f>
        <s:v>17956.23321059451</s:v>
      </s:c>
      <s:c r="D30" s="80">
        <s:f>IF(C30&lt;=0,0,MIN(Inputs!$C$27+$C$4,C30+E30))</s:f>
        <s:v>475.69</s:v>
      </s:c>
      <s:c r="E30" s="80">
        <s:f>IF(C30&lt;=0,0,C30*Inputs!$C$57/12)</s:f>
        <s:v>112.07682228946072</s:v>
      </s:c>
      <s:c r="F30" s="127">
        <s:f>MAX(0,C30+E30-D30)</s:f>
        <s:v>17592.620032883973</s:v>
      </s:c>
      <s:c r="G30" s="80">
        <s:f>G29+E30</s:f>
        <s:v>2965.780032883938</s:v>
      </s:c>
      <s:c r="H30" s="145" t="str">
        <s:f>IF(AND(F30=0,C30&gt;0),"PAID OFF","")</s:f>
        <s:v/>
      </s:c>
    </s:row>
    <s:row r="31">
      <s:c r="A31" s="61" t="n">
        <s:v>23</s:v>
      </s:c>
      <s:c r="B31" s="63">
        <s:f>EDATE(B30,1)</s:f>
        <s:v>46975.0</s:v>
      </s:c>
      <s:c r="C31" s="83">
        <s:f>F30</s:f>
        <s:v>17592.620032883973</s:v>
      </s:c>
      <s:c r="D31" s="83">
        <s:f>IF(C31&lt;=0,0,MIN(Inputs!$C$27+$C$4,C31+E31))</s:f>
        <s:v>475.69</s:v>
      </s:c>
      <s:c r="E31" s="83">
        <s:f>IF(C31&lt;=0,0,C31*Inputs!$C$57/12)</s:f>
        <s:v>109.80727003858412</s:v>
      </s:c>
      <s:c r="F31" s="114">
        <s:f>MAX(0,C31+E31-D31)</s:f>
        <s:v>17226.73730292256</s:v>
      </s:c>
      <s:c r="G31" s="83">
        <s:f>G30+E31</s:f>
        <s:v>3075.587302922522</s:v>
      </s:c>
      <s:c r="H31" s="144" t="str">
        <s:f>IF(AND(F31=0,C31&gt;0),"PAID OFF","")</s:f>
        <s:v/>
      </s:c>
    </s:row>
    <s:row r="32">
      <s:c r="A32" s="71" t="n">
        <s:v>24</s:v>
      </s:c>
      <s:c r="B32" s="73">
        <s:f>EDATE(B31,1)</s:f>
        <s:v>47006.0</s:v>
      </s:c>
      <s:c r="C32" s="80">
        <s:f>F31</s:f>
        <s:v>17226.73730292256</s:v>
      </s:c>
      <s:c r="D32" s="80">
        <s:f>IF(C32&lt;=0,0,MIN(Inputs!$C$27+$C$4,C32+E32))</s:f>
        <s:v>475.69</s:v>
      </s:c>
      <s:c r="E32" s="80">
        <s:f>IF(C32&lt;=0,0,C32*Inputs!$C$57/12)</s:f>
        <s:v>107.52355199907497</s:v>
      </s:c>
      <s:c r="F32" s="127">
        <s:f>MAX(0,C32+E32-D32)</s:f>
        <s:v>16858.570854921636</s:v>
      </s:c>
      <s:c r="G32" s="80">
        <s:f>G31+E32</s:f>
        <s:v>3183.1108549215974</s:v>
      </s:c>
      <s:c r="H32" s="145" t="str">
        <s:f>IF(AND(F32=0,C32&gt;0),"PAID OFF","")</s:f>
        <s:v/>
      </s:c>
    </s:row>
  </s:sheetData>
  <s:mergeCells count="5">
    <s:mergeCell ref="A4:B4"/>
    <s:mergeCell ref="A7:H7"/>
    <s:mergeCell ref="A2:H2"/>
    <s:mergeCell ref="A5:B5"/>
    <s:mergeCell ref="A1:H1"/>
  </s:mergeCells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2026-09-11T13:23:45Z</dcterms:created>
  <dcterms:modified xsi:type="dcterms:W3CDTF">2026-09-11T13:23:46Z</dcterms:modified>
</cp:coreProperties>
</file>